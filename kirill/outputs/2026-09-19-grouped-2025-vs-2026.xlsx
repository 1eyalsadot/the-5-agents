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<sst xmlns="http://schemas.openxmlformats.org/spreadsheetml/2006/main" count="8132" uniqueCount="996">
  <si>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</si>
  <si>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</si>
  <si>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</si>
  <si>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</si>
  <si>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</si>
  <si>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</si>
  <si>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</si>
  <si>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</si>
  <si>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</si>
  <si>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</si>
  <si>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</si>
  <si>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</si>
  <si>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</si>
  <si>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</si>
  <si>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</si>
  <si>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</si>
  <si>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</si>
  <si>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</si>
  <si>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</si>
  <si>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</si>
  <si>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</si>
  <si>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</si>
  <si>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</si>
  <si>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</si>
  <si>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</si>
  <si>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</si>
  <si>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</si>
  <si>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</si>
  <si>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</si>
  <si>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</si>
  <si>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</si>
  <si>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</si>
  <si>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</si>
  <si>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</si>
  <si>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</si>
  <si>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</si>
  <si>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</si>
  <si>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</si>
  <si>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</si>
  <si>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</si>
  <si>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</si>
  <si>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</si>
  <si>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</si>
  <si>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</si>
  <si>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</si>
  <si>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</si>
  <si>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</si>
  <si>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</si>
  <si>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</si>
  <si>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</si>
  <si>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</si>
  <si>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</si>
  <si>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</si>
  <si>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</si>
  <si>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</si>
  <si>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</si>
  <si>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</si>
  <si>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</si>
  <si>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</si>
  <si>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</si>
  <si>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</si>
  <si>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</si>
  <si>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</si>
  <si>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</si>
  <si>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</si>
  <si>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</si>
  <si>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</si>
  <si>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</si>
  <si>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</si>
  <si>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</si>
  <si>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</si>
  <si>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</si>
  <si>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</si>
  <si>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</si>
  <si>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</si>
  <si>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</si>
  <si>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</si>
  <si>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</si>
  <si>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</si>
  <si>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</si>
  <si>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</si>
  <si>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</si>
  <si>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</si>
  <si>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</si>
  <si>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</si>
  <si>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</si>
  <si>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</si>
  <si>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</si>
  <si>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</si>
  <si>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</si>
  <si>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</si>
  <si>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</si>
  <si>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</si>
  <si>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</si>
  <si>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</si>
  <si>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</si>
  <si>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</si>
  <si>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</si>
  <si>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</si>
  <si>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</si>
  <si>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</si>
  <si>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</si>
  <si>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</si>
  <si>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</si>
  <si>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</si>
  <si>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</si>
  <si>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</si>
  <si>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</si>
  <si>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</si>
  <si>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</si>
  <si>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</si>
  <si>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</si>
  <si>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</si>
  <si>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</si>
  <si>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</si>
  <si>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</si>
  <si>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</si>
  <si>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</si>
  <si>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</si>
  <si>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</si>
  <si>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</si>
  <si>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</si>
  <si>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</si>
  <si>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</si>
  <si>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</si>
  <si>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</si>
  <si>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</si>
  <si>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</si>
  <si>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</si>
  <si>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</si>
  <si>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</si>
  <si>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</si>
  <si>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</si>
  <si>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</si>
  <si>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</si>
  <si>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</si>
  <si>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</si>
  <si>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</si>
  <si>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</si>
  <si>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</si>
  <si>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</si>
  <si>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</si>
  <si>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</si>
  <si>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</si>
  <si>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</si>
  <si>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</si>
  <si>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</si>
  <si>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</si>
  <si>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</si>
  <si>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</si>
  <si>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</si>
  <si>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</si>
  <si>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</si>
  <si>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</si>
  <si>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</si>
  <si>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</si>
  <si>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</si>
  <si>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</si>
  <si>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</si>
  <si>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</si>
  <si>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</si>
  <si>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</si>
  <si>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</si>
  <si>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</si>
  <si>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</si>
  <si>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</si>
  <si>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</si>
  <si>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</si>
  <si>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</si>
  <si>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</si>
  <si>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</si>
  <si>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</si>
  <si>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</si>
  <si>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</si>
  <si>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</si>
  <si>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</si>
  <si>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</si>
  <si>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</si>
  <si>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</si>
  <si>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</si>
  <si>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</si>
  <si>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</si>
  <si>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</si>
  <si>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</si>
  <si>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</si>
  <si>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</si>
  <si>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</si>
  <si>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</si>
  <si>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</si>
  <si>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</si>
  <si>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</si>
  <si>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</si>
  <si>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</si>
  <si>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</si>
  <si>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</si>
  <si>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</si>
  <si>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</si>
  <si>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</si>
  <si>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</si>
  <si>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</si>
  <si>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</si>
  <si>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</si>
  <si>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</si>
  <si>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</si>
  <si>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</si>
  <si>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</si>
  <si>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</si>
  <si>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</si>
  <si>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</si>
  <si>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</si>
  <si>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</si>
  <si>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</si>
  <si>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</si>
  <si>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</si>
  <si>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</si>
  <si>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</si>
  <si>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</si>
  <si>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</si>
  <si>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</si>
  <si>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</si>
  <si>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</si>
  <si>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</si>
  <si>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</si>
  <si>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</si>
  <si>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</si>
  <si>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</si>
  <si>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</si>
  <si>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</si>
  <si>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</si>
  <si>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</si>
  <si>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</si>
  <si>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</si>
  <si>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</si>
  <si>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</si>
  <si>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</si>
  <si>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</si>
  <si>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</si>
  <si>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</si>
  <si>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</si>
  <si>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</si>
  <si>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</si>
  <si>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</si>
  <si>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</si>
  <si>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</si>
  <si>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</si>
  <si>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</si>
  <si>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</si>
  <si>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</si>
  <si>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</si>
  <si>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</si>
  <si>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</si>
  <si>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</si>
  <si>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</si>
  <si>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</si>
  <si>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</si>
  <si>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</si>
  <si>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</si>
  <si>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</si>
  <si>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</si>
  <si>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</si>
  <si>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</si>
  <si>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</si>
  <si>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</si>
  <si>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</si>
  <si>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</si>
  <si>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</si>
  <si>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</si>
  <si>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</si>
  <si>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</si>
  <si>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</si>
  <si>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</si>
  <si>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</si>
  <si>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</si>
  <si>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</si>
  <si>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</si>
  <si>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</si>
  <si>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</si>
  <si>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</si>
  <si>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</si>
  <si>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</si>
  <si>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</si>
  <si>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</si>
  <si>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</si>
  <si>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</si>
  <si>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</si>
  <si>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</si>
  <si>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</si>
  <si>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</si>
  <si>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</si>
  <si>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</si>
  <si>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</si>
  <si>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</si>
  <si>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</si>
  <si>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</si>
  <si>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</si>
  <si>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</si>
  <si>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</si>
  <si>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</si>
  <si>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</si>
  <si>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</si>
  <si>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</si>
  <si>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</si>
  <si>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</si>
  <si>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</si>
  <si>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</si>
  <si>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</si>
  <si>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</si>
  <si>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</si>
  <si>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</si>
  <si>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</si>
  <si>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</si>
  <si>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</si>
  <si>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</si>
  <si>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</si>
  <si>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</si>
  <si>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</si>
  <si>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</si>
  <si>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</si>
  <si>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</si>
  <si>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</si>
  <si>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</si>
  <si>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</si>
  <si>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</si>
  <si>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</si>
  <si>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</si>
  <si>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</si>
  <si>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</si>
  <si>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</si>
  <si>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</si>
  <si>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</si>
  <si>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</si>
  <si>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</si>
  <si>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</si>
  <si>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</si>
  <si>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</si>
  <si>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</si>
  <si>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</si>
  <si>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</si>
  <si>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</si>
  <si>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</si>
  <si>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</si>
  <si>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</si>
  <si>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</si>
  <si>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</si>
  <si>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</si>
  <si>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</si>
  <si>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</si>
  <si>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</si>
  <si>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</si>
  <si>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</si>
  <si>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</si>
  <si>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</si>
  <si>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</si>
  <si>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</si>
  <si>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</si>
  <si>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</si>
  <si>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</si>
  <si>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</si>
  <si>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</si>
  <si>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</si>
  <si>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- see row 4 for methodology. The other 4 group sheets do NOT yet have this annualization; pending approval before rolling it out to them.</t>
  </si>
  <si>
    <t xml:space="preserve"># DROP (sold 2025, 0 in 2026):</t>
  </si>
  <si>
    <t xml:space="preserve"># NEW (sold 2026, 0 in 2025):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</si>
  <si>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</si>
  <si>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</si>
  <si>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</si>
  <si>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</si>
  <si>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</si>
  <si>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</si>
  <si>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332CS'מייצב</t>
  </si>
  <si>
    <t xml:space="preserve">332CM'מייצב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</si>
  <si>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</si>
  <si>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</si>
  <si>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</si>
  <si>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</si>
  <si>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</si>
  <si>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</si>
  <si>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922S.חבק</t>
  </si>
  <si>
    <t xml:space="preserve">12</t>
  </si>
  <si>
    <t xml:space="preserve">27R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</si>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</sst>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%"/>
    <numFmt numFmtId="170" formatCode="0.0"/>
    <numFmt numFmtId="171" formatCode="0.000000"/>
    <numFmt numFmtId="172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1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9" min="5" style="1" width="15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</row>
    <row r="6" customFormat="false" ht="15" hidden="false" customHeight="true" outlineLevel="0" collapsed="false">
      <c r="A6" s="7" t="s">
        <v>17</v>
      </c>
      <c r="B6" s="8" t="s">
        <v>17</v>
      </c>
      <c r="C6" s="8" t="n">
        <v>9</v>
      </c>
      <c r="D6" s="8" t="n">
        <v>283</v>
      </c>
      <c r="E6" s="9" t="n">
        <f aca="false">SUMPRODUCT((('בתי מרקחת'!$C$7:$C$289&lt;&gt;0)+('בתי מרקחת'!$H$7:$H$289&lt;&gt;0))&gt;0)</f>
        <v>263</v>
      </c>
      <c r="F6" s="9" t="n">
        <f aca="false">SUMPRODUCT((('בתי מרקחת'!$D$7:$D$289&lt;&gt;0)+('בתי מרקחת'!$I$7:$I$289&lt;&gt;0))&gt;0)</f>
        <v>240</v>
      </c>
      <c r="I6" s="9" t="n">
        <f aca="false">'בתי מרקחת'!C291</f>
        <v>54177</v>
      </c>
      <c r="J6" s="9" t="n">
        <f aca="false">'בתי מרקחת'!D291</f>
        <v>33487</v>
      </c>
      <c r="K6" s="10" t="n">
        <f aca="false">IF('בתי מרקחת'!C291=0,"N/A",('בתי מרקחת'!D291-'בתי מרקחת'!C291)/'בתי מרקחת'!C291)</f>
        <v>-0.381896376691216</v>
      </c>
      <c r="L6" s="11" t="n">
        <f aca="false">'בתי מרקחת'!H291</f>
        <v>1967633.7</v>
      </c>
      <c r="M6" s="11" t="n">
        <f aca="false">'בתי מרקחת'!I291</f>
        <v>1293807.8</v>
      </c>
      <c r="N6" s="10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18</v>
      </c>
      <c r="B7" s="8" t="s">
        <v>18</v>
      </c>
      <c r="C7" s="8" t="n">
        <v>6</v>
      </c>
      <c r="D7" s="8" t="n">
        <v>163</v>
      </c>
      <c r="E7" s="9" t="n">
        <f aca="false">SUMPRODUCT(((BE!$C$7:$C$169&lt;&gt;0)+(BE!$H$7:$H$169&lt;&gt;0))&gt;0)</f>
        <v>155</v>
      </c>
      <c r="F7" s="9" t="n">
        <f aca="false">SUMPRODUCT(((BE!$D$7:$D$169&lt;&gt;0)+(BE!$I$7:$I$169&lt;&gt;0))&gt;0)</f>
        <v>145</v>
      </c>
      <c r="I7" s="9" t="n">
        <f aca="false">BE!C171</f>
        <v>27268</v>
      </c>
      <c r="J7" s="9" t="n">
        <f aca="false">BE!D171</f>
        <v>19109</v>
      </c>
      <c r="K7" s="10" t="n">
        <f aca="false">IF(BE!C171=0,"N/A",(BE!D171-BE!C171)/BE!C171)</f>
        <v>-0.299215197300866</v>
      </c>
      <c r="L7" s="11" t="n">
        <f aca="false">BE!H171</f>
        <v>889501.1</v>
      </c>
      <c r="M7" s="11" t="n">
        <f aca="false">BE!I171</f>
        <v>676265.8</v>
      </c>
      <c r="N7" s="10" t="n">
        <f aca="false">IF(BE!H171=0,"N/A",(BE!I171-BE!H171)/BE!H171)</f>
        <v>-0.239724605174743</v>
      </c>
    </row>
    <row r="8" customFormat="false" ht="15" hidden="false" customHeight="true" outlineLevel="0" collapsed="false">
      <c r="A8" s="7" t="s">
        <v>19</v>
      </c>
      <c r="B8" s="8" t="s">
        <v>19</v>
      </c>
      <c r="C8" s="8" t="n">
        <v>1</v>
      </c>
      <c r="D8" s="8" t="n">
        <v>219</v>
      </c>
      <c r="E8" s="9" t="n">
        <f aca="false">SUMPRODUCT((('סופר פארם'!$C$7:$C$225&lt;&gt;0)+('סופר פארם'!$H$7:$H$225&lt;&gt;0))&gt;0)</f>
        <v>196</v>
      </c>
      <c r="F8" s="9" t="n">
        <f aca="false">SUMPRODUCT((('סופר פארם'!$D$7:$D$225&lt;&gt;0)+('סופר פארם'!$I$7:$I$225&lt;&gt;0))&gt;0)</f>
        <v>196</v>
      </c>
      <c r="G8" s="12" t="n">
        <f aca="false">'סופר פארם'!B5</f>
        <v>23</v>
      </c>
      <c r="H8" s="12" t="n">
        <f aca="false">'סופר פארם'!D5</f>
        <v>23</v>
      </c>
      <c r="I8" s="9" t="n">
        <f aca="false">'סופר פארם'!C227</f>
        <v>176505</v>
      </c>
      <c r="J8" s="9" t="n">
        <f aca="false">'סופר פארם'!D227</f>
        <v>118307</v>
      </c>
      <c r="K8" s="13" t="n">
        <f aca="false">IF('סופר פארם'!C227=0,"N/A",('סופר פארם'!D227-'סופר פארם'!C227)/'סופר פארם'!C227)</f>
        <v>-0.329724370414436</v>
      </c>
      <c r="L8" s="9" t="n">
        <f aca="false">'סופר פארם'!H227</f>
        <v>6689220.5</v>
      </c>
      <c r="M8" s="9" t="n">
        <f aca="false">'סופר פארם'!I227</f>
        <v>4476515.3</v>
      </c>
      <c r="N8" s="13" t="n">
        <f aca="false">IF('סופר פארם'!H227=0,"N/A",('סופר פארם'!I227-'סופר פארם'!H227)/'סופר פארם'!H227)</f>
        <v>-0.330786703772136</v>
      </c>
    </row>
    <row r="9" customFormat="false" ht="15" hidden="false" customHeight="true" outlineLevel="0" collapsed="false">
      <c r="A9" s="7" t="s">
        <v>20</v>
      </c>
      <c r="B9" s="8" t="s">
        <v>20</v>
      </c>
      <c r="C9" s="8" t="n">
        <v>1</v>
      </c>
      <c r="D9" s="8" t="n">
        <v>107</v>
      </c>
      <c r="E9" s="9" t="n">
        <f aca="false">SUMPRODUCT(((מאוחדת!$C$7:$C$113&lt;&gt;0)+(מאוחדת!$H$7:$H$113&lt;&gt;0))&gt;0)</f>
        <v>0</v>
      </c>
      <c r="F9" s="9" t="n">
        <f aca="false">SUMPRODUCT(((מאוחדת!$D$7:$D$113&lt;&gt;0)+(מאוחדת!$I$7:$I$113&lt;&gt;0))&gt;0)</f>
        <v>107</v>
      </c>
      <c r="I9" s="9" t="n">
        <f aca="false">מאוחדת!C115</f>
        <v>0</v>
      </c>
      <c r="J9" s="9" t="n">
        <f aca="false">מאוחדת!D115</f>
        <v>10037</v>
      </c>
      <c r="K9" s="10" t="str">
        <f aca="false">IF(מאוחדת!C115=0,"N/A",(מאוחדת!D115-מאוחדת!C115)/מאוחדת!C115)</f>
        <v>N/A</v>
      </c>
      <c r="L9" s="11" t="n">
        <f aca="false">מאוחדת!H115</f>
        <v>0</v>
      </c>
      <c r="M9" s="11" t="n">
        <f aca="false">מאוחדת!I115</f>
        <v>307514.4</v>
      </c>
      <c r="N9" s="10" t="str">
        <f aca="false">IF(מאוחדת!H115=0,"N/A",(מאוחדת!I115-מאוחדת!H115)/מאוחדת!H115)</f>
        <v>N/A</v>
      </c>
    </row>
    <row r="10" customFormat="false" ht="15" hidden="false" customHeight="true" outlineLevel="0" collapsed="false">
      <c r="A10" s="7" t="s">
        <v>21</v>
      </c>
      <c r="B10" s="8" t="s">
        <v>21</v>
      </c>
      <c r="C10" s="8" t="n">
        <v>1</v>
      </c>
      <c r="D10" s="8" t="n">
        <v>255</v>
      </c>
      <c r="E10" s="9" t="n">
        <f aca="false">SUMPRODUCT(((0פארמים!$C$7:$C$261&lt;&gt;0)+(0פארמים!$H$7:$H$261&lt;&gt;0))&gt;0)</f>
        <v>235</v>
      </c>
      <c r="F10" s="9" t="n">
        <f aca="false">SUMPRODUCT(((0פארמים!$D$7:$D$261&lt;&gt;0)+(0פארמים!$I$7:$I$261&lt;&gt;0))&gt;0)</f>
        <v>231</v>
      </c>
      <c r="I10" s="9" t="n">
        <f aca="false">0פארמים!C263</f>
        <v>204428</v>
      </c>
      <c r="J10" s="9" t="n">
        <f aca="false">0פארמים!D263</f>
        <v>137851</v>
      </c>
      <c r="K10" s="10" t="n">
        <f aca="false">IF(0פארמים!C263=0,"N/A",(0פארמים!D263-0פארמים!C263)/0פארמים!C263)</f>
        <v>-0.325674565128065</v>
      </c>
      <c r="L10" s="11" t="n">
        <f aca="false">0פארמים!H263</f>
        <v>7597886.3</v>
      </c>
      <c r="M10" s="11" t="n">
        <f aca="false">0פארמים!I263</f>
        <v>5165969.3</v>
      </c>
      <c r="N10" s="10" t="n">
        <f aca="false">IF(0פארמים!H263=0,"N/A",(0פארמים!I263-0פארמים!H263)/0פארמים!H263)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4" t="s">
        <v>22</v>
      </c>
      <c r="B1" s="14"/>
      <c r="C1" s="14"/>
      <c r="D1" s="14"/>
    </row>
    <row r="2" customFormat="false" ht="15" hidden="false" customHeight="true" outlineLevel="0" collapsed="false">
      <c r="A2" s="15" t="s">
        <v>23</v>
      </c>
      <c r="B2" s="15" t="s">
        <v>24</v>
      </c>
      <c r="C2" s="15" t="s">
        <v>25</v>
      </c>
      <c r="D2" s="15" t="s">
        <v>26</v>
      </c>
    </row>
    <row r="3" customFormat="false" ht="15" hidden="false" customHeight="true" outlineLevel="0" collapsed="false">
      <c r="A3" s="8" t="s">
        <v>27</v>
      </c>
      <c r="B3" s="8" t="s">
        <v>28</v>
      </c>
      <c r="C3" s="8" t="s">
        <v>17</v>
      </c>
      <c r="D3" s="8" t="s">
        <v>29</v>
      </c>
    </row>
    <row r="4" customFormat="false" ht="15" hidden="false" customHeight="true" outlineLevel="0" collapsed="false">
      <c r="A4" s="8" t="s">
        <v>30</v>
      </c>
      <c r="B4" s="8" t="s">
        <v>28</v>
      </c>
      <c r="C4" s="8" t="s">
        <v>17</v>
      </c>
      <c r="D4" s="8" t="s">
        <v>29</v>
      </c>
    </row>
    <row r="5" customFormat="false" ht="15" hidden="false" customHeight="true" outlineLevel="0" collapsed="false">
      <c r="A5" s="8" t="s">
        <v>31</v>
      </c>
      <c r="B5" s="8" t="s">
        <v>28</v>
      </c>
      <c r="C5" s="8" t="s">
        <v>17</v>
      </c>
      <c r="D5" s="8" t="s">
        <v>32</v>
      </c>
    </row>
    <row r="6" customFormat="false" ht="15" hidden="false" customHeight="true" outlineLevel="0" collapsed="false">
      <c r="A6" s="8" t="s">
        <v>33</v>
      </c>
      <c r="B6" s="8" t="s">
        <v>28</v>
      </c>
      <c r="C6" s="8" t="s">
        <v>17</v>
      </c>
      <c r="D6" s="8" t="s">
        <v>29</v>
      </c>
    </row>
    <row r="7" customFormat="false" ht="15" hidden="false" customHeight="true" outlineLevel="0" collapsed="false">
      <c r="A7" s="8" t="s">
        <v>34</v>
      </c>
      <c r="B7" s="8" t="s">
        <v>28</v>
      </c>
      <c r="C7" s="8" t="s">
        <v>17</v>
      </c>
      <c r="D7" s="8" t="s">
        <v>32</v>
      </c>
    </row>
    <row r="8" customFormat="false" ht="15" hidden="false" customHeight="true" outlineLevel="0" collapsed="false">
      <c r="A8" s="8" t="s">
        <v>35</v>
      </c>
      <c r="B8" s="8" t="s">
        <v>28</v>
      </c>
      <c r="C8" s="8" t="s">
        <v>17</v>
      </c>
      <c r="D8" s="8" t="s">
        <v>32</v>
      </c>
    </row>
    <row r="9" customFormat="false" ht="15" hidden="false" customHeight="true" outlineLevel="0" collapsed="false">
      <c r="A9" s="8" t="s">
        <v>36</v>
      </c>
      <c r="B9" s="8" t="s">
        <v>28</v>
      </c>
      <c r="C9" s="8" t="s">
        <v>17</v>
      </c>
      <c r="D9" s="8" t="s">
        <v>32</v>
      </c>
    </row>
    <row r="10" customFormat="false" ht="15" hidden="false" customHeight="true" outlineLevel="0" collapsed="false">
      <c r="A10" s="8" t="s">
        <v>37</v>
      </c>
      <c r="B10" s="8" t="s">
        <v>28</v>
      </c>
      <c r="C10" s="8" t="s">
        <v>17</v>
      </c>
      <c r="D10" s="8" t="s">
        <v>32</v>
      </c>
    </row>
    <row r="11" customFormat="false" ht="15" hidden="false" customHeight="true" outlineLevel="0" collapsed="false">
      <c r="A11" s="8" t="s">
        <v>38</v>
      </c>
      <c r="B11" s="8" t="s">
        <v>28</v>
      </c>
      <c r="C11" s="8" t="s">
        <v>17</v>
      </c>
      <c r="D11" s="8" t="s">
        <v>32</v>
      </c>
    </row>
    <row r="12" customFormat="false" ht="15" hidden="false" customHeight="true" outlineLevel="0" collapsed="false">
      <c r="A12" s="8" t="s">
        <v>18</v>
      </c>
      <c r="B12" s="8" t="s">
        <v>39</v>
      </c>
      <c r="C12" s="8" t="s">
        <v>18</v>
      </c>
      <c r="D12" s="8" t="s">
        <v>29</v>
      </c>
    </row>
    <row r="13" customFormat="false" ht="15" hidden="false" customHeight="true" outlineLevel="0" collapsed="false">
      <c r="A13" s="8" t="s">
        <v>40</v>
      </c>
      <c r="B13" s="8" t="s">
        <v>39</v>
      </c>
      <c r="C13" s="8" t="s">
        <v>18</v>
      </c>
      <c r="D13" s="8" t="s">
        <v>32</v>
      </c>
    </row>
    <row r="14" customFormat="false" ht="15" hidden="false" customHeight="true" outlineLevel="0" collapsed="false">
      <c r="A14" s="8" t="s">
        <v>41</v>
      </c>
      <c r="B14" s="8" t="s">
        <v>39</v>
      </c>
      <c r="C14" s="8" t="s">
        <v>18</v>
      </c>
      <c r="D14" s="8" t="s">
        <v>29</v>
      </c>
    </row>
    <row r="15" customFormat="false" ht="15" hidden="false" customHeight="true" outlineLevel="0" collapsed="false">
      <c r="A15" s="8" t="s">
        <v>42</v>
      </c>
      <c r="B15" s="8" t="s">
        <v>39</v>
      </c>
      <c r="C15" s="8" t="s">
        <v>18</v>
      </c>
      <c r="D15" s="8" t="s">
        <v>32</v>
      </c>
    </row>
    <row r="16" customFormat="false" ht="15" hidden="false" customHeight="true" outlineLevel="0" collapsed="false">
      <c r="A16" s="8" t="s">
        <v>43</v>
      </c>
      <c r="B16" s="8" t="s">
        <v>39</v>
      </c>
      <c r="C16" s="8" t="s">
        <v>18</v>
      </c>
      <c r="D16" s="8" t="s">
        <v>32</v>
      </c>
    </row>
    <row r="17" customFormat="false" ht="15" hidden="false" customHeight="true" outlineLevel="0" collapsed="false">
      <c r="A17" s="8" t="s">
        <v>44</v>
      </c>
      <c r="B17" s="8" t="s">
        <v>39</v>
      </c>
      <c r="C17" s="8" t="s">
        <v>18</v>
      </c>
      <c r="D17" s="8" t="s">
        <v>32</v>
      </c>
    </row>
    <row r="18" customFormat="false" ht="15" hidden="false" customHeight="true" outlineLevel="0" collapsed="false">
      <c r="A18" s="8" t="s">
        <v>45</v>
      </c>
      <c r="B18" s="8" t="s">
        <v>46</v>
      </c>
      <c r="C18" s="8" t="s">
        <v>19</v>
      </c>
      <c r="D18" s="8" t="s">
        <v>32</v>
      </c>
    </row>
    <row r="19" customFormat="false" ht="15" hidden="false" customHeight="true" outlineLevel="0" collapsed="false">
      <c r="A19" s="8" t="s">
        <v>47</v>
      </c>
      <c r="B19" s="8" t="s">
        <v>48</v>
      </c>
      <c r="C19" s="8" t="s">
        <v>20</v>
      </c>
      <c r="D19" s="8" t="s">
        <v>32</v>
      </c>
    </row>
    <row r="20" customFormat="false" ht="15" hidden="false" customHeight="true" outlineLevel="0" collapsed="false">
      <c r="A20" s="8" t="s">
        <v>21</v>
      </c>
      <c r="B20" s="8" t="s">
        <v>49</v>
      </c>
      <c r="C20" s="8" t="s">
        <v>50</v>
      </c>
      <c r="D20" s="8" t="s">
        <v>32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6" t="s">
        <v>54</v>
      </c>
      <c r="J4" s="17" t="n">
        <v>12</v>
      </c>
      <c r="K4" s="18" t="s">
        <v>55</v>
      </c>
      <c r="L4" s="17" t="n">
        <v>9.5</v>
      </c>
    </row>
    <row r="5" customFormat="false" ht="21.75" hidden="false" customHeight="true" outlineLevel="0" collapsed="false">
      <c r="I5" s="19" t="s">
        <v>56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1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1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67</v>
      </c>
      <c r="B7" s="8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2" t="n">
        <f aca="false">D7*$J$5</f>
        <v>1194.94736842105</v>
      </c>
      <c r="F7" s="22" t="n">
        <f aca="false">E7-C7</f>
        <v>-673.052631578948</v>
      </c>
      <c r="G7" s="10" t="n">
        <f aca="false">IF(AND(C7=0,E7=0),0,IF(C7=0,"New",(E7-C7)/C7))</f>
        <v>-0.360306547954469</v>
      </c>
      <c r="H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11" t="n">
        <f aca="false">I7*$J$5</f>
        <v>46584</v>
      </c>
      <c r="K7" s="11" t="n">
        <f aca="false">J7-H7</f>
        <v>-25836.2</v>
      </c>
      <c r="L7" s="10" t="n">
        <f aca="false">IF(AND(H7=0,J7=0),0,IF(H7=0,"New",(J7-H7)/H7))</f>
        <v>-0.356754054807913</v>
      </c>
    </row>
    <row r="8" customFormat="false" ht="15" hidden="false" customHeight="true" outlineLevel="0" collapsed="false">
      <c r="A8" s="8" t="s">
        <v>68</v>
      </c>
      <c r="B8" s="8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2" t="n">
        <f aca="false">D8*$J$5</f>
        <v>-2.52631578947368</v>
      </c>
      <c r="F8" s="22" t="n">
        <f aca="false">E8-C8</f>
        <v>-539.526315789474</v>
      </c>
      <c r="G8" s="10" t="n">
        <f aca="false">IF(AND(C8=0,E8=0),0,IF(C8=0,"New",(E8-C8)/C8))</f>
        <v>-1.00470449867686</v>
      </c>
      <c r="H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11" t="n">
        <f aca="false">I8*$J$5</f>
        <v>-103.957894736842</v>
      </c>
      <c r="K8" s="11" t="n">
        <f aca="false">J8-H8</f>
        <v>-31776.3578947368</v>
      </c>
      <c r="L8" s="10" t="n">
        <f aca="false">IF(AND(H8=0,J8=0),0,IF(H8=0,"New",(J8-H8)/H8))</f>
        <v>-1.0032822866198</v>
      </c>
    </row>
    <row r="9" customFormat="false" ht="15" hidden="false" customHeight="true" outlineLevel="0" collapsed="false">
      <c r="A9" s="8" t="s">
        <v>69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2" t="n">
        <f aca="false">D9*$J$5</f>
        <v>576</v>
      </c>
      <c r="F9" s="22" t="n">
        <f aca="false">E9-C9</f>
        <v>576</v>
      </c>
      <c r="G9" s="10" t="str">
        <f aca="false">IF(AND(C9=0,E9=0),0,IF(C9=0,"New",(E9-C9)/C9))</f>
        <v>New</v>
      </c>
      <c r="H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11" t="n">
        <f aca="false">I9*$J$5</f>
        <v>34131.1578947368</v>
      </c>
      <c r="K9" s="11" t="n">
        <f aca="false">J9-H9</f>
        <v>34131.1578947368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70</v>
      </c>
      <c r="B10" s="8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2" t="n">
        <f aca="false">D10*$J$5</f>
        <v>477.473684210526</v>
      </c>
      <c r="F10" s="22" t="n">
        <f aca="false">E10-C10</f>
        <v>-363.526315789474</v>
      </c>
      <c r="G10" s="10" t="n">
        <f aca="false">IF(AND(C10=0,E10=0),0,IF(C10=0,"New",(E10-C10)/C10))</f>
        <v>-0.432254834470242</v>
      </c>
      <c r="H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11" t="n">
        <f aca="false">I10*$J$5</f>
        <v>30622.3578947368</v>
      </c>
      <c r="K10" s="11" t="n">
        <f aca="false">J10-H10</f>
        <v>-19435.1421052632</v>
      </c>
      <c r="L10" s="10" t="n">
        <f aca="false">IF(AND(H10=0,J10=0),0,IF(H10=0,"New",(J10-H10)/H10))</f>
        <v>-0.388256347305861</v>
      </c>
    </row>
    <row r="11" customFormat="false" ht="15" hidden="false" customHeight="true" outlineLevel="0" collapsed="false">
      <c r="A11" s="8" t="s">
        <v>71</v>
      </c>
      <c r="B11" s="8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2" t="n">
        <f aca="false">D11*$J$5</f>
        <v>1013.05263157895</v>
      </c>
      <c r="F11" s="22" t="n">
        <f aca="false">E11-C11</f>
        <v>-96.9473684210527</v>
      </c>
      <c r="G11" s="10" t="n">
        <f aca="false">IF(AND(C11=0,E11=0),0,IF(C11=0,"New",(E11-C11)/C11))</f>
        <v>-0.0873399715504979</v>
      </c>
      <c r="H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11" t="n">
        <f aca="false">I11*$J$5</f>
        <v>87272.7157894737</v>
      </c>
      <c r="K11" s="11" t="n">
        <f aca="false">J11-H11</f>
        <v>-7343.58421052632</v>
      </c>
      <c r="L11" s="10" t="n">
        <f aca="false">IF(AND(H11=0,J11=0),0,IF(H11=0,"New",(J11-H11)/H11))</f>
        <v>-0.0776143667690061</v>
      </c>
    </row>
    <row r="12" customFormat="false" ht="15" hidden="false" customHeight="true" outlineLevel="0" collapsed="false">
      <c r="A12" s="8" t="s">
        <v>72</v>
      </c>
      <c r="B12" s="8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2" t="n">
        <f aca="false">D12*$J$5</f>
        <v>144</v>
      </c>
      <c r="F12" s="22" t="n">
        <f aca="false">E12-C12</f>
        <v>125</v>
      </c>
      <c r="G12" s="10" t="n">
        <f aca="false">IF(AND(C12=0,E12=0),0,IF(C12=0,"New",(E12-C12)/C12))</f>
        <v>6.57894736842105</v>
      </c>
      <c r="H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11" t="n">
        <f aca="false">I12*$J$5</f>
        <v>29405.8105263158</v>
      </c>
      <c r="K12" s="11" t="n">
        <f aca="false">J12-H12</f>
        <v>25371.2105263158</v>
      </c>
      <c r="L12" s="10" t="n">
        <f aca="false">IF(AND(H12=0,J12=0),0,IF(H12=0,"New",(J12-H12)/H12))</f>
        <v>6.28840790321613</v>
      </c>
    </row>
    <row r="13" customFormat="false" ht="15" hidden="false" customHeight="true" outlineLevel="0" collapsed="false">
      <c r="A13" s="8" t="s">
        <v>73</v>
      </c>
      <c r="B13" s="8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2" t="n">
        <f aca="false">D13*$J$5</f>
        <v>300.631578947368</v>
      </c>
      <c r="F13" s="22" t="n">
        <f aca="false">E13-C13</f>
        <v>-164.368421052632</v>
      </c>
      <c r="G13" s="10" t="n">
        <f aca="false">IF(AND(C13=0,E13=0),0,IF(C13=0,"New",(E13-C13)/C13))</f>
        <v>-0.353480475382004</v>
      </c>
      <c r="H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11" t="n">
        <f aca="false">I13*$J$5</f>
        <v>25554.1894736842</v>
      </c>
      <c r="K13" s="11" t="n">
        <f aca="false">J13-H13</f>
        <v>-12223.5105263158</v>
      </c>
      <c r="L13" s="10" t="n">
        <f aca="false">IF(AND(H13=0,J13=0),0,IF(H13=0,"New",(J13-H13)/H13))</f>
        <v>-0.323564180093436</v>
      </c>
    </row>
    <row r="14" customFormat="false" ht="15" hidden="false" customHeight="true" outlineLevel="0" collapsed="false">
      <c r="A14" s="8" t="s">
        <v>74</v>
      </c>
      <c r="B14" s="8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2" t="n">
        <f aca="false">D14*$J$5</f>
        <v>198.315789473684</v>
      </c>
      <c r="F14" s="22" t="n">
        <f aca="false">E14-C14</f>
        <v>-124.684210526316</v>
      </c>
      <c r="G14" s="10" t="n">
        <f aca="false">IF(AND(C14=0,E14=0),0,IF(C14=0,"New",(E14-C14)/C14))</f>
        <v>-0.386019227635653</v>
      </c>
      <c r="H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11" t="n">
        <f aca="false">I14*$J$5</f>
        <v>19592.0842105263</v>
      </c>
      <c r="K14" s="11" t="n">
        <f aca="false">J14-H14</f>
        <v>-12094.1157894737</v>
      </c>
      <c r="L14" s="10" t="n">
        <f aca="false">IF(AND(H14=0,J14=0),0,IF(H14=0,"New",(J14-H14)/H14))</f>
        <v>-0.381684007216823</v>
      </c>
    </row>
    <row r="15" customFormat="false" ht="15" hidden="false" customHeight="true" outlineLevel="0" collapsed="false">
      <c r="A15" s="8" t="s">
        <v>75</v>
      </c>
      <c r="B15" s="8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2" t="n">
        <f aca="false">D15*$J$5</f>
        <v>286.736842105263</v>
      </c>
      <c r="F15" s="22" t="n">
        <f aca="false">E15-C15</f>
        <v>-252.263157894737</v>
      </c>
      <c r="G15" s="10" t="n">
        <f aca="false">IF(AND(C15=0,E15=0),0,IF(C15=0,"New",(E15-C15)/C15))</f>
        <v>-0.468020701103408</v>
      </c>
      <c r="H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11" t="n">
        <f aca="false">I15*$J$5</f>
        <v>13895.7473684211</v>
      </c>
      <c r="K15" s="11" t="n">
        <f aca="false">J15-H15</f>
        <v>-12175.452631579</v>
      </c>
      <c r="L15" s="10" t="n">
        <f aca="false">IF(AND(H15=0,J15=0),0,IF(H15=0,"New",(J15-H15)/H15))</f>
        <v>-0.467007756895691</v>
      </c>
    </row>
    <row r="16" customFormat="false" ht="15" hidden="false" customHeight="true" outlineLevel="0" collapsed="false">
      <c r="A16" s="8" t="s">
        <v>76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2" t="n">
        <f aca="false">D16*$J$5</f>
        <v>1121.68421052632</v>
      </c>
      <c r="F16" s="22" t="n">
        <f aca="false">E16-C16</f>
        <v>-203.315789473684</v>
      </c>
      <c r="G16" s="10" t="n">
        <f aca="false">IF(AND(C16=0,E16=0),0,IF(C16=0,"New",(E16-C16)/C16))</f>
        <v>-0.153445878848064</v>
      </c>
      <c r="H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11" t="n">
        <f aca="false">I16*$J$5</f>
        <v>33868.4210526316</v>
      </c>
      <c r="K16" s="11" t="n">
        <f aca="false">J16-H16</f>
        <v>-5884.17894736842</v>
      </c>
      <c r="L16" s="10" t="n">
        <f aca="false">IF(AND(H16=0,J16=0),0,IF(H16=0,"New",(J16-H16)/H16))</f>
        <v>-0.148019977243461</v>
      </c>
    </row>
    <row r="17" customFormat="false" ht="15" hidden="false" customHeight="true" outlineLevel="0" collapsed="false">
      <c r="A17" s="8" t="s">
        <v>77</v>
      </c>
      <c r="B17" s="8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2" t="n">
        <f aca="false">D17*$J$5</f>
        <v>424.421052631579</v>
      </c>
      <c r="F17" s="22" t="n">
        <f aca="false">E17-C17</f>
        <v>-77.5789473684211</v>
      </c>
      <c r="G17" s="10" t="n">
        <f aca="false">IF(AND(C17=0,E17=0),0,IF(C17=0,"New",(E17-C17)/C17))</f>
        <v>-0.154539735793668</v>
      </c>
      <c r="H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11" t="n">
        <f aca="false">I17*$J$5</f>
        <v>33096.5052631579</v>
      </c>
      <c r="K17" s="11" t="n">
        <f aca="false">J17-H17</f>
        <v>-5794.19473684212</v>
      </c>
      <c r="L17" s="10" t="n">
        <f aca="false">IF(AND(H17=0,J17=0),0,IF(H17=0,"New",(J17-H17)/H17))</f>
        <v>-0.148986640426686</v>
      </c>
    </row>
    <row r="18" customFormat="false" ht="15" hidden="false" customHeight="true" outlineLevel="0" collapsed="false">
      <c r="A18" s="8" t="s">
        <v>78</v>
      </c>
      <c r="B18" s="8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2" t="n">
        <f aca="false">D18*$J$5</f>
        <v>137.684210526316</v>
      </c>
      <c r="F18" s="22" t="n">
        <f aca="false">E18-C18</f>
        <v>-99.3157894736842</v>
      </c>
      <c r="G18" s="10" t="n">
        <f aca="false">IF(AND(C18=0,E18=0),0,IF(C18=0,"New",(E18-C18)/C18))</f>
        <v>-0.419053964023984</v>
      </c>
      <c r="H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11" t="n">
        <f aca="false">I18*$J$5</f>
        <v>13559.7473684211</v>
      </c>
      <c r="K18" s="11" t="n">
        <f aca="false">J18-H18</f>
        <v>-9787.65263157895</v>
      </c>
      <c r="L18" s="10" t="n">
        <f aca="false">IF(AND(H18=0,J18=0),0,IF(H18=0,"New",(J18-H18)/H18))</f>
        <v>-0.419218098442608</v>
      </c>
    </row>
    <row r="19" customFormat="false" ht="15" hidden="false" customHeight="true" outlineLevel="0" collapsed="false">
      <c r="A19" s="8" t="s">
        <v>79</v>
      </c>
      <c r="B19" s="8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2" t="n">
        <f aca="false">D19*$J$5</f>
        <v>882.947368421053</v>
      </c>
      <c r="F19" s="22" t="n">
        <f aca="false">E19-C19</f>
        <v>-267.052631578947</v>
      </c>
      <c r="G19" s="10" t="n">
        <f aca="false">IF(AND(C19=0,E19=0),0,IF(C19=0,"New",(E19-C19)/C19))</f>
        <v>-0.232219679633867</v>
      </c>
      <c r="H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11" t="n">
        <f aca="false">I19*$J$5</f>
        <v>26822.0210526316</v>
      </c>
      <c r="K19" s="11" t="n">
        <f aca="false">J19-H19</f>
        <v>-6952.07894736842</v>
      </c>
      <c r="L19" s="10" t="n">
        <f aca="false">IF(AND(H19=0,J19=0),0,IF(H19=0,"New",(J19-H19)/H19))</f>
        <v>-0.205840538974197</v>
      </c>
    </row>
    <row r="20" customFormat="false" ht="15" hidden="false" customHeight="true" outlineLevel="0" collapsed="false">
      <c r="A20" s="8" t="s">
        <v>80</v>
      </c>
      <c r="B20" s="8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2" t="n">
        <f aca="false">D20*$J$5</f>
        <v>433.263157894737</v>
      </c>
      <c r="F20" s="22" t="n">
        <f aca="false">E20-C20</f>
        <v>-129.736842105263</v>
      </c>
      <c r="G20" s="10" t="n">
        <f aca="false">IF(AND(C20=0,E20=0),0,IF(C20=0,"New",(E20-C20)/C20))</f>
        <v>-0.230438440684304</v>
      </c>
      <c r="H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11" t="n">
        <f aca="false">I20*$J$5</f>
        <v>23623.7052631579</v>
      </c>
      <c r="K20" s="11" t="n">
        <f aca="false">J20-H20</f>
        <v>-7011.5947368421</v>
      </c>
      <c r="L20" s="10" t="n">
        <f aca="false">IF(AND(H20=0,J20=0),0,IF(H20=0,"New",(J20-H20)/H20))</f>
        <v>-0.228873056142493</v>
      </c>
    </row>
    <row r="21" customFormat="false" ht="15" hidden="false" customHeight="true" outlineLevel="0" collapsed="false">
      <c r="A21" s="8" t="s">
        <v>81</v>
      </c>
      <c r="B21" s="8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2" t="n">
        <f aca="false">D21*$J$5</f>
        <v>430.736842105263</v>
      </c>
      <c r="F21" s="22" t="n">
        <f aca="false">E21-C21</f>
        <v>-525.263157894737</v>
      </c>
      <c r="G21" s="10" t="n">
        <f aca="false">IF(AND(C21=0,E21=0),0,IF(C21=0,"New",(E21-C21)/C21))</f>
        <v>-0.549438449680687</v>
      </c>
      <c r="H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11" t="n">
        <f aca="false">I21*$J$5</f>
        <v>8202.06315789474</v>
      </c>
      <c r="K21" s="11" t="n">
        <f aca="false">J21-H21</f>
        <v>-9599.63684210526</v>
      </c>
      <c r="L21" s="10" t="n">
        <f aca="false">IF(AND(H21=0,J21=0),0,IF(H21=0,"New",(J21-H21)/H21))</f>
        <v>-0.539253938787041</v>
      </c>
    </row>
    <row r="22" customFormat="false" ht="15" hidden="false" customHeight="true" outlineLevel="0" collapsed="false">
      <c r="A22" s="8" t="s">
        <v>82</v>
      </c>
      <c r="B22" s="8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2" t="n">
        <f aca="false">D22*$J$5</f>
        <v>439.578947368421</v>
      </c>
      <c r="F22" s="22" t="n">
        <f aca="false">E22-C22</f>
        <v>-168.421052631579</v>
      </c>
      <c r="G22" s="10" t="n">
        <f aca="false">IF(AND(C22=0,E22=0),0,IF(C22=0,"New",(E22-C22)/C22))</f>
        <v>-0.277008310249308</v>
      </c>
      <c r="H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11" t="n">
        <f aca="false">I22*$J$5</f>
        <v>19921.5157894737</v>
      </c>
      <c r="K22" s="11" t="n">
        <f aca="false">J22-H22</f>
        <v>-7123.68421052632</v>
      </c>
      <c r="L22" s="10" t="n">
        <f aca="false">IF(AND(H22=0,J22=0),0,IF(H22=0,"New",(J22-H22)/H22))</f>
        <v>-0.26339920616325</v>
      </c>
    </row>
    <row r="23" customFormat="false" ht="15" hidden="false" customHeight="true" outlineLevel="0" collapsed="false">
      <c r="A23" s="8" t="s">
        <v>83</v>
      </c>
      <c r="B23" s="8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2" t="n">
        <f aca="false">D23*$J$5</f>
        <v>1102.73684210526</v>
      </c>
      <c r="F23" s="22" t="n">
        <f aca="false">E23-C23</f>
        <v>-149.263157894737</v>
      </c>
      <c r="G23" s="10" t="n">
        <f aca="false">IF(AND(C23=0,E23=0),0,IF(C23=0,"New",(E23-C23)/C23))</f>
        <v>-0.119219774676307</v>
      </c>
      <c r="H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11" t="n">
        <f aca="false">I23*$J$5</f>
        <v>33013.1368421053</v>
      </c>
      <c r="K23" s="11" t="n">
        <f aca="false">J23-H23</f>
        <v>-4357.46315789474</v>
      </c>
      <c r="L23" s="10" t="n">
        <f aca="false">IF(AND(H23=0,J23=0),0,IF(H23=0,"New",(J23-H23)/H23))</f>
        <v>-0.116601370004622</v>
      </c>
    </row>
    <row r="24" customFormat="false" ht="15" hidden="false" customHeight="true" outlineLevel="0" collapsed="false">
      <c r="A24" s="8" t="s">
        <v>84</v>
      </c>
      <c r="B24" s="8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2" t="n">
        <f aca="false">D24*$J$5</f>
        <v>992.842105263158</v>
      </c>
      <c r="F24" s="22" t="n">
        <f aca="false">E24-C24</f>
        <v>-56.1578947368422</v>
      </c>
      <c r="G24" s="10" t="n">
        <f aca="false">IF(AND(C24=0,E24=0),0,IF(C24=0,"New",(E24-C24)/C24))</f>
        <v>-0.0535346946967037</v>
      </c>
      <c r="H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11" t="n">
        <f aca="false">I24*$J$5</f>
        <v>77807.8736842105</v>
      </c>
      <c r="K24" s="11" t="n">
        <f aca="false">J24-H24</f>
        <v>5005.57368421053</v>
      </c>
      <c r="L24" s="10" t="n">
        <f aca="false">IF(AND(H24=0,J24=0),0,IF(H24=0,"New",(J24-H24)/H24))</f>
        <v>0.068755708050577</v>
      </c>
    </row>
    <row r="25" customFormat="false" ht="15" hidden="false" customHeight="true" outlineLevel="0" collapsed="false">
      <c r="A25" s="8" t="s">
        <v>85</v>
      </c>
      <c r="B25" s="8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2" t="n">
        <f aca="false">D25*$J$5</f>
        <v>377.684210526316</v>
      </c>
      <c r="F25" s="22" t="n">
        <f aca="false">E25-C25</f>
        <v>-176.315789473684</v>
      </c>
      <c r="G25" s="10" t="n">
        <f aca="false">IF(AND(C25=0,E25=0),0,IF(C25=0,"New",(E25-C25)/C25))</f>
        <v>-0.318259547786434</v>
      </c>
      <c r="H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11" t="n">
        <f aca="false">I25*$J$5</f>
        <v>17277.2210526316</v>
      </c>
      <c r="K25" s="11" t="n">
        <f aca="false">J25-H25</f>
        <v>-7406.27894736842</v>
      </c>
      <c r="L25" s="10" t="n">
        <f aca="false">IF(AND(H25=0,J25=0),0,IF(H25=0,"New",(J25-H25)/H25))</f>
        <v>-0.30004978821352</v>
      </c>
    </row>
    <row r="26" customFormat="false" ht="15" hidden="false" customHeight="true" outlineLevel="0" collapsed="false">
      <c r="A26" s="8" t="s">
        <v>86</v>
      </c>
      <c r="B26" s="8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2" t="n">
        <f aca="false">D26*$J$5</f>
        <v>1354.10526315789</v>
      </c>
      <c r="F26" s="22" t="n">
        <f aca="false">E26-C26</f>
        <v>-338.894736842105</v>
      </c>
      <c r="G26" s="10" t="n">
        <f aca="false">IF(AND(C26=0,E26=0),0,IF(C26=0,"New",(E26-C26)/C26))</f>
        <v>-0.200174091460192</v>
      </c>
      <c r="H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11" t="n">
        <f aca="false">I26*$J$5</f>
        <v>24019.4526315789</v>
      </c>
      <c r="K26" s="11" t="n">
        <f aca="false">J26-H26</f>
        <v>-5885.64736842105</v>
      </c>
      <c r="L26" s="10" t="n">
        <f aca="false">IF(AND(H26=0,J26=0),0,IF(H26=0,"New",(J26-H26)/H26))</f>
        <v>-0.196810823853492</v>
      </c>
    </row>
    <row r="27" customFormat="false" ht="15" hidden="false" customHeight="true" outlineLevel="0" collapsed="false">
      <c r="A27" s="8" t="s">
        <v>87</v>
      </c>
      <c r="B27" s="8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2" t="n">
        <f aca="false">D27*$J$5</f>
        <v>679.578947368421</v>
      </c>
      <c r="F27" s="22" t="n">
        <f aca="false">E27-C27</f>
        <v>-246.421052631579</v>
      </c>
      <c r="G27" s="10" t="n">
        <f aca="false">IF(AND(C27=0,E27=0),0,IF(C27=0,"New",(E27-C27)/C27))</f>
        <v>-0.266113447766284</v>
      </c>
      <c r="H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11" t="n">
        <f aca="false">I27*$J$5</f>
        <v>20820.7578947368</v>
      </c>
      <c r="K27" s="11" t="n">
        <f aca="false">J27-H27</f>
        <v>-6507.14210526316</v>
      </c>
      <c r="L27" s="10" t="n">
        <f aca="false">IF(AND(H27=0,J27=0),0,IF(H27=0,"New",(J27-H27)/H27))</f>
        <v>-0.238113506901853</v>
      </c>
    </row>
    <row r="28" customFormat="false" ht="15" hidden="false" customHeight="true" outlineLevel="0" collapsed="false">
      <c r="A28" s="8" t="s">
        <v>88</v>
      </c>
      <c r="B28" s="8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2" t="n">
        <f aca="false">D28*$J$5</f>
        <v>564.631578947368</v>
      </c>
      <c r="F28" s="22" t="n">
        <f aca="false">E28-C28</f>
        <v>-221.368421052632</v>
      </c>
      <c r="G28" s="10" t="n">
        <f aca="false">IF(AND(C28=0,E28=0),0,IF(C28=0,"New",(E28-C28)/C28))</f>
        <v>-0.281639212535155</v>
      </c>
      <c r="H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11" t="n">
        <f aca="false">I28*$J$5</f>
        <v>16787.8736842105</v>
      </c>
      <c r="K28" s="11" t="n">
        <f aca="false">J28-H28</f>
        <v>-6426.92631578948</v>
      </c>
      <c r="L28" s="10" t="n">
        <f aca="false">IF(AND(H28=0,J28=0),0,IF(H28=0,"New",(J28-H28)/H28))</f>
        <v>-0.276846077320911</v>
      </c>
    </row>
    <row r="29" customFormat="false" ht="15" hidden="false" customHeight="true" outlineLevel="0" collapsed="false">
      <c r="A29" s="8" t="s">
        <v>89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2" t="n">
        <f aca="false">D29*$J$5</f>
        <v>957.473684210526</v>
      </c>
      <c r="F29" s="22" t="n">
        <f aca="false">E29-C29</f>
        <v>-133.526315789474</v>
      </c>
      <c r="G29" s="10" t="n">
        <f aca="false">IF(AND(C29=0,E29=0),0,IF(C29=0,"New",(E29-C29)/C29))</f>
        <v>-0.12238892373004</v>
      </c>
      <c r="H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11" t="n">
        <f aca="false">I29*$J$5</f>
        <v>28563.7894736842</v>
      </c>
      <c r="K29" s="11" t="n">
        <f aca="false">J29-H29</f>
        <v>-3866.1105263158</v>
      </c>
      <c r="L29" s="10" t="n">
        <f aca="false">IF(AND(H29=0,J29=0),0,IF(H29=0,"New",(J29-H29)/H29))</f>
        <v>-0.119214383217827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2" t="n">
        <f aca="false">D30*$J$5</f>
        <v>591.157894736842</v>
      </c>
      <c r="F30" s="22" t="n">
        <f aca="false">E30-C30</f>
        <v>-408.842105263158</v>
      </c>
      <c r="G30" s="10" t="n">
        <f aca="false">IF(AND(C30=0,E30=0),0,IF(C30=0,"New",(E30-C30)/C30))</f>
        <v>-0.408842105263158</v>
      </c>
      <c r="H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11" t="n">
        <f aca="false">I30*$J$5</f>
        <v>12472.2947368421</v>
      </c>
      <c r="K30" s="11" t="n">
        <f aca="false">J30-H30</f>
        <v>-7157.2052631579</v>
      </c>
      <c r="L30" s="10" t="n">
        <f aca="false">IF(AND(H30=0,J30=0),0,IF(H30=0,"New",(J30-H30)/H30))</f>
        <v>-0.3646147514281</v>
      </c>
    </row>
    <row r="31" customFormat="false" ht="15" hidden="false" customHeight="true" outlineLevel="0" collapsed="false">
      <c r="A31" s="8" t="s">
        <v>91</v>
      </c>
      <c r="B31" s="8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2" t="n">
        <f aca="false">D31*$J$5</f>
        <v>1011.78947368421</v>
      </c>
      <c r="F31" s="22" t="n">
        <f aca="false">E31-C31</f>
        <v>-131.210526315789</v>
      </c>
      <c r="G31" s="10" t="n">
        <f aca="false">IF(AND(C31=0,E31=0),0,IF(C31=0,"New",(E31-C31)/C31))</f>
        <v>-0.11479486116867</v>
      </c>
      <c r="H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11" t="n">
        <f aca="false">I31*$J$5</f>
        <v>33968.7157894737</v>
      </c>
      <c r="K31" s="11" t="n">
        <f aca="false">J31-H31</f>
        <v>-2517.88421052632</v>
      </c>
      <c r="L31" s="10" t="n">
        <f aca="false">IF(AND(H31=0,J31=0),0,IF(H31=0,"New",(J31-H31)/H31))</f>
        <v>-0.0690084636695753</v>
      </c>
    </row>
    <row r="32" customFormat="false" ht="15" hidden="false" customHeight="true" outlineLevel="0" collapsed="false">
      <c r="A32" s="8" t="s">
        <v>92</v>
      </c>
      <c r="B32" s="8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2" t="n">
        <f aca="false">D32*$J$5</f>
        <v>519.157894736842</v>
      </c>
      <c r="F32" s="22" t="n">
        <f aca="false">E32-C32</f>
        <v>-80.8421052631579</v>
      </c>
      <c r="G32" s="10" t="n">
        <f aca="false">IF(AND(C32=0,E32=0),0,IF(C32=0,"New",(E32-C32)/C32))</f>
        <v>-0.134736842105263</v>
      </c>
      <c r="H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11" t="n">
        <f aca="false">I32*$J$5</f>
        <v>28873.2631578947</v>
      </c>
      <c r="K32" s="11" t="n">
        <f aca="false">J32-H32</f>
        <v>-3499.63684210527</v>
      </c>
      <c r="L32" s="10" t="n">
        <f aca="false">IF(AND(H32=0,J32=0),0,IF(H32=0,"New",(J32-H32)/H32))</f>
        <v>-0.108103903020899</v>
      </c>
    </row>
    <row r="33" customFormat="false" ht="15" hidden="false" customHeight="true" outlineLevel="0" collapsed="false">
      <c r="A33" s="8" t="s">
        <v>93</v>
      </c>
      <c r="B33" s="8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2" t="n">
        <f aca="false">D33*$J$5</f>
        <v>362.526315789474</v>
      </c>
      <c r="F33" s="22" t="n">
        <f aca="false">E33-C33</f>
        <v>-213.473684210526</v>
      </c>
      <c r="G33" s="10" t="n">
        <f aca="false">IF(AND(C33=0,E33=0),0,IF(C33=0,"New",(E33-C33)/C33))</f>
        <v>-0.370614035087719</v>
      </c>
      <c r="H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11" t="n">
        <f aca="false">I33*$J$5</f>
        <v>11770.6105263158</v>
      </c>
      <c r="K33" s="11" t="n">
        <f aca="false">J33-H33</f>
        <v>-7019.18947368421</v>
      </c>
      <c r="L33" s="10" t="n">
        <f aca="false">IF(AND(H33=0,J33=0),0,IF(H33=0,"New",(J33-H33)/H33))</f>
        <v>-0.373563820460261</v>
      </c>
    </row>
    <row r="34" customFormat="false" ht="15" hidden="false" customHeight="true" outlineLevel="0" collapsed="false">
      <c r="A34" s="8" t="s">
        <v>94</v>
      </c>
      <c r="B34" s="8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2" t="n">
        <f aca="false">D34*$J$5</f>
        <v>69.4736842105263</v>
      </c>
      <c r="F34" s="22" t="n">
        <f aca="false">E34-C34</f>
        <v>-69.5263157894737</v>
      </c>
      <c r="G34" s="10" t="n">
        <f aca="false">IF(AND(C34=0,E34=0),0,IF(C34=0,"New",(E34-C34)/C34))</f>
        <v>-0.500189322226429</v>
      </c>
      <c r="H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11" t="n">
        <f aca="false">I34*$J$5</f>
        <v>7900.8</v>
      </c>
      <c r="K34" s="11" t="n">
        <f aca="false">J34-H34</f>
        <v>-7538.2</v>
      </c>
      <c r="L34" s="10" t="n">
        <f aca="false">IF(AND(H34=0,J34=0),0,IF(H34=0,"New",(J34-H34)/H34))</f>
        <v>-0.488257011464473</v>
      </c>
    </row>
    <row r="35" customFormat="false" ht="15" hidden="false" customHeight="true" outlineLevel="0" collapsed="false">
      <c r="A35" s="8" t="s">
        <v>95</v>
      </c>
      <c r="B35" s="8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2" t="n">
        <f aca="false">D35*$J$5</f>
        <v>351.157894736842</v>
      </c>
      <c r="F35" s="22" t="n">
        <f aca="false">E35-C35</f>
        <v>-334.842105263158</v>
      </c>
      <c r="G35" s="10" t="n">
        <f aca="false">IF(AND(C35=0,E35=0),0,IF(C35=0,"New",(E35-C35)/C35))</f>
        <v>-0.488108025164953</v>
      </c>
      <c r="H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11" t="n">
        <f aca="false">I35*$J$5</f>
        <v>8044.92631578947</v>
      </c>
      <c r="K35" s="11" t="n">
        <f aca="false">J35-H35</f>
        <v>-7405.17368421053</v>
      </c>
      <c r="L35" s="10" t="n">
        <f aca="false">IF(AND(H35=0,J35=0),0,IF(H35=0,"New",(J35-H35)/H35))</f>
        <v>-0.47929616534589</v>
      </c>
    </row>
    <row r="36" customFormat="false" ht="15" hidden="false" customHeight="true" outlineLevel="0" collapsed="false">
      <c r="A36" s="8" t="s">
        <v>96</v>
      </c>
      <c r="B36" s="8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2" t="n">
        <f aca="false">D36*$J$5</f>
        <v>147.789473684211</v>
      </c>
      <c r="F36" s="22" t="n">
        <f aca="false">E36-C36</f>
        <v>-263.21052631579</v>
      </c>
      <c r="G36" s="10" t="n">
        <f aca="false">IF(AND(C36=0,E36=0),0,IF(C36=0,"New",(E36-C36)/C36))</f>
        <v>-0.640414905877833</v>
      </c>
      <c r="H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11" t="n">
        <f aca="false">I36*$J$5</f>
        <v>5311.57894736842</v>
      </c>
      <c r="K36" s="11" t="n">
        <f aca="false">J36-H36</f>
        <v>-7745.42105263158</v>
      </c>
      <c r="L36" s="10" t="n">
        <f aca="false">IF(AND(H36=0,J36=0),0,IF(H36=0,"New",(J36-H36)/H36))</f>
        <v>-0.593200662681441</v>
      </c>
    </row>
    <row r="37" customFormat="false" ht="15" hidden="false" customHeight="true" outlineLevel="0" collapsed="false">
      <c r="A37" s="8" t="s">
        <v>97</v>
      </c>
      <c r="B37" s="8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2" t="n">
        <f aca="false">D37*$J$5</f>
        <v>111.157894736842</v>
      </c>
      <c r="F37" s="22" t="n">
        <f aca="false">E37-C37</f>
        <v>-57.8421052631579</v>
      </c>
      <c r="G37" s="10" t="n">
        <f aca="false">IF(AND(C37=0,E37=0),0,IF(C37=0,"New",(E37-C37)/C37))</f>
        <v>-0.342260977888508</v>
      </c>
      <c r="H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11" t="n">
        <f aca="false">I37*$J$5</f>
        <v>11635.2</v>
      </c>
      <c r="K37" s="11" t="n">
        <f aca="false">J37-H37</f>
        <v>-5880.5</v>
      </c>
      <c r="L37" s="10" t="n">
        <f aca="false">IF(AND(H37=0,J37=0),0,IF(H37=0,"New",(J37-H37)/H37))</f>
        <v>-0.335727376011236</v>
      </c>
    </row>
    <row r="38" customFormat="false" ht="15" hidden="false" customHeight="true" outlineLevel="0" collapsed="false">
      <c r="A38" s="8" t="s">
        <v>98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2" t="n">
        <f aca="false">D38*$J$5</f>
        <v>536.842105263158</v>
      </c>
      <c r="F38" s="22" t="n">
        <f aca="false">E38-C38</f>
        <v>-173.157894736842</v>
      </c>
      <c r="G38" s="10" t="n">
        <f aca="false">IF(AND(C38=0,E38=0),0,IF(C38=0,"New",(E38-C38)/C38))</f>
        <v>-0.243884358784285</v>
      </c>
      <c r="H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11" t="n">
        <f aca="false">I38*$J$5</f>
        <v>19098.4421052632</v>
      </c>
      <c r="K38" s="11" t="n">
        <f aca="false">J38-H38</f>
        <v>-4169.75789473684</v>
      </c>
      <c r="L38" s="10" t="n">
        <f aca="false">IF(AND(H38=0,J38=0),0,IF(H38=0,"New",(J38-H38)/H38))</f>
        <v>-0.179204145345873</v>
      </c>
    </row>
    <row r="39" customFormat="false" ht="15" hidden="false" customHeight="true" outlineLevel="0" collapsed="false">
      <c r="A39" s="8" t="s">
        <v>99</v>
      </c>
      <c r="B39" s="8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2" t="n">
        <f aca="false">D39*$J$5</f>
        <v>226.105263157895</v>
      </c>
      <c r="F39" s="22" t="n">
        <f aca="false">E39-C39</f>
        <v>-155.894736842105</v>
      </c>
      <c r="G39" s="10" t="n">
        <f aca="false">IF(AND(C39=0,E39=0),0,IF(C39=0,"New",(E39-C39)/C39))</f>
        <v>-0.408101405345825</v>
      </c>
      <c r="H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11" t="n">
        <f aca="false">I39*$J$5</f>
        <v>10298.5263157895</v>
      </c>
      <c r="K39" s="11" t="n">
        <f aca="false">J39-H39</f>
        <v>-5700.17368421053</v>
      </c>
      <c r="L39" s="10" t="n">
        <f aca="false">IF(AND(H39=0,J39=0),0,IF(H39=0,"New",(J39-H39)/H39))</f>
        <v>-0.356289803809718</v>
      </c>
    </row>
    <row r="40" customFormat="false" ht="15" hidden="false" customHeight="true" outlineLevel="0" collapsed="false">
      <c r="A40" s="8" t="s">
        <v>100</v>
      </c>
      <c r="B40" s="8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2" t="n">
        <f aca="false">D40*$J$5</f>
        <v>70.7368421052632</v>
      </c>
      <c r="F40" s="22" t="n">
        <f aca="false">E40-C40</f>
        <v>-83.2631578947369</v>
      </c>
      <c r="G40" s="10" t="n">
        <f aca="false">IF(AND(C40=0,E40=0),0,IF(C40=0,"New",(E40-C40)/C40))</f>
        <v>-0.54066985645933</v>
      </c>
      <c r="H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11" t="n">
        <f aca="false">I40*$J$5</f>
        <v>6782.65263157895</v>
      </c>
      <c r="K40" s="11" t="n">
        <f aca="false">J40-H40</f>
        <v>-6366.64736842105</v>
      </c>
      <c r="L40" s="10" t="n">
        <f aca="false">IF(AND(H40=0,J40=0),0,IF(H40=0,"New",(J40-H40)/H40))</f>
        <v>-0.484181467334463</v>
      </c>
    </row>
    <row r="41" customFormat="false" ht="15" hidden="false" customHeight="true" outlineLevel="0" collapsed="false">
      <c r="A41" s="8" t="s">
        <v>101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2" t="n">
        <f aca="false">D41*$J$5</f>
        <v>65.6842105263158</v>
      </c>
      <c r="F41" s="22" t="n">
        <f aca="false">E41-C41</f>
        <v>-55.3157894736842</v>
      </c>
      <c r="G41" s="10" t="n">
        <f aca="false">IF(AND(C41=0,E41=0),0,IF(C41=0,"New",(E41-C41)/C41))</f>
        <v>-0.457155284906481</v>
      </c>
      <c r="H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11" t="n">
        <f aca="false">I41*$J$5</f>
        <v>7535.87368421053</v>
      </c>
      <c r="K41" s="11" t="n">
        <f aca="false">J41-H41</f>
        <v>-5844.32631578948</v>
      </c>
      <c r="L41" s="10" t="n">
        <f aca="false">IF(AND(H41=0,J41=0),0,IF(H41=0,"New",(J41-H41)/H41))</f>
        <v>-0.436789159787557</v>
      </c>
    </row>
    <row r="42" customFormat="false" ht="15" hidden="false" customHeight="true" outlineLevel="0" collapsed="false">
      <c r="A42" s="8" t="s">
        <v>102</v>
      </c>
      <c r="B42" s="8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2" t="n">
        <f aca="false">D42*$J$5</f>
        <v>437.052631578947</v>
      </c>
      <c r="F42" s="22" t="n">
        <f aca="false">E42-C42</f>
        <v>-146.947368421053</v>
      </c>
      <c r="G42" s="10" t="n">
        <f aca="false">IF(AND(C42=0,E42=0),0,IF(C42=0,"New",(E42-C42)/C42))</f>
        <v>-0.251622206200433</v>
      </c>
      <c r="H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11" t="n">
        <f aca="false">I42*$J$5</f>
        <v>12949.7684210526</v>
      </c>
      <c r="K42" s="11" t="n">
        <f aca="false">J42-H42</f>
        <v>-4469.63157894737</v>
      </c>
      <c r="L42" s="10" t="n">
        <f aca="false">IF(AND(H42=0,J42=0),0,IF(H42=0,"New",(J42-H42)/H42))</f>
        <v>-0.256589295782138</v>
      </c>
    </row>
    <row r="43" customFormat="false" ht="15" hidden="false" customHeight="true" outlineLevel="0" collapsed="false">
      <c r="A43" s="8" t="s">
        <v>103</v>
      </c>
      <c r="B43" s="8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2" t="n">
        <f aca="false">D43*$J$5</f>
        <v>357.473684210526</v>
      </c>
      <c r="F43" s="22" t="n">
        <f aca="false">E43-C43</f>
        <v>-124.526315789474</v>
      </c>
      <c r="G43" s="10" t="n">
        <f aca="false">IF(AND(C43=0,E43=0),0,IF(C43=0,"New",(E43-C43)/C43))</f>
        <v>-0.258353352260319</v>
      </c>
      <c r="H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11" t="n">
        <f aca="false">I43*$J$5</f>
        <v>12872.9684210526</v>
      </c>
      <c r="K43" s="11" t="n">
        <f aca="false">J43-H43</f>
        <v>-4457.53157894737</v>
      </c>
      <c r="L43" s="10" t="n">
        <f aca="false">IF(AND(H43=0,J43=0),0,IF(H43=0,"New",(J43-H43)/H43))</f>
        <v>-0.257207326906169</v>
      </c>
    </row>
    <row r="44" customFormat="false" ht="15" hidden="false" customHeight="true" outlineLevel="0" collapsed="false">
      <c r="A44" s="8" t="s">
        <v>104</v>
      </c>
      <c r="B44" s="8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2" t="n">
        <f aca="false">D44*$J$5</f>
        <v>674.526315789474</v>
      </c>
      <c r="F44" s="22" t="n">
        <f aca="false">E44-C44</f>
        <v>-388.473684210526</v>
      </c>
      <c r="G44" s="10" t="n">
        <f aca="false">IF(AND(C44=0,E44=0),0,IF(C44=0,"New",(E44-C44)/C44))</f>
        <v>-0.365450314403129</v>
      </c>
      <c r="H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11" t="n">
        <f aca="false">I44*$J$5</f>
        <v>9454.73684210526</v>
      </c>
      <c r="K44" s="11" t="n">
        <f aca="false">J44-H44</f>
        <v>-5097.76315789474</v>
      </c>
      <c r="L44" s="10" t="n">
        <f aca="false">IF(AND(H44=0,J44=0),0,IF(H44=0,"New",(J44-H44)/H44))</f>
        <v>-0.350301539796924</v>
      </c>
    </row>
    <row r="45" customFormat="false" ht="15" hidden="false" customHeight="true" outlineLevel="0" collapsed="false">
      <c r="A45" s="8" t="s">
        <v>105</v>
      </c>
      <c r="B45" s="8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2" t="n">
        <f aca="false">D45*$J$5</f>
        <v>251.368421052632</v>
      </c>
      <c r="F45" s="22" t="n">
        <f aca="false">E45-C45</f>
        <v>-112.631578947368</v>
      </c>
      <c r="G45" s="10" t="n">
        <f aca="false">IF(AND(C45=0,E45=0),0,IF(C45=0,"New",(E45-C45)/C45))</f>
        <v>-0.309427414690573</v>
      </c>
      <c r="H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11" t="n">
        <f aca="false">I45*$J$5</f>
        <v>10187.3684210526</v>
      </c>
      <c r="K45" s="11" t="n">
        <f aca="false">J45-H45</f>
        <v>-4834.23157894737</v>
      </c>
      <c r="L45" s="10" t="n">
        <f aca="false">IF(AND(H45=0,J45=0),0,IF(H45=0,"New",(J45-H45)/H45))</f>
        <v>-0.321818686354807</v>
      </c>
    </row>
    <row r="46" customFormat="false" ht="15" hidden="false" customHeight="true" outlineLevel="0" collapsed="false">
      <c r="A46" s="8" t="s">
        <v>106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2" t="n">
        <f aca="false">D46*$J$5</f>
        <v>79.5789473684211</v>
      </c>
      <c r="F46" s="22" t="n">
        <f aca="false">E46-C46</f>
        <v>-215.421052631579</v>
      </c>
      <c r="G46" s="10" t="n">
        <f aca="false">IF(AND(C46=0,E46=0),0,IF(C46=0,"New",(E46-C46)/C46))</f>
        <v>-0.730240856378234</v>
      </c>
      <c r="H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11" t="n">
        <f aca="false">I46*$J$5</f>
        <v>3032.84210526316</v>
      </c>
      <c r="K46" s="11" t="n">
        <f aca="false">J46-H46</f>
        <v>-5805.15789473684</v>
      </c>
      <c r="L46" s="10" t="n">
        <f aca="false">IF(AND(H46=0,J46=0),0,IF(H46=0,"New",(J46-H46)/H46))</f>
        <v>-0.656840676028156</v>
      </c>
    </row>
    <row r="47" customFormat="false" ht="15" hidden="false" customHeight="true" outlineLevel="0" collapsed="false">
      <c r="A47" s="8" t="s">
        <v>107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2" t="n">
        <f aca="false">D47*$J$5</f>
        <v>351.157894736842</v>
      </c>
      <c r="F47" s="22" t="n">
        <f aca="false">E47-C47</f>
        <v>-165.842105263158</v>
      </c>
      <c r="G47" s="10" t="n">
        <f aca="false">IF(AND(C47=0,E47=0),0,IF(C47=0,"New",(E47-C47)/C47))</f>
        <v>-0.320777766466456</v>
      </c>
      <c r="H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11" t="n">
        <f aca="false">I47*$J$5</f>
        <v>11744.4631578947</v>
      </c>
      <c r="K47" s="11" t="n">
        <f aca="false">J47-H47</f>
        <v>-3858.13684210526</v>
      </c>
      <c r="L47" s="10" t="n">
        <f aca="false">IF(AND(H47=0,J47=0),0,IF(H47=0,"New",(J47-H47)/H47))</f>
        <v>-0.247275251695568</v>
      </c>
    </row>
    <row r="48" customFormat="false" ht="15" hidden="false" customHeight="true" outlineLevel="0" collapsed="false">
      <c r="A48" s="8" t="s">
        <v>108</v>
      </c>
      <c r="B48" s="8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2" t="n">
        <f aca="false">D48*$J$5</f>
        <v>569.684210526316</v>
      </c>
      <c r="F48" s="22" t="n">
        <f aca="false">E48-C48</f>
        <v>-82.3157894736843</v>
      </c>
      <c r="G48" s="10" t="n">
        <f aca="false">IF(AND(C48=0,E48=0),0,IF(C48=0,"New",(E48-C48)/C48))</f>
        <v>-0.126251210849209</v>
      </c>
      <c r="H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11" t="n">
        <f aca="false">I48*$J$5</f>
        <v>22145.4315789474</v>
      </c>
      <c r="K48" s="11" t="n">
        <f aca="false">J48-H48</f>
        <v>-1334.96842105264</v>
      </c>
      <c r="L48" s="10" t="n">
        <f aca="false">IF(AND(H48=0,J48=0),0,IF(H48=0,"New",(J48-H48)/H48))</f>
        <v>-0.0568545859973695</v>
      </c>
    </row>
    <row r="49" customFormat="false" ht="15" hidden="false" customHeight="true" outlineLevel="0" collapsed="false">
      <c r="A49" s="8" t="s">
        <v>109</v>
      </c>
      <c r="B49" s="8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2" t="n">
        <f aca="false">D49*$J$5</f>
        <v>84.6315789473684</v>
      </c>
      <c r="F49" s="22" t="n">
        <f aca="false">E49-C49</f>
        <v>-13.3684210526316</v>
      </c>
      <c r="G49" s="10" t="n">
        <f aca="false">IF(AND(C49=0,E49=0),0,IF(C49=0,"New",(E49-C49)/C49))</f>
        <v>-0.136412459720731</v>
      </c>
      <c r="H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11" t="n">
        <f aca="false">I49*$J$5</f>
        <v>15703.8315789474</v>
      </c>
      <c r="K49" s="11" t="n">
        <f aca="false">J49-H49</f>
        <v>-2579.26842105263</v>
      </c>
      <c r="L49" s="10" t="n">
        <f aca="false">IF(AND(H49=0,J49=0),0,IF(H49=0,"New",(J49-H49)/H49))</f>
        <v>-0.14107391093702</v>
      </c>
    </row>
    <row r="50" customFormat="false" ht="15" hidden="false" customHeight="true" outlineLevel="0" collapsed="false">
      <c r="A50" s="8" t="s">
        <v>110</v>
      </c>
      <c r="B50" s="8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2" t="n">
        <f aca="false">D50*$J$5</f>
        <v>41.6842105263158</v>
      </c>
      <c r="F50" s="22" t="n">
        <f aca="false">E50-C50</f>
        <v>-44.3157894736842</v>
      </c>
      <c r="G50" s="10" t="n">
        <f aca="false">IF(AND(C50=0,E50=0),0,IF(C50=0,"New",(E50-C50)/C50))</f>
        <v>-0.515299877600979</v>
      </c>
      <c r="H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11" t="n">
        <f aca="false">I50*$J$5</f>
        <v>4718.77894736842</v>
      </c>
      <c r="K50" s="11" t="n">
        <f aca="false">J50-H50</f>
        <v>-4817.92105263158</v>
      </c>
      <c r="L50" s="10" t="n">
        <f aca="false">IF(AND(H50=0,J50=0),0,IF(H50=0,"New",(J50-H50)/H50))</f>
        <v>-0.505197925134646</v>
      </c>
    </row>
    <row r="51" customFormat="false" ht="15" hidden="false" customHeight="true" outlineLevel="0" collapsed="false">
      <c r="A51" s="8" t="s">
        <v>111</v>
      </c>
      <c r="B51" s="8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2" t="n">
        <f aca="false">D51*$J$5</f>
        <v>40.4210526315789</v>
      </c>
      <c r="F51" s="22" t="n">
        <f aca="false">E51-C51</f>
        <v>-27.5789473684211</v>
      </c>
      <c r="G51" s="10" t="n">
        <f aca="false">IF(AND(C51=0,E51=0),0,IF(C51=0,"New",(E51-C51)/C51))</f>
        <v>-0.405572755417957</v>
      </c>
      <c r="H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11" t="n">
        <f aca="false">I51*$J$5</f>
        <v>6468.37894736842</v>
      </c>
      <c r="K51" s="11" t="n">
        <f aca="false">J51-H51</f>
        <v>-4411.12105263158</v>
      </c>
      <c r="L51" s="10" t="n">
        <f aca="false">IF(AND(H51=0,J51=0),0,IF(H51=0,"New",(J51-H51)/H51))</f>
        <v>-0.405452553208473</v>
      </c>
    </row>
    <row r="52" customFormat="false" ht="15" hidden="false" customHeight="true" outlineLevel="0" collapsed="false">
      <c r="A52" s="8" t="s">
        <v>112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2" t="n">
        <f aca="false">D52*$J$5</f>
        <v>181.894736842105</v>
      </c>
      <c r="F52" s="22" t="n">
        <f aca="false">E52-C52</f>
        <v>-70.1052631578947</v>
      </c>
      <c r="G52" s="10" t="n">
        <f aca="false">IF(AND(C52=0,E52=0),0,IF(C52=0,"New",(E52-C52)/C52))</f>
        <v>-0.278195488721805</v>
      </c>
      <c r="H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11" t="n">
        <f aca="false">I52*$J$5</f>
        <v>10353.0947368421</v>
      </c>
      <c r="K52" s="11" t="n">
        <f aca="false">J52-H52</f>
        <v>-3591.6052631579</v>
      </c>
      <c r="L52" s="10" t="n">
        <f aca="false">IF(AND(H52=0,J52=0),0,IF(H52=0,"New",(J52-H52)/H52))</f>
        <v>-0.257560597442605</v>
      </c>
    </row>
    <row r="53" customFormat="false" ht="15" hidden="false" customHeight="true" outlineLevel="0" collapsed="false">
      <c r="A53" s="8" t="s">
        <v>113</v>
      </c>
      <c r="B53" s="8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2" t="n">
        <f aca="false">D53*$J$5</f>
        <v>75.7894736842105</v>
      </c>
      <c r="F53" s="22" t="n">
        <f aca="false">E53-C53</f>
        <v>-14.2105263157895</v>
      </c>
      <c r="G53" s="10" t="n">
        <f aca="false">IF(AND(C53=0,E53=0),0,IF(C53=0,"New",(E53-C53)/C53))</f>
        <v>-0.157894736842105</v>
      </c>
      <c r="H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11" t="n">
        <f aca="false">I53*$J$5</f>
        <v>15714.4421052632</v>
      </c>
      <c r="K53" s="11" t="n">
        <f aca="false">J53-H53</f>
        <v>-2428.45789473684</v>
      </c>
      <c r="L53" s="10" t="n">
        <f aca="false">IF(AND(H53=0,J53=0),0,IF(H53=0,"New",(J53-H53)/H53))</f>
        <v>-0.133851693761022</v>
      </c>
    </row>
    <row r="54" customFormat="false" ht="15" hidden="false" customHeight="true" outlineLevel="0" collapsed="false">
      <c r="A54" s="8" t="s">
        <v>114</v>
      </c>
      <c r="B54" s="8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2" t="n">
        <f aca="false">D54*$J$5</f>
        <v>438.315789473684</v>
      </c>
      <c r="F54" s="22" t="n">
        <f aca="false">E54-C54</f>
        <v>-39.6842105263158</v>
      </c>
      <c r="G54" s="10" t="n">
        <f aca="false">IF(AND(C54=0,E54=0),0,IF(C54=0,"New",(E54-C54)/C54))</f>
        <v>-0.0830213609337151</v>
      </c>
      <c r="H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11" t="n">
        <f aca="false">I54*$J$5</f>
        <v>19720.6736842105</v>
      </c>
      <c r="K54" s="11" t="n">
        <f aca="false">J54-H54</f>
        <v>-1590.42631578947</v>
      </c>
      <c r="L54" s="10" t="n">
        <f aca="false">IF(AND(H54=0,J54=0),0,IF(H54=0,"New",(J54-H54)/H54))</f>
        <v>-0.074629010975007</v>
      </c>
    </row>
    <row r="55" customFormat="false" ht="15" hidden="false" customHeight="true" outlineLevel="0" collapsed="false">
      <c r="A55" s="8" t="s">
        <v>115</v>
      </c>
      <c r="B55" s="8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2" t="n">
        <f aca="false">D55*$J$5</f>
        <v>227.368421052632</v>
      </c>
      <c r="F55" s="22" t="n">
        <f aca="false">E55-C55</f>
        <v>-163.631578947368</v>
      </c>
      <c r="G55" s="10" t="n">
        <f aca="false">IF(AND(C55=0,E55=0),0,IF(C55=0,"New",(E55-C55)/C55))</f>
        <v>-0.418495086821914</v>
      </c>
      <c r="H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11" t="n">
        <f aca="false">I55*$J$5</f>
        <v>8127.78947368421</v>
      </c>
      <c r="K55" s="11" t="n">
        <f aca="false">J55-H55</f>
        <v>-3986.01052631579</v>
      </c>
      <c r="L55" s="10" t="n">
        <f aca="false">IF(AND(H55=0,J55=0),0,IF(H55=0,"New",(J55-H55)/H55))</f>
        <v>-0.329047080710907</v>
      </c>
    </row>
    <row r="56" customFormat="false" ht="15" hidden="false" customHeight="true" outlineLevel="0" collapsed="false">
      <c r="A56" s="8" t="s">
        <v>116</v>
      </c>
      <c r="B56" s="8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2" t="n">
        <f aca="false">D56*$J$5</f>
        <v>226.105263157895</v>
      </c>
      <c r="F56" s="22" t="n">
        <f aca="false">E56-C56</f>
        <v>-103.894736842105</v>
      </c>
      <c r="G56" s="10" t="n">
        <f aca="false">IF(AND(C56=0,E56=0),0,IF(C56=0,"New",(E56-C56)/C56))</f>
        <v>-0.314832535885168</v>
      </c>
      <c r="H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11" t="n">
        <f aca="false">I56*$J$5</f>
        <v>8705.43157894737</v>
      </c>
      <c r="K56" s="11" t="n">
        <f aca="false">J56-H56</f>
        <v>-3834.56842105263</v>
      </c>
      <c r="L56" s="10" t="n">
        <f aca="false">IF(AND(H56=0,J56=0),0,IF(H56=0,"New",(J56-H56)/H56))</f>
        <v>-0.305786955426845</v>
      </c>
    </row>
    <row r="57" customFormat="false" ht="15" hidden="false" customHeight="true" outlineLevel="0" collapsed="false">
      <c r="A57" s="8" t="s">
        <v>117</v>
      </c>
      <c r="B57" s="8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2" t="n">
        <f aca="false">D57*$J$5</f>
        <v>193.263157894737</v>
      </c>
      <c r="F57" s="22" t="n">
        <f aca="false">E57-C57</f>
        <v>-171.736842105263</v>
      </c>
      <c r="G57" s="10" t="n">
        <f aca="false">IF(AND(C57=0,E57=0),0,IF(C57=0,"New",(E57-C57)/C57))</f>
        <v>-0.470511896178803</v>
      </c>
      <c r="H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11" t="n">
        <f aca="false">I57*$J$5</f>
        <v>5116.92631578947</v>
      </c>
      <c r="K57" s="11" t="n">
        <f aca="false">J57-H57</f>
        <v>-4170.67368421053</v>
      </c>
      <c r="L57" s="10" t="n">
        <f aca="false">IF(AND(H57=0,J57=0),0,IF(H57=0,"New",(J57-H57)/H57))</f>
        <v>-0.449058280310363</v>
      </c>
    </row>
    <row r="58" customFormat="false" ht="15" hidden="false" customHeight="true" outlineLevel="0" collapsed="false">
      <c r="A58" s="8" t="s">
        <v>118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2" t="n">
        <f aca="false">D58*$J$5</f>
        <v>1074.94736842105</v>
      </c>
      <c r="F58" s="22" t="n">
        <f aca="false">E58-C58</f>
        <v>-425.052631578948</v>
      </c>
      <c r="G58" s="10" t="n">
        <f aca="false">IF(AND(C58=0,E58=0),0,IF(C58=0,"New",(E58-C58)/C58))</f>
        <v>-0.283368421052632</v>
      </c>
      <c r="H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11" t="n">
        <f aca="false">I58*$J$5</f>
        <v>11958.4421052632</v>
      </c>
      <c r="K58" s="11" t="n">
        <f aca="false">J58-H58</f>
        <v>-2745.35789473684</v>
      </c>
      <c r="L58" s="10" t="n">
        <f aca="false">IF(AND(H58=0,J58=0),0,IF(H58=0,"New",(J58-H58)/H58))</f>
        <v>-0.186710775087858</v>
      </c>
    </row>
    <row r="59" customFormat="false" ht="15" hidden="false" customHeight="true" outlineLevel="0" collapsed="false">
      <c r="A59" s="8" t="s">
        <v>119</v>
      </c>
      <c r="B59" s="8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2" t="n">
        <f aca="false">D59*$J$5</f>
        <v>837.473684210526</v>
      </c>
      <c r="F59" s="22" t="n">
        <f aca="false">E59-C59</f>
        <v>-192.526315789474</v>
      </c>
      <c r="G59" s="10" t="n">
        <f aca="false">IF(AND(C59=0,E59=0),0,IF(C59=0,"New",(E59-C59)/C59))</f>
        <v>-0.186918753193664</v>
      </c>
      <c r="H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11" t="n">
        <f aca="false">I59*$J$5</f>
        <v>11474.7789473684</v>
      </c>
      <c r="K59" s="11" t="n">
        <f aca="false">J59-H59</f>
        <v>-2580.62105263158</v>
      </c>
      <c r="L59" s="10" t="n">
        <f aca="false">IF(AND(H59=0,J59=0),0,IF(H59=0,"New",(J59-H59)/H59))</f>
        <v>-0.183603529791509</v>
      </c>
    </row>
    <row r="60" customFormat="false" ht="15" hidden="false" customHeight="true" outlineLevel="0" collapsed="false">
      <c r="A60" s="8" t="s">
        <v>120</v>
      </c>
      <c r="B60" s="8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2" t="n">
        <f aca="false">D60*$J$5</f>
        <v>674.526315789474</v>
      </c>
      <c r="F60" s="22" t="n">
        <f aca="false">E60-C60</f>
        <v>-68.4736842105264</v>
      </c>
      <c r="G60" s="10" t="n">
        <f aca="false">IF(AND(C60=0,E60=0),0,IF(C60=0,"New",(E60-C60)/C60))</f>
        <v>-0.0921583905929022</v>
      </c>
      <c r="H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11" t="n">
        <f aca="false">I60*$J$5</f>
        <v>16207.8315789474</v>
      </c>
      <c r="K60" s="11" t="n">
        <f aca="false">J60-H60</f>
        <v>-1515.26842105263</v>
      </c>
      <c r="L60" s="10" t="n">
        <f aca="false">IF(AND(H60=0,J60=0),0,IF(H60=0,"New",(J60-H60)/H60))</f>
        <v>-0.0854968047944564</v>
      </c>
    </row>
    <row r="61" customFormat="false" ht="15" hidden="false" customHeight="true" outlineLevel="0" collapsed="false">
      <c r="A61" s="8" t="s">
        <v>121</v>
      </c>
      <c r="B61" s="8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2" t="n">
        <f aca="false">D61*$J$5</f>
        <v>559.578947368421</v>
      </c>
      <c r="F61" s="22" t="n">
        <f aca="false">E61-C61</f>
        <v>-187.421052631579</v>
      </c>
      <c r="G61" s="10" t="n">
        <f aca="false">IF(AND(C61=0,E61=0),0,IF(C61=0,"New",(E61-C61)/C61))</f>
        <v>-0.250898330162756</v>
      </c>
      <c r="H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11" t="n">
        <f aca="false">I61*$J$5</f>
        <v>9828.75789473684</v>
      </c>
      <c r="K61" s="11" t="n">
        <f aca="false">J61-H61</f>
        <v>-2808.44210526316</v>
      </c>
      <c r="L61" s="10" t="n">
        <f aca="false">IF(AND(H61=0,J61=0),0,IF(H61=0,"New",(J61-H61)/H61))</f>
        <v>-0.222236104933305</v>
      </c>
    </row>
    <row r="62" customFormat="false" ht="15" hidden="false" customHeight="true" outlineLevel="0" collapsed="false">
      <c r="A62" s="8" t="s">
        <v>122</v>
      </c>
      <c r="B62" s="8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2" t="n">
        <f aca="false">D62*$J$5</f>
        <v>41.6842105263158</v>
      </c>
      <c r="F62" s="22" t="n">
        <f aca="false">E62-C62</f>
        <v>-60.3157894736842</v>
      </c>
      <c r="G62" s="10" t="n">
        <f aca="false">IF(AND(C62=0,E62=0),0,IF(C62=0,"New",(E62-C62)/C62))</f>
        <v>-0.591331269349845</v>
      </c>
      <c r="H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11" t="n">
        <f aca="false">I62*$J$5</f>
        <v>2879.62105263158</v>
      </c>
      <c r="K62" s="11" t="n">
        <f aca="false">J62-H62</f>
        <v>-4190.67894736842</v>
      </c>
      <c r="L62" s="10" t="n">
        <f aca="false">IF(AND(H62=0,J62=0),0,IF(H62=0,"New",(J62-H62)/H62))</f>
        <v>-0.592715860340922</v>
      </c>
    </row>
    <row r="63" customFormat="false" ht="15" hidden="false" customHeight="true" outlineLevel="0" collapsed="false">
      <c r="A63" s="8" t="s">
        <v>123</v>
      </c>
      <c r="B63" s="8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2" t="n">
        <f aca="false">D63*$J$5</f>
        <v>138.947368421053</v>
      </c>
      <c r="F63" s="22" t="n">
        <f aca="false">E63-C63</f>
        <v>-177.052631578947</v>
      </c>
      <c r="G63" s="10" t="n">
        <f aca="false">IF(AND(C63=0,E63=0),0,IF(C63=0,"New",(E63-C63)/C63))</f>
        <v>-0.560293137908061</v>
      </c>
      <c r="H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11" t="n">
        <f aca="false">I63*$J$5</f>
        <v>3081.34736842105</v>
      </c>
      <c r="K63" s="11" t="n">
        <f aca="false">J63-H63</f>
        <v>-4036.15263157895</v>
      </c>
      <c r="L63" s="10" t="n">
        <f aca="false">IF(AND(H63=0,J63=0),0,IF(H63=0,"New",(J63-H63)/H63))</f>
        <v>-0.567074482835117</v>
      </c>
    </row>
    <row r="64" customFormat="false" ht="15" hidden="false" customHeight="true" outlineLevel="0" collapsed="false">
      <c r="A64" s="8" t="s">
        <v>124</v>
      </c>
      <c r="B64" s="8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2" t="n">
        <f aca="false">D64*$J$5</f>
        <v>353.684210526316</v>
      </c>
      <c r="F64" s="22" t="n">
        <f aca="false">E64-C64</f>
        <v>-59.3157894736842</v>
      </c>
      <c r="G64" s="10" t="n">
        <f aca="false">IF(AND(C64=0,E64=0),0,IF(C64=0,"New",(E64-C64)/C64))</f>
        <v>-0.143621766280107</v>
      </c>
      <c r="H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11" t="n">
        <f aca="false">I64*$J$5</f>
        <v>15057.6</v>
      </c>
      <c r="K64" s="11" t="n">
        <f aca="false">J64-H64</f>
        <v>-1471.1</v>
      </c>
      <c r="L64" s="10" t="n">
        <f aca="false">IF(AND(H64=0,J64=0),0,IF(H64=0,"New",(J64-H64)/H64))</f>
        <v>-0.0890027648877407</v>
      </c>
    </row>
    <row r="65" customFormat="false" ht="15" hidden="false" customHeight="true" outlineLevel="0" collapsed="false">
      <c r="A65" s="8" t="s">
        <v>125</v>
      </c>
      <c r="B65" s="8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2" t="n">
        <f aca="false">D65*$J$5</f>
        <v>416.842105263158</v>
      </c>
      <c r="F65" s="22" t="n">
        <f aca="false">E65-C65</f>
        <v>-55.1578947368421</v>
      </c>
      <c r="G65" s="10" t="n">
        <f aca="false">IF(AND(C65=0,E65=0),0,IF(C65=0,"New",(E65-C65)/C65))</f>
        <v>-0.11685994647636</v>
      </c>
      <c r="H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11" t="n">
        <f aca="false">I65*$J$5</f>
        <v>12173.4315789474</v>
      </c>
      <c r="K65" s="11" t="n">
        <f aca="false">J65-H65</f>
        <v>-1841.16842105263</v>
      </c>
      <c r="L65" s="10" t="n">
        <f aca="false">IF(AND(H65=0,J65=0),0,IF(H65=0,"New",(J65-H65)/H65))</f>
        <v>-0.131375024692295</v>
      </c>
    </row>
    <row r="66" customFormat="false" ht="15" hidden="false" customHeight="true" outlineLevel="0" collapsed="false">
      <c r="A66" s="8" t="s">
        <v>126</v>
      </c>
      <c r="B66" s="8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2" t="n">
        <f aca="false">D66*$J$5</f>
        <v>55.5789473684211</v>
      </c>
      <c r="F66" s="22" t="n">
        <f aca="false">E66-C66</f>
        <v>-32.421052631579</v>
      </c>
      <c r="G66" s="10" t="n">
        <f aca="false">IF(AND(C66=0,E66=0),0,IF(C66=0,"New",(E66-C66)/C66))</f>
        <v>-0.368421052631579</v>
      </c>
      <c r="H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11" t="n">
        <f aca="false">I66*$J$5</f>
        <v>6119.36842105263</v>
      </c>
      <c r="K66" s="11" t="n">
        <f aca="false">J66-H66</f>
        <v>-3063.73157894737</v>
      </c>
      <c r="L66" s="10" t="n">
        <f aca="false">IF(AND(H66=0,J66=0),0,IF(H66=0,"New",(J66-H66)/H66))</f>
        <v>-0.333627160648078</v>
      </c>
    </row>
    <row r="67" customFormat="false" ht="15" hidden="false" customHeight="true" outlineLevel="0" collapsed="false">
      <c r="A67" s="8" t="s">
        <v>127</v>
      </c>
      <c r="B67" s="8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2" t="n">
        <f aca="false">D67*$J$5</f>
        <v>87.1578947368421</v>
      </c>
      <c r="F67" s="22" t="n">
        <f aca="false">E67-C67</f>
        <v>-97.8421052631579</v>
      </c>
      <c r="G67" s="10" t="n">
        <f aca="false">IF(AND(C67=0,E67=0),0,IF(C67=0,"New",(E67-C67)/C67))</f>
        <v>-0.528876244665718</v>
      </c>
      <c r="H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11" t="n">
        <f aca="false">I67*$J$5</f>
        <v>2708.71578947368</v>
      </c>
      <c r="K67" s="11" t="n">
        <f aca="false">J67-H67</f>
        <v>-3754.88421052632</v>
      </c>
      <c r="L67" s="10" t="n">
        <f aca="false">IF(AND(H67=0,J67=0),0,IF(H67=0,"New",(J67-H67)/H67))</f>
        <v>-0.580927688985444</v>
      </c>
    </row>
    <row r="68" customFormat="false" ht="15" hidden="false" customHeight="true" outlineLevel="0" collapsed="false">
      <c r="A68" s="8" t="s">
        <v>128</v>
      </c>
      <c r="B68" s="8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2" t="n">
        <f aca="false">D68*$J$5</f>
        <v>125.052631578947</v>
      </c>
      <c r="F68" s="22" t="n">
        <f aca="false">E68-C68</f>
        <v>-38.9473684210526</v>
      </c>
      <c r="G68" s="10" t="n">
        <f aca="false">IF(AND(C68=0,E68=0),0,IF(C68=0,"New",(E68-C68)/C68))</f>
        <v>-0.237483953786906</v>
      </c>
      <c r="H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11" t="n">
        <f aca="false">I68*$J$5</f>
        <v>8277.0947368421</v>
      </c>
      <c r="K68" s="11" t="n">
        <f aca="false">J68-H68</f>
        <v>-2550.3052631579</v>
      </c>
      <c r="L68" s="10" t="n">
        <f aca="false">IF(AND(H68=0,J68=0),0,IF(H68=0,"New",(J68-H68)/H68))</f>
        <v>-0.235541797953146</v>
      </c>
    </row>
    <row r="69" customFormat="false" ht="15" hidden="false" customHeight="true" outlineLevel="0" collapsed="false">
      <c r="A69" s="8" t="s">
        <v>129</v>
      </c>
      <c r="B69" s="8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2" t="n">
        <f aca="false">D69*$J$5</f>
        <v>203.368421052632</v>
      </c>
      <c r="F69" s="22" t="n">
        <f aca="false">E69-C69</f>
        <v>-20.6315789473684</v>
      </c>
      <c r="G69" s="10" t="n">
        <f aca="false">IF(AND(C69=0,E69=0),0,IF(C69=0,"New",(E69-C69)/C69))</f>
        <v>-0.0921052631578948</v>
      </c>
      <c r="H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11" t="n">
        <f aca="false">I69*$J$5</f>
        <v>13655.8736842105</v>
      </c>
      <c r="K69" s="11" t="n">
        <f aca="false">J69-H69</f>
        <v>-1303.32631578948</v>
      </c>
      <c r="L69" s="10" t="n">
        <f aca="false">IF(AND(H69=0,J69=0),0,IF(H69=0,"New",(J69-H69)/H69))</f>
        <v>-0.0871254021464702</v>
      </c>
    </row>
    <row r="70" customFormat="false" ht="15" hidden="false" customHeight="true" outlineLevel="0" collapsed="false">
      <c r="A70" s="8" t="s">
        <v>130</v>
      </c>
      <c r="B70" s="8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2" t="n">
        <f aca="false">D70*$J$5</f>
        <v>207.157894736842</v>
      </c>
      <c r="F70" s="22" t="n">
        <f aca="false">E70-C70</f>
        <v>-101.842105263158</v>
      </c>
      <c r="G70" s="10" t="n">
        <f aca="false">IF(AND(C70=0,E70=0),0,IF(C70=0,"New",(E70-C70)/C70))</f>
        <v>-0.329586101175268</v>
      </c>
      <c r="H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11" t="n">
        <f aca="false">I70*$J$5</f>
        <v>5899.07368421053</v>
      </c>
      <c r="K70" s="11" t="n">
        <f aca="false">J70-H70</f>
        <v>-2797.52631578947</v>
      </c>
      <c r="L70" s="10" t="n">
        <f aca="false">IF(AND(H70=0,J70=0),0,IF(H70=0,"New",(J70-H70)/H70))</f>
        <v>-0.321680463145307</v>
      </c>
    </row>
    <row r="71" customFormat="false" ht="15" hidden="false" customHeight="true" outlineLevel="0" collapsed="false">
      <c r="A71" s="8" t="s">
        <v>131</v>
      </c>
      <c r="B71" s="8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2" t="n">
        <f aca="false">D71*$J$5</f>
        <v>416.842105263158</v>
      </c>
      <c r="F71" s="22" t="n">
        <f aca="false">E71-C71</f>
        <v>-62.1578947368421</v>
      </c>
      <c r="G71" s="10" t="n">
        <f aca="false">IF(AND(C71=0,E71=0),0,IF(C71=0,"New",(E71-C71)/C71))</f>
        <v>-0.129765959784639</v>
      </c>
      <c r="H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11" t="n">
        <f aca="false">I71*$J$5</f>
        <v>12709.8947368421</v>
      </c>
      <c r="K71" s="11" t="n">
        <f aca="false">J71-H71</f>
        <v>-1377.30526315789</v>
      </c>
      <c r="L71" s="10" t="n">
        <f aca="false">IF(AND(H71=0,J71=0),0,IF(H71=0,"New",(J71-H71)/H71))</f>
        <v>-0.0977699800640222</v>
      </c>
    </row>
    <row r="72" customFormat="false" ht="15" hidden="false" customHeight="true" outlineLevel="0" collapsed="false">
      <c r="A72" s="8" t="s">
        <v>132</v>
      </c>
      <c r="B72" s="8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2" t="n">
        <f aca="false">D72*$J$5</f>
        <v>120</v>
      </c>
      <c r="F72" s="22" t="n">
        <f aca="false">E72-C72</f>
        <v>-270</v>
      </c>
      <c r="G72" s="10" t="n">
        <f aca="false">IF(AND(C72=0,E72=0),0,IF(C72=0,"New",(E72-C72)/C72))</f>
        <v>-0.692307692307692</v>
      </c>
      <c r="H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11" t="n">
        <f aca="false">I72*$J$5</f>
        <v>1632.37894736842</v>
      </c>
      <c r="K72" s="11" t="n">
        <f aca="false">J72-H72</f>
        <v>-3504.72105263158</v>
      </c>
      <c r="L72" s="10" t="n">
        <f aca="false">IF(AND(H72=0,J72=0),0,IF(H72=0,"New",(J72-H72)/H72))</f>
        <v>-0.682237264727488</v>
      </c>
    </row>
    <row r="73" customFormat="false" ht="15" hidden="false" customHeight="true" outlineLevel="0" collapsed="false">
      <c r="A73" s="8" t="s">
        <v>133</v>
      </c>
      <c r="B73" s="8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2" t="n">
        <f aca="false">D73*$J$5</f>
        <v>116.210526315789</v>
      </c>
      <c r="F73" s="22" t="n">
        <f aca="false">E73-C73</f>
        <v>-44.7894736842105</v>
      </c>
      <c r="G73" s="10" t="n">
        <f aca="false">IF(AND(C73=0,E73=0),0,IF(C73=0,"New",(E73-C73)/C73))</f>
        <v>-0.278195488721805</v>
      </c>
      <c r="H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11" t="n">
        <f aca="false">I73*$J$5</f>
        <v>6829.51578947368</v>
      </c>
      <c r="K73" s="11" t="n">
        <f aca="false">J73-H73</f>
        <v>-2407.38421052632</v>
      </c>
      <c r="L73" s="10" t="n">
        <f aca="false">IF(AND(H73=0,J73=0),0,IF(H73=0,"New",(J73-H73)/H73))</f>
        <v>-0.260626856469845</v>
      </c>
    </row>
    <row r="74" customFormat="false" ht="15" hidden="false" customHeight="true" outlineLevel="0" collapsed="false">
      <c r="A74" s="8" t="s">
        <v>134</v>
      </c>
      <c r="B74" s="8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2" t="n">
        <f aca="false">D74*$J$5</f>
        <v>648</v>
      </c>
      <c r="F74" s="22" t="n">
        <f aca="false">E74-C74</f>
        <v>-280</v>
      </c>
      <c r="G74" s="10" t="n">
        <f aca="false">IF(AND(C74=0,E74=0),0,IF(C74=0,"New",(E74-C74)/C74))</f>
        <v>-0.301724137931035</v>
      </c>
      <c r="H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11" t="n">
        <f aca="false">I74*$J$5</f>
        <v>7165.76842105263</v>
      </c>
      <c r="K74" s="11" t="n">
        <f aca="false">J74-H74</f>
        <v>-2147.33157894737</v>
      </c>
      <c r="L74" s="10" t="n">
        <f aca="false">IF(AND(H74=0,J74=0),0,IF(H74=0,"New",(J74-H74)/H74))</f>
        <v>-0.230571085776741</v>
      </c>
    </row>
    <row r="75" customFormat="false" ht="15" hidden="false" customHeight="true" outlineLevel="0" collapsed="false">
      <c r="A75" s="8" t="s">
        <v>135</v>
      </c>
      <c r="B75" s="8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2" t="n">
        <f aca="false">D75*$J$5</f>
        <v>626.526315789474</v>
      </c>
      <c r="F75" s="22" t="n">
        <f aca="false">E75-C75</f>
        <v>71.5263157894736</v>
      </c>
      <c r="G75" s="10" t="n">
        <f aca="false">IF(AND(C75=0,E75=0),0,IF(C75=0,"New",(E75-C75)/C75))</f>
        <v>0.128876244665718</v>
      </c>
      <c r="H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11" t="n">
        <f aca="false">I75*$J$5</f>
        <v>42341.6842105263</v>
      </c>
      <c r="K75" s="11" t="n">
        <f aca="false">J75-H75</f>
        <v>5354.68421052631</v>
      </c>
      <c r="L75" s="10" t="n">
        <f aca="false">IF(AND(H75=0,J75=0),0,IF(H75=0,"New",(J75-H75)/H75))</f>
        <v>0.144772060738268</v>
      </c>
    </row>
    <row r="76" customFormat="false" ht="15" hidden="false" customHeight="true" outlineLevel="0" collapsed="false">
      <c r="A76" s="8" t="s">
        <v>136</v>
      </c>
      <c r="B76" s="8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2" t="n">
        <f aca="false">D76*$J$5</f>
        <v>40.4210526315789</v>
      </c>
      <c r="F76" s="22" t="n">
        <f aca="false">E76-C76</f>
        <v>-23.5789473684211</v>
      </c>
      <c r="G76" s="10" t="n">
        <f aca="false">IF(AND(C76=0,E76=0),0,IF(C76=0,"New",(E76-C76)/C76))</f>
        <v>-0.368421052631579</v>
      </c>
      <c r="H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11" t="n">
        <f aca="false">I76*$J$5</f>
        <v>4286.77894736842</v>
      </c>
      <c r="K76" s="11" t="n">
        <f aca="false">J76-H76</f>
        <v>-2465.82105263158</v>
      </c>
      <c r="L76" s="10" t="n">
        <f aca="false">IF(AND(H76=0,J76=0),0,IF(H76=0,"New",(J76-H76)/H76))</f>
        <v>-0.365166166014806</v>
      </c>
    </row>
    <row r="77" customFormat="false" ht="15" hidden="false" customHeight="true" outlineLevel="0" collapsed="false">
      <c r="A77" s="8" t="s">
        <v>137</v>
      </c>
      <c r="B77" s="8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2" t="n">
        <f aca="false">D77*$J$5</f>
        <v>487.578947368421</v>
      </c>
      <c r="F77" s="22" t="n">
        <f aca="false">E77-C77</f>
        <v>-141.421052631579</v>
      </c>
      <c r="G77" s="10" t="n">
        <f aca="false">IF(AND(C77=0,E77=0),0,IF(C77=0,"New",(E77-C77)/C77))</f>
        <v>-0.224834741862606</v>
      </c>
      <c r="H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11" t="n">
        <f aca="false">I77*$J$5</f>
        <v>7119.41052631579</v>
      </c>
      <c r="K77" s="11" t="n">
        <f aca="false">J77-H77</f>
        <v>-1845.28947368421</v>
      </c>
      <c r="L77" s="10" t="n">
        <f aca="false">IF(AND(H77=0,J77=0),0,IF(H77=0,"New",(J77-H77)/H77))</f>
        <v>-0.205839512051068</v>
      </c>
    </row>
    <row r="78" customFormat="false" ht="15" hidden="false" customHeight="true" outlineLevel="0" collapsed="false">
      <c r="A78" s="8" t="s">
        <v>138</v>
      </c>
      <c r="B78" s="8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2" t="n">
        <f aca="false">D78*$J$5</f>
        <v>25.2631578947368</v>
      </c>
      <c r="F78" s="22" t="n">
        <f aca="false">E78-C78</f>
        <v>-84.7368421052632</v>
      </c>
      <c r="G78" s="10" t="n">
        <f aca="false">IF(AND(C78=0,E78=0),0,IF(C78=0,"New",(E78-C78)/C78))</f>
        <v>-0.770334928229665</v>
      </c>
      <c r="H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11" t="n">
        <f aca="false">I78*$J$5</f>
        <v>876.126315789474</v>
      </c>
      <c r="K78" s="11" t="n">
        <f aca="false">J78-H78</f>
        <v>-3128.27368421053</v>
      </c>
      <c r="L78" s="10" t="n">
        <f aca="false">IF(AND(H78=0,J78=0),0,IF(H78=0,"New",(J78-H78)/H78))</f>
        <v>-0.781209091052474</v>
      </c>
    </row>
    <row r="79" customFormat="false" ht="15" hidden="false" customHeight="true" outlineLevel="0" collapsed="false">
      <c r="A79" s="8" t="s">
        <v>139</v>
      </c>
      <c r="B79" s="8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2" t="n">
        <f aca="false">D79*$J$5</f>
        <v>87.1578947368421</v>
      </c>
      <c r="F79" s="22" t="n">
        <f aca="false">E79-C79</f>
        <v>39.1578947368421</v>
      </c>
      <c r="G79" s="10" t="n">
        <f aca="false">IF(AND(C79=0,E79=0),0,IF(C79=0,"New",(E79-C79)/C79))</f>
        <v>0.81578947368421</v>
      </c>
      <c r="H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11" t="n">
        <f aca="false">I79*$J$5</f>
        <v>11908.6736842105</v>
      </c>
      <c r="K79" s="11" t="n">
        <f aca="false">J79-H79</f>
        <v>5465.47368421053</v>
      </c>
      <c r="L79" s="10" t="n">
        <f aca="false">IF(AND(H79=0,J79=0),0,IF(H79=0,"New",(J79-H79)/H79))</f>
        <v>0.848254544979285</v>
      </c>
    </row>
    <row r="80" customFormat="false" ht="15" hidden="false" customHeight="true" outlineLevel="0" collapsed="false">
      <c r="A80" s="8" t="s">
        <v>140</v>
      </c>
      <c r="B80" s="8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2" t="n">
        <f aca="false">D80*$J$5</f>
        <v>32.8421052631579</v>
      </c>
      <c r="F80" s="22" t="n">
        <f aca="false">E80-C80</f>
        <v>-22.1578947368421</v>
      </c>
      <c r="G80" s="10" t="n">
        <f aca="false">IF(AND(C80=0,E80=0),0,IF(C80=0,"New",(E80-C80)/C80))</f>
        <v>-0.402870813397129</v>
      </c>
      <c r="H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11" t="n">
        <f aca="false">I80*$J$5</f>
        <v>3450.69473684211</v>
      </c>
      <c r="K80" s="11" t="n">
        <f aca="false">J80-H80</f>
        <v>-2211.4052631579</v>
      </c>
      <c r="L80" s="10" t="n">
        <f aca="false">IF(AND(H80=0,J80=0),0,IF(H80=0,"New",(J80-H80)/H80))</f>
        <v>-0.390562735232139</v>
      </c>
    </row>
    <row r="81" customFormat="false" ht="15" hidden="false" customHeight="true" outlineLevel="0" collapsed="false">
      <c r="A81" s="8" t="s">
        <v>141</v>
      </c>
      <c r="B81" s="8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2" t="n">
        <f aca="false">D81*$J$5</f>
        <v>2.52631578947368</v>
      </c>
      <c r="F81" s="22" t="n">
        <f aca="false">E81-C81</f>
        <v>-14.4736842105263</v>
      </c>
      <c r="G81" s="10" t="n">
        <f aca="false">IF(AND(C81=0,E81=0),0,IF(C81=0,"New",(E81-C81)/C81))</f>
        <v>-0.851393188854489</v>
      </c>
      <c r="H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11" t="n">
        <f aca="false">I81*$J$5</f>
        <v>441.978947368421</v>
      </c>
      <c r="K81" s="11" t="n">
        <f aca="false">J81-H81</f>
        <v>-2631.32105263158</v>
      </c>
      <c r="L81" s="10" t="n">
        <f aca="false">IF(AND(H81=0,J81=0),0,IF(H81=0,"New",(J81-H81)/H81))</f>
        <v>-0.856187502889916</v>
      </c>
    </row>
    <row r="82" customFormat="false" ht="15" hidden="false" customHeight="true" outlineLevel="0" collapsed="false">
      <c r="A82" s="8" t="s">
        <v>142</v>
      </c>
      <c r="B82" s="8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2" t="n">
        <f aca="false">D82*$J$5</f>
        <v>-2.52631578947368</v>
      </c>
      <c r="F82" s="22" t="n">
        <f aca="false">E82-C82</f>
        <v>-11.5263157894737</v>
      </c>
      <c r="G82" s="10" t="n">
        <f aca="false">IF(AND(C82=0,E82=0),0,IF(C82=0,"New",(E82-C82)/C82))</f>
        <v>-1.28070175438597</v>
      </c>
      <c r="H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11" t="n">
        <f aca="false">I82*$J$5</f>
        <v>-604.294736842105</v>
      </c>
      <c r="K82" s="11" t="n">
        <f aca="false">J82-H82</f>
        <v>-2839.19473684211</v>
      </c>
      <c r="L82" s="10" t="n">
        <f aca="false">IF(AND(H82=0,J82=0),0,IF(H82=0,"New",(J82-H82)/H82))</f>
        <v>-1.27039005630771</v>
      </c>
    </row>
    <row r="83" customFormat="false" ht="15" hidden="false" customHeight="true" outlineLevel="0" collapsed="false">
      <c r="A83" s="8" t="s">
        <v>143</v>
      </c>
      <c r="B83" s="8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2" t="n">
        <f aca="false">D83*$J$5</f>
        <v>92.2105263157895</v>
      </c>
      <c r="F83" s="22" t="n">
        <f aca="false">E83-C83</f>
        <v>-10.7894736842105</v>
      </c>
      <c r="G83" s="10" t="n">
        <f aca="false">IF(AND(C83=0,E83=0),0,IF(C83=0,"New",(E83-C83)/C83))</f>
        <v>-0.104752171691364</v>
      </c>
      <c r="H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11" t="n">
        <f aca="false">I83*$J$5</f>
        <v>8870.65263157895</v>
      </c>
      <c r="K83" s="11" t="n">
        <f aca="false">J83-H83</f>
        <v>-803.447368421053</v>
      </c>
      <c r="L83" s="10" t="n">
        <f aca="false">IF(AND(H83=0,J83=0),0,IF(H83=0,"New",(J83-H83)/H83))</f>
        <v>-0.0830513813606489</v>
      </c>
    </row>
    <row r="84" customFormat="false" ht="15" hidden="false" customHeight="true" outlineLevel="0" collapsed="false">
      <c r="A84" s="8" t="s">
        <v>144</v>
      </c>
      <c r="B84" s="8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2" t="n">
        <f aca="false">D84*$J$5</f>
        <v>61.8947368421053</v>
      </c>
      <c r="F84" s="22" t="n">
        <f aca="false">E84-C84</f>
        <v>-74.1052631578947</v>
      </c>
      <c r="G84" s="10" t="n">
        <f aca="false">IF(AND(C84=0,E84=0),0,IF(C84=0,"New",(E84-C84)/C84))</f>
        <v>-0.544891640866873</v>
      </c>
      <c r="H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11" t="n">
        <f aca="false">I84*$J$5</f>
        <v>2060.58947368421</v>
      </c>
      <c r="K84" s="11" t="n">
        <f aca="false">J84-H84</f>
        <v>-2126.91052631579</v>
      </c>
      <c r="L84" s="10" t="n">
        <f aca="false">IF(AND(H84=0,J84=0),0,IF(H84=0,"New",(J84-H84)/H84))</f>
        <v>-0.507918931657502</v>
      </c>
    </row>
    <row r="85" customFormat="false" ht="15" hidden="false" customHeight="true" outlineLevel="0" collapsed="false">
      <c r="A85" s="8" t="s">
        <v>145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2" t="n">
        <f aca="false">D85*$J$5</f>
        <v>242.526315789474</v>
      </c>
      <c r="F85" s="22" t="n">
        <f aca="false">E85-C85</f>
        <v>-228.473684210526</v>
      </c>
      <c r="G85" s="10" t="n">
        <f aca="false">IF(AND(C85=0,E85=0),0,IF(C85=0,"New",(E85-C85)/C85))</f>
        <v>-0.485082132081797</v>
      </c>
      <c r="H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11" t="n">
        <f aca="false">I85*$J$5</f>
        <v>2701.26315789474</v>
      </c>
      <c r="K85" s="11" t="n">
        <f aca="false">J85-H85</f>
        <v>-1992.13684210526</v>
      </c>
      <c r="L85" s="10" t="n">
        <f aca="false">IF(AND(H85=0,J85=0),0,IF(H85=0,"New",(J85-H85)/H85))</f>
        <v>-0.424454945690813</v>
      </c>
    </row>
    <row r="86" customFormat="false" ht="15" hidden="false" customHeight="true" outlineLevel="0" collapsed="false">
      <c r="A86" s="8" t="s">
        <v>146</v>
      </c>
      <c r="B86" s="8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2" t="n">
        <f aca="false">D86*$J$5</f>
        <v>227.368421052632</v>
      </c>
      <c r="F86" s="22" t="n">
        <f aca="false">E86-C86</f>
        <v>-248.631578947368</v>
      </c>
      <c r="G86" s="10" t="n">
        <f aca="false">IF(AND(C86=0,E86=0),0,IF(C86=0,"New",(E86-C86)/C86))</f>
        <v>-0.52233524988943</v>
      </c>
      <c r="H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11" t="n">
        <f aca="false">I86*$J$5</f>
        <v>2528.33684210526</v>
      </c>
      <c r="K86" s="11" t="n">
        <f aca="false">J86-H86</f>
        <v>-2012.26315789474</v>
      </c>
      <c r="L86" s="10" t="n">
        <f aca="false">IF(AND(H86=0,J86=0),0,IF(H86=0,"New",(J86-H86)/H86))</f>
        <v>-0.44317120158013</v>
      </c>
    </row>
    <row r="87" customFormat="false" ht="15" hidden="false" customHeight="true" outlineLevel="0" collapsed="false">
      <c r="A87" s="8" t="s">
        <v>147</v>
      </c>
      <c r="B87" s="8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2" t="n">
        <f aca="false">D87*$J$5</f>
        <v>0</v>
      </c>
      <c r="F87" s="22" t="n">
        <f aca="false">E87-C87</f>
        <v>-39</v>
      </c>
      <c r="G87" s="10" t="n">
        <f aca="false">IF(AND(C87=0,E87=0),0,IF(C87=0,"New",(E87-C87)/C87))</f>
        <v>-1</v>
      </c>
      <c r="H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11" t="n">
        <f aca="false">I87*$J$5</f>
        <v>0</v>
      </c>
      <c r="K87" s="11" t="n">
        <f aca="false">J87-H87</f>
        <v>-2520.7</v>
      </c>
      <c r="L87" s="10" t="n">
        <f aca="false">IF(AND(H87=0,J87=0),0,IF(H87=0,"New",(J87-H87)/H87))</f>
        <v>-1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2" t="n">
        <f aca="false">D88*$J$5</f>
        <v>602.526315789474</v>
      </c>
      <c r="F88" s="22" t="n">
        <f aca="false">E88-C88</f>
        <v>-63.4736842105264</v>
      </c>
      <c r="G88" s="10" t="n">
        <f aca="false">IF(AND(C88=0,E88=0),0,IF(C88=0,"New",(E88-C88)/C88))</f>
        <v>-0.0953058321479375</v>
      </c>
      <c r="H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11" t="n">
        <f aca="false">I88*$J$5</f>
        <v>8048.08421052632</v>
      </c>
      <c r="K88" s="11" t="n">
        <f aca="false">J88-H88</f>
        <v>-842.715789473687</v>
      </c>
      <c r="L88" s="10" t="n">
        <f aca="false">IF(AND(H88=0,J88=0),0,IF(H88=0,"New",(J88-H88)/H88))</f>
        <v>-0.0947851475090753</v>
      </c>
    </row>
    <row r="89" customFormat="false" ht="15" hidden="false" customHeight="true" outlineLevel="0" collapsed="false">
      <c r="A89" s="8" t="s">
        <v>149</v>
      </c>
      <c r="B89" s="8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2" t="n">
        <f aca="false">D89*$J$5</f>
        <v>199.578947368421</v>
      </c>
      <c r="F89" s="22" t="n">
        <f aca="false">E89-C89</f>
        <v>-31.421052631579</v>
      </c>
      <c r="G89" s="10" t="n">
        <f aca="false">IF(AND(C89=0,E89=0),0,IF(C89=0,"New",(E89-C89)/C89))</f>
        <v>-0.136021872863978</v>
      </c>
      <c r="H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11" t="n">
        <f aca="false">I89*$J$5</f>
        <v>7543.2</v>
      </c>
      <c r="K89" s="11" t="n">
        <f aca="false">J89-H89</f>
        <v>-857.700000000001</v>
      </c>
      <c r="L89" s="10" t="n">
        <f aca="false">IF(AND(H89=0,J89=0),0,IF(H89=0,"New",(J89-H89)/H89))</f>
        <v>-0.102096203978145</v>
      </c>
    </row>
    <row r="90" customFormat="false" ht="15" hidden="false" customHeight="true" outlineLevel="0" collapsed="false">
      <c r="A90" s="8" t="s">
        <v>150</v>
      </c>
      <c r="B90" s="8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2" t="n">
        <f aca="false">D90*$J$5</f>
        <v>58.1052631578947</v>
      </c>
      <c r="F90" s="22" t="n">
        <f aca="false">E90-C90</f>
        <v>-108.894736842105</v>
      </c>
      <c r="G90" s="10" t="n">
        <f aca="false">IF(AND(C90=0,E90=0),0,IF(C90=0,"New",(E90-C90)/C90))</f>
        <v>-0.652064292467696</v>
      </c>
      <c r="H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11" t="n">
        <f aca="false">I90*$J$5</f>
        <v>1153.64210526316</v>
      </c>
      <c r="K90" s="11" t="n">
        <f aca="false">J90-H90</f>
        <v>-2153.95789473684</v>
      </c>
      <c r="L90" s="10" t="n">
        <f aca="false">IF(AND(H90=0,J90=0),0,IF(H90=0,"New",(J90-H90)/H90))</f>
        <v>-0.651214746262197</v>
      </c>
    </row>
    <row r="91" customFormat="false" ht="15" hidden="false" customHeight="true" outlineLevel="0" collapsed="false">
      <c r="A91" s="8" t="s">
        <v>151</v>
      </c>
      <c r="B91" s="8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2" t="n">
        <f aca="false">D91*$J$5</f>
        <v>396.631578947368</v>
      </c>
      <c r="F91" s="22" t="n">
        <f aca="false">E91-C91</f>
        <v>2.63157894736838</v>
      </c>
      <c r="G91" s="10" t="n">
        <f aca="false">IF(AND(C91=0,E91=0),0,IF(C91=0,"New",(E91-C91)/C91))</f>
        <v>0.00667913438418371</v>
      </c>
      <c r="H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11" t="n">
        <f aca="false">I91*$J$5</f>
        <v>14904.6315789474</v>
      </c>
      <c r="K91" s="11" t="n">
        <f aca="false">J91-H91</f>
        <v>711.931578947369</v>
      </c>
      <c r="L91" s="10" t="n">
        <f aca="false">IF(AND(H91=0,J91=0),0,IF(H91=0,"New",(J91-H91)/H91))</f>
        <v>0.0501618140979073</v>
      </c>
    </row>
    <row r="92" customFormat="false" ht="15" hidden="false" customHeight="true" outlineLevel="0" collapsed="false">
      <c r="A92" s="8" t="s">
        <v>152</v>
      </c>
      <c r="B92" s="8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2" t="n">
        <f aca="false">D92*$J$5</f>
        <v>156.631578947368</v>
      </c>
      <c r="F92" s="22" t="n">
        <f aca="false">E92-C92</f>
        <v>-243.368421052632</v>
      </c>
      <c r="G92" s="10" t="n">
        <f aca="false">IF(AND(C92=0,E92=0),0,IF(C92=0,"New",(E92-C92)/C92))</f>
        <v>-0.608421052631579</v>
      </c>
      <c r="H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11" t="n">
        <f aca="false">I92*$J$5</f>
        <v>1753.64210526316</v>
      </c>
      <c r="K92" s="11" t="n">
        <f aca="false">J92-H92</f>
        <v>-1987.45789473684</v>
      </c>
      <c r="L92" s="10" t="n">
        <f aca="false">IF(AND(H92=0,J92=0),0,IF(H92=0,"New",(J92-H92)/H92))</f>
        <v>-0.531249604324087</v>
      </c>
    </row>
    <row r="93" customFormat="false" ht="15" hidden="false" customHeight="true" outlineLevel="0" collapsed="false">
      <c r="A93" s="8" t="s">
        <v>153</v>
      </c>
      <c r="B93" s="8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2" t="n">
        <f aca="false">D93*$J$5</f>
        <v>49.2631578947368</v>
      </c>
      <c r="F93" s="22" t="n">
        <f aca="false">E93-C93</f>
        <v>50.2631578947368</v>
      </c>
      <c r="G93" s="10" t="n">
        <f aca="false">IF(AND(C93=0,E93=0),0,IF(C93=0,"New",(E93-C93)/C93))</f>
        <v>-50.2631578947368</v>
      </c>
      <c r="H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11" t="n">
        <f aca="false">I93*$J$5</f>
        <v>2768.71578947368</v>
      </c>
      <c r="K93" s="11" t="n">
        <f aca="false">J93-H93</f>
        <v>2857.21578947368</v>
      </c>
      <c r="L93" s="10" t="n">
        <f aca="false">IF(AND(H93=0,J93=0),0,IF(H93=0,"New",(J93-H93)/H93))</f>
        <v>-32.2849241748439</v>
      </c>
    </row>
    <row r="94" customFormat="false" ht="15" hidden="false" customHeight="true" outlineLevel="0" collapsed="false">
      <c r="A94" s="8" t="s">
        <v>154</v>
      </c>
      <c r="B94" s="8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2" t="n">
        <f aca="false">D94*$J$5</f>
        <v>72</v>
      </c>
      <c r="F94" s="22" t="n">
        <f aca="false">E94-C94</f>
        <v>37</v>
      </c>
      <c r="G94" s="10" t="n">
        <f aca="false">IF(AND(C94=0,E94=0),0,IF(C94=0,"New",(E94-C94)/C94))</f>
        <v>1.05714285714286</v>
      </c>
      <c r="H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11" t="n">
        <f aca="false">I94*$J$5</f>
        <v>6504.75789473684</v>
      </c>
      <c r="K94" s="11" t="n">
        <f aca="false">J94-H94</f>
        <v>3630.05789473684</v>
      </c>
      <c r="L94" s="10" t="n">
        <f aca="false">IF(AND(H94=0,J94=0),0,IF(H94=0,"New",(J94-H94)/H94))</f>
        <v>1.26276059927535</v>
      </c>
    </row>
    <row r="95" customFormat="false" ht="15" hidden="false" customHeight="true" outlineLevel="0" collapsed="false">
      <c r="A95" s="8" t="s">
        <v>155</v>
      </c>
      <c r="B95" s="8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2" t="n">
        <f aca="false">D95*$J$5</f>
        <v>127.578947368421</v>
      </c>
      <c r="F95" s="22" t="n">
        <f aca="false">E95-C95</f>
        <v>-7.42105263157896</v>
      </c>
      <c r="G95" s="10" t="n">
        <f aca="false">IF(AND(C95=0,E95=0),0,IF(C95=0,"New",(E95-C95)/C95))</f>
        <v>-0.0549707602339182</v>
      </c>
      <c r="H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11" t="n">
        <f aca="false">I95*$J$5</f>
        <v>8665.01052631579</v>
      </c>
      <c r="K95" s="11" t="n">
        <f aca="false">J95-H95</f>
        <v>-439.589473684211</v>
      </c>
      <c r="L95" s="10" t="n">
        <f aca="false">IF(AND(H95=0,J95=0),0,IF(H95=0,"New",(J95-H95)/H95))</f>
        <v>-0.0482821292186599</v>
      </c>
    </row>
    <row r="96" customFormat="false" ht="15" hidden="false" customHeight="true" outlineLevel="0" collapsed="false">
      <c r="A96" s="8" t="s">
        <v>156</v>
      </c>
      <c r="B96" s="8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2" t="n">
        <f aca="false">D96*$J$5</f>
        <v>280.421052631579</v>
      </c>
      <c r="F96" s="22" t="n">
        <f aca="false">E96-C96</f>
        <v>-62.578947368421</v>
      </c>
      <c r="G96" s="10" t="n">
        <f aca="false">IF(AND(C96=0,E96=0),0,IF(C96=0,"New",(E96-C96)/C96))</f>
        <v>-0.182445910695105</v>
      </c>
      <c r="H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11" t="n">
        <f aca="false">I96*$J$5</f>
        <v>5146.98947368421</v>
      </c>
      <c r="K96" s="11" t="n">
        <f aca="false">J96-H96</f>
        <v>-1141.61052631579</v>
      </c>
      <c r="L96" s="10" t="n">
        <f aca="false">IF(AND(H96=0,J96=0),0,IF(H96=0,"New",(J96-H96)/H96))</f>
        <v>-0.181536514695765</v>
      </c>
    </row>
    <row r="97" customFormat="false" ht="15" hidden="false" customHeight="true" outlineLevel="0" collapsed="false">
      <c r="A97" s="8" t="s">
        <v>157</v>
      </c>
      <c r="B97" s="8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2" t="n">
        <f aca="false">D97*$J$5</f>
        <v>66.9473684210526</v>
      </c>
      <c r="F97" s="22" t="n">
        <f aca="false">E97-C97</f>
        <v>-55.0526315789474</v>
      </c>
      <c r="G97" s="10" t="n">
        <f aca="false">IF(AND(C97=0,E97=0),0,IF(C97=0,"New",(E97-C97)/C97))</f>
        <v>-0.451251078515962</v>
      </c>
      <c r="H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11" t="n">
        <f aca="false">I97*$J$5</f>
        <v>2308.54736842105</v>
      </c>
      <c r="K97" s="11" t="n">
        <f aca="false">J97-H97</f>
        <v>-1730.05263157895</v>
      </c>
      <c r="L97" s="10" t="n">
        <f aca="false">IF(AND(H97=0,J97=0),0,IF(H97=0,"New",(J97-H97)/H97))</f>
        <v>-0.4283792976722</v>
      </c>
    </row>
    <row r="98" customFormat="false" ht="15" hidden="false" customHeight="true" outlineLevel="0" collapsed="false">
      <c r="A98" s="8" t="s">
        <v>158</v>
      </c>
      <c r="B98" s="8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2" t="n">
        <f aca="false">D98*$J$5</f>
        <v>171.789473684211</v>
      </c>
      <c r="F98" s="22" t="n">
        <f aca="false">E98-C98</f>
        <v>-50.2105263157895</v>
      </c>
      <c r="G98" s="10" t="n">
        <f aca="false">IF(AND(C98=0,E98=0),0,IF(C98=0,"New",(E98-C98)/C98))</f>
        <v>-0.226173541963016</v>
      </c>
      <c r="H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11" t="n">
        <f aca="false">I98*$J$5</f>
        <v>4596.5052631579</v>
      </c>
      <c r="K98" s="11" t="n">
        <f aca="false">J98-H98</f>
        <v>-1226.49473684211</v>
      </c>
      <c r="L98" s="10" t="n">
        <f aca="false">IF(AND(H98=0,J98=0),0,IF(H98=0,"New",(J98-H98)/H98))</f>
        <v>-0.210629355459747</v>
      </c>
    </row>
    <row r="99" customFormat="false" ht="15" hidden="false" customHeight="true" outlineLevel="0" collapsed="false">
      <c r="A99" s="8" t="s">
        <v>159</v>
      </c>
      <c r="B99" s="8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2" t="n">
        <f aca="false">D99*$J$5</f>
        <v>0</v>
      </c>
      <c r="F99" s="22" t="n">
        <f aca="false">E99-C99</f>
        <v>-84</v>
      </c>
      <c r="G99" s="10" t="n">
        <f aca="false">IF(AND(C99=0,E99=0),0,IF(C99=0,"New",(E99-C99)/C99))</f>
        <v>-1</v>
      </c>
      <c r="H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11" t="n">
        <f aca="false">I99*$J$5</f>
        <v>0</v>
      </c>
      <c r="K99" s="11" t="n">
        <f aca="false">J99-H99</f>
        <v>-2147.5</v>
      </c>
      <c r="L99" s="10" t="n">
        <f aca="false">IF(AND(H99=0,J99=0),0,IF(H99=0,"New",(J99-H99)/H99))</f>
        <v>-1</v>
      </c>
    </row>
    <row r="100" customFormat="false" ht="15" hidden="false" customHeight="true" outlineLevel="0" collapsed="false">
      <c r="A100" s="8" t="s">
        <v>160</v>
      </c>
      <c r="B100" s="8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2" t="n">
        <f aca="false">D100*$J$5</f>
        <v>31.5789473684211</v>
      </c>
      <c r="F100" s="22" t="n">
        <f aca="false">E100-C100</f>
        <v>-14.4210526315789</v>
      </c>
      <c r="G100" s="10" t="n">
        <f aca="false">IF(AND(C100=0,E100=0),0,IF(C100=0,"New",(E100-C100)/C100))</f>
        <v>-0.31350114416476</v>
      </c>
      <c r="H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11" t="n">
        <f aca="false">I100*$J$5</f>
        <v>3308.96842105263</v>
      </c>
      <c r="K100" s="11" t="n">
        <f aca="false">J100-H100</f>
        <v>-1434.43157894737</v>
      </c>
      <c r="L100" s="10" t="n">
        <f aca="false">IF(AND(H100=0,J100=0),0,IF(H100=0,"New",(J100-H100)/H100))</f>
        <v>-0.302405780441744</v>
      </c>
    </row>
    <row r="101" customFormat="false" ht="15" hidden="false" customHeight="true" outlineLevel="0" collapsed="false">
      <c r="A101" s="8" t="s">
        <v>161</v>
      </c>
      <c r="B101" s="8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2" t="n">
        <f aca="false">D101*$J$5</f>
        <v>24</v>
      </c>
      <c r="F101" s="22" t="n">
        <f aca="false">E101-C101</f>
        <v>-10</v>
      </c>
      <c r="G101" s="10" t="n">
        <f aca="false">IF(AND(C101=0,E101=0),0,IF(C101=0,"New",(E101-C101)/C101))</f>
        <v>-0.294117647058824</v>
      </c>
      <c r="H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11" t="n">
        <f aca="false">I101*$J$5</f>
        <v>3444.25263157895</v>
      </c>
      <c r="K101" s="11" t="n">
        <f aca="false">J101-H101</f>
        <v>-1402.94736842105</v>
      </c>
      <c r="L101" s="10" t="n">
        <f aca="false">IF(AND(H101=0,J101=0),0,IF(H101=0,"New",(J101-H101)/H101))</f>
        <v>-0.289434594904492</v>
      </c>
    </row>
    <row r="102" customFormat="false" ht="15" hidden="false" customHeight="true" outlineLevel="0" collapsed="false">
      <c r="A102" s="8" t="s">
        <v>162</v>
      </c>
      <c r="B102" s="8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2" t="n">
        <f aca="false">D102*$J$5</f>
        <v>44.2105263157895</v>
      </c>
      <c r="F102" s="22" t="n">
        <f aca="false">E102-C102</f>
        <v>-8.78947368421053</v>
      </c>
      <c r="G102" s="10" t="n">
        <f aca="false">IF(AND(C102=0,E102=0),0,IF(C102=0,"New",(E102-C102)/C102))</f>
        <v>-0.16583912611718</v>
      </c>
      <c r="H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11" t="n">
        <f aca="false">I102*$J$5</f>
        <v>4817.3052631579</v>
      </c>
      <c r="K102" s="11" t="n">
        <f aca="false">J102-H102</f>
        <v>-1105.5947368421</v>
      </c>
      <c r="L102" s="10" t="n">
        <f aca="false">IF(AND(H102=0,J102=0),0,IF(H102=0,"New",(J102-H102)/H102))</f>
        <v>-0.186664427365329</v>
      </c>
    </row>
    <row r="103" customFormat="false" ht="15" hidden="false" customHeight="true" outlineLevel="0" collapsed="false">
      <c r="A103" s="8" t="s">
        <v>163</v>
      </c>
      <c r="B103" s="8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2" t="n">
        <f aca="false">D103*$J$5</f>
        <v>267.789473684211</v>
      </c>
      <c r="F103" s="22" t="n">
        <f aca="false">E103-C103</f>
        <v>-214.210526315789</v>
      </c>
      <c r="G103" s="10" t="n">
        <f aca="false">IF(AND(C103=0,E103=0),0,IF(C103=0,"New",(E103-C103)/C103))</f>
        <v>-0.444420179078401</v>
      </c>
      <c r="H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11" t="n">
        <f aca="false">I103*$J$5</f>
        <v>2983.45263157895</v>
      </c>
      <c r="K103" s="11" t="n">
        <f aca="false">J103-H103</f>
        <v>-1479.64736842105</v>
      </c>
      <c r="L103" s="10" t="n">
        <f aca="false">IF(AND(H103=0,J103=0),0,IF(H103=0,"New",(J103-H103)/H103))</f>
        <v>-0.331529064645886</v>
      </c>
    </row>
    <row r="104" customFormat="false" ht="15" hidden="false" customHeight="true" outlineLevel="0" collapsed="false">
      <c r="A104" s="8" t="s">
        <v>164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2" t="n">
        <f aca="false">D104*$J$5</f>
        <v>27.7894736842105</v>
      </c>
      <c r="F104" s="22" t="n">
        <f aca="false">E104-C104</f>
        <v>-13.2105263157895</v>
      </c>
      <c r="G104" s="10" t="n">
        <f aca="false">IF(AND(C104=0,E104=0),0,IF(C104=0,"New",(E104-C104)/C104))</f>
        <v>-0.322207958921695</v>
      </c>
      <c r="H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11" t="n">
        <f aca="false">I104*$J$5</f>
        <v>3150.44210526316</v>
      </c>
      <c r="K104" s="11" t="n">
        <f aca="false">J104-H104</f>
        <v>-1301.85789473684</v>
      </c>
      <c r="L104" s="10" t="n">
        <f aca="false">IF(AND(H104=0,J104=0),0,IF(H104=0,"New",(J104-H104)/H104))</f>
        <v>-0.292401207182095</v>
      </c>
    </row>
    <row r="105" customFormat="false" ht="15" hidden="false" customHeight="true" outlineLevel="0" collapsed="false">
      <c r="A105" s="8" t="s">
        <v>165</v>
      </c>
      <c r="B105" s="8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2" t="n">
        <f aca="false">D105*$J$5</f>
        <v>41.6842105263158</v>
      </c>
      <c r="F105" s="22" t="n">
        <f aca="false">E105-C105</f>
        <v>23.6842105263158</v>
      </c>
      <c r="G105" s="10" t="n">
        <f aca="false">IF(AND(C105=0,E105=0),0,IF(C105=0,"New",(E105-C105)/C105))</f>
        <v>1.31578947368421</v>
      </c>
      <c r="H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11" t="n">
        <f aca="false">I105*$J$5</f>
        <v>5102.90526315789</v>
      </c>
      <c r="K105" s="11" t="n">
        <f aca="false">J105-H105</f>
        <v>2983.00526315789</v>
      </c>
      <c r="L105" s="10" t="n">
        <f aca="false">IF(AND(H105=0,J105=0),0,IF(H105=0,"New",(J105-H105)/H105))</f>
        <v>1.40714432905226</v>
      </c>
    </row>
    <row r="106" customFormat="false" ht="15" hidden="false" customHeight="true" outlineLevel="0" collapsed="false">
      <c r="A106" s="8" t="s">
        <v>166</v>
      </c>
      <c r="B106" s="8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2" t="n">
        <f aca="false">D106*$J$5</f>
        <v>145.263157894737</v>
      </c>
      <c r="F106" s="22" t="n">
        <f aca="false">E106-C106</f>
        <v>-7.73684210526318</v>
      </c>
      <c r="G106" s="10" t="n">
        <f aca="false">IF(AND(C106=0,E106=0),0,IF(C106=0,"New",(E106-C106)/C106))</f>
        <v>-0.0505675954592365</v>
      </c>
      <c r="H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11" t="n">
        <f aca="false">I106*$J$5</f>
        <v>7344.25263157895</v>
      </c>
      <c r="K106" s="11" t="n">
        <f aca="false">J106-H106</f>
        <v>-375.447368421053</v>
      </c>
      <c r="L106" s="10" t="n">
        <f aca="false">IF(AND(H106=0,J106=0),0,IF(H106=0,"New",(J106-H106)/H106))</f>
        <v>-0.0486349687709436</v>
      </c>
    </row>
    <row r="107" customFormat="false" ht="15" hidden="false" customHeight="true" outlineLevel="0" collapsed="false">
      <c r="A107" s="8" t="s">
        <v>167</v>
      </c>
      <c r="B107" s="8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2" t="n">
        <f aca="false">D107*$J$5</f>
        <v>0</v>
      </c>
      <c r="F107" s="22" t="n">
        <f aca="false">E107-C107</f>
        <v>-11</v>
      </c>
      <c r="G107" s="10" t="n">
        <f aca="false">IF(AND(C107=0,E107=0),0,IF(C107=0,"New",(E107-C107)/C107))</f>
        <v>-1</v>
      </c>
      <c r="H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11" t="n">
        <f aca="false">I107*$J$5</f>
        <v>0</v>
      </c>
      <c r="K107" s="11" t="n">
        <f aca="false">J107-H107</f>
        <v>-1897.3</v>
      </c>
      <c r="L107" s="10" t="n">
        <f aca="false">IF(AND(H107=0,J107=0),0,IF(H107=0,"New",(J107-H107)/H107))</f>
        <v>-1</v>
      </c>
    </row>
    <row r="108" customFormat="false" ht="15" hidden="false" customHeight="true" outlineLevel="0" collapsed="false">
      <c r="A108" s="8" t="s">
        <v>168</v>
      </c>
      <c r="B108" s="8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2" t="n">
        <f aca="false">D108*$J$5</f>
        <v>29.0526315789474</v>
      </c>
      <c r="F108" s="22" t="n">
        <f aca="false">E108-C108</f>
        <v>-12.9473684210526</v>
      </c>
      <c r="G108" s="10" t="n">
        <f aca="false">IF(AND(C108=0,E108=0),0,IF(C108=0,"New",(E108-C108)/C108))</f>
        <v>-0.308270676691729</v>
      </c>
      <c r="H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11" t="n">
        <f aca="false">I108*$J$5</f>
        <v>3064.92631578947</v>
      </c>
      <c r="K108" s="11" t="n">
        <f aca="false">J108-H108</f>
        <v>-1207.57368421053</v>
      </c>
      <c r="L108" s="10" t="n">
        <f aca="false">IF(AND(H108=0,J108=0),0,IF(H108=0,"New",(J108-H108)/H108))</f>
        <v>-0.282638662190878</v>
      </c>
    </row>
    <row r="109" customFormat="false" ht="15" hidden="false" customHeight="true" outlineLevel="0" collapsed="false">
      <c r="A109" s="8" t="s">
        <v>169</v>
      </c>
      <c r="B109" s="8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2" t="n">
        <f aca="false">D109*$J$5</f>
        <v>184.421052631579</v>
      </c>
      <c r="F109" s="22" t="n">
        <f aca="false">E109-C109</f>
        <v>-35.5789473684211</v>
      </c>
      <c r="G109" s="10" t="n">
        <f aca="false">IF(AND(C109=0,E109=0),0,IF(C109=0,"New",(E109-C109)/C109))</f>
        <v>-0.161722488038278</v>
      </c>
      <c r="H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11" t="n">
        <f aca="false">I109*$J$5</f>
        <v>4555.2</v>
      </c>
      <c r="K109" s="11" t="n">
        <f aca="false">J109-H109</f>
        <v>-892.1</v>
      </c>
      <c r="L109" s="10" t="n">
        <f aca="false">IF(AND(H109=0,J109=0),0,IF(H109=0,"New",(J109-H109)/H109))</f>
        <v>-0.163769206762983</v>
      </c>
    </row>
    <row r="110" customFormat="false" ht="15" hidden="false" customHeight="true" outlineLevel="0" collapsed="false">
      <c r="A110" s="8" t="s">
        <v>170</v>
      </c>
      <c r="B110" s="8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2" t="n">
        <f aca="false">D110*$J$5</f>
        <v>3.78947368421053</v>
      </c>
      <c r="F110" s="22" t="n">
        <f aca="false">E110-C110</f>
        <v>-16.2105263157895</v>
      </c>
      <c r="G110" s="10" t="n">
        <f aca="false">IF(AND(C110=0,E110=0),0,IF(C110=0,"New",(E110-C110)/C110))</f>
        <v>-0.810526315789474</v>
      </c>
      <c r="H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11" t="n">
        <f aca="false">I110*$J$5</f>
        <v>569.052631578947</v>
      </c>
      <c r="K110" s="11" t="n">
        <f aca="false">J110-H110</f>
        <v>-1691.94736842105</v>
      </c>
      <c r="L110" s="10" t="n">
        <f aca="false">IF(AND(H110=0,J110=0),0,IF(H110=0,"New",(J110-H110)/H110))</f>
        <v>-0.748318163830629</v>
      </c>
    </row>
    <row r="111" customFormat="false" ht="15" hidden="false" customHeight="true" outlineLevel="0" collapsed="false">
      <c r="A111" s="8" t="s">
        <v>171</v>
      </c>
      <c r="B111" s="8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2" t="n">
        <f aca="false">D111*$J$5</f>
        <v>102.315789473684</v>
      </c>
      <c r="F111" s="22" t="n">
        <f aca="false">E111-C111</f>
        <v>-38.6842105263158</v>
      </c>
      <c r="G111" s="10" t="n">
        <f aca="false">IF(AND(C111=0,E111=0),0,IF(C111=0,"New",(E111-C111)/C111))</f>
        <v>-0.274356103023516</v>
      </c>
      <c r="H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11" t="n">
        <f aca="false">I111*$J$5</f>
        <v>3186.69473684211</v>
      </c>
      <c r="K111" s="11" t="n">
        <f aca="false">J111-H111</f>
        <v>-1145.70526315789</v>
      </c>
      <c r="L111" s="10" t="n">
        <f aca="false">IF(AND(H111=0,J111=0),0,IF(H111=0,"New",(J111-H111)/H111))</f>
        <v>-0.264450480832309</v>
      </c>
    </row>
    <row r="112" customFormat="false" ht="15" hidden="false" customHeight="true" outlineLevel="0" collapsed="false">
      <c r="A112" s="8" t="s">
        <v>172</v>
      </c>
      <c r="B112" s="8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2" t="n">
        <f aca="false">D112*$J$5</f>
        <v>21.4736842105263</v>
      </c>
      <c r="F112" s="22" t="n">
        <f aca="false">E112-C112</f>
        <v>14.4736842105263</v>
      </c>
      <c r="G112" s="10" t="n">
        <f aca="false">IF(AND(C112=0,E112=0),0,IF(C112=0,"New",(E112-C112)/C112))</f>
        <v>2.06766917293233</v>
      </c>
      <c r="H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11" t="n">
        <f aca="false">I112*$J$5</f>
        <v>3495.03157894737</v>
      </c>
      <c r="K112" s="11" t="n">
        <f aca="false">J112-H112</f>
        <v>2470.43157894737</v>
      </c>
      <c r="L112" s="10" t="n">
        <f aca="false">IF(AND(H112=0,J112=0),0,IF(H112=0,"New",(J112-H112)/H112))</f>
        <v>2.41111807431912</v>
      </c>
    </row>
    <row r="113" customFormat="false" ht="15" hidden="false" customHeight="true" outlineLevel="0" collapsed="false">
      <c r="A113" s="8" t="s">
        <v>173</v>
      </c>
      <c r="B113" s="8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2" t="n">
        <f aca="false">D113*$J$5</f>
        <v>2.52631578947368</v>
      </c>
      <c r="F113" s="22" t="n">
        <f aca="false">E113-C113</f>
        <v>-17.4736842105263</v>
      </c>
      <c r="G113" s="10" t="n">
        <f aca="false">IF(AND(C113=0,E113=0),0,IF(C113=0,"New",(E113-C113)/C113))</f>
        <v>-0.873684210526316</v>
      </c>
      <c r="H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11" t="n">
        <f aca="false">I113*$J$5</f>
        <v>274.610526315789</v>
      </c>
      <c r="K113" s="11" t="n">
        <f aca="false">J113-H113</f>
        <v>-1641.28947368421</v>
      </c>
      <c r="L113" s="10" t="n">
        <f aca="false">IF(AND(H113=0,J113=0),0,IF(H113=0,"New",(J113-H113)/H113))</f>
        <v>-0.856667609835696</v>
      </c>
    </row>
    <row r="114" customFormat="false" ht="15" hidden="false" customHeight="true" outlineLevel="0" collapsed="false">
      <c r="A114" s="8" t="s">
        <v>174</v>
      </c>
      <c r="B114" s="8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2" t="n">
        <f aca="false">D114*$J$5</f>
        <v>132.631578947368</v>
      </c>
      <c r="F114" s="22" t="n">
        <f aca="false">E114-C114</f>
        <v>12.6315789473684</v>
      </c>
      <c r="G114" s="10" t="n">
        <f aca="false">IF(AND(C114=0,E114=0),0,IF(C114=0,"New",(E114-C114)/C114))</f>
        <v>0.105263157894737</v>
      </c>
      <c r="H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11" t="n">
        <f aca="false">I114*$J$5</f>
        <v>15463.5789473684</v>
      </c>
      <c r="K114" s="11" t="n">
        <f aca="false">J114-H114</f>
        <v>1547.47894736842</v>
      </c>
      <c r="L114" s="10" t="n">
        <f aca="false">IF(AND(H114=0,J114=0),0,IF(H114=0,"New",(J114-H114)/H114))</f>
        <v>0.111200619955909</v>
      </c>
    </row>
    <row r="115" customFormat="false" ht="15" hidden="false" customHeight="true" outlineLevel="0" collapsed="false">
      <c r="A115" s="8" t="s">
        <v>175</v>
      </c>
      <c r="B115" s="8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2" t="n">
        <f aca="false">D115*$J$5</f>
        <v>97.2631578947368</v>
      </c>
      <c r="F115" s="22" t="n">
        <f aca="false">E115-C115</f>
        <v>-29.7368421052632</v>
      </c>
      <c r="G115" s="10" t="n">
        <f aca="false">IF(AND(C115=0,E115=0),0,IF(C115=0,"New",(E115-C115)/C115))</f>
        <v>-0.234148363033568</v>
      </c>
      <c r="H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11" t="n">
        <f aca="false">I115*$J$5</f>
        <v>3492.63157894737</v>
      </c>
      <c r="K115" s="11" t="n">
        <f aca="false">J115-H115</f>
        <v>-926.068421052632</v>
      </c>
      <c r="L115" s="10" t="n">
        <f aca="false">IF(AND(H115=0,J115=0),0,IF(H115=0,"New",(J115-H115)/H115))</f>
        <v>-0.209579383314692</v>
      </c>
    </row>
    <row r="116" customFormat="false" ht="15" hidden="false" customHeight="true" outlineLevel="0" collapsed="false">
      <c r="A116" s="8" t="s">
        <v>176</v>
      </c>
      <c r="B116" s="8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2" t="n">
        <f aca="false">D116*$J$5</f>
        <v>8.84210526315789</v>
      </c>
      <c r="F116" s="22" t="n">
        <f aca="false">E116-C116</f>
        <v>-27.1578947368421</v>
      </c>
      <c r="G116" s="10" t="n">
        <f aca="false">IF(AND(C116=0,E116=0),0,IF(C116=0,"New",(E116-C116)/C116))</f>
        <v>-0.754385964912281</v>
      </c>
      <c r="H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11" t="n">
        <f aca="false">I116*$J$5</f>
        <v>501.094736842105</v>
      </c>
      <c r="K116" s="11" t="n">
        <f aca="false">J116-H116</f>
        <v>-1486.20526315789</v>
      </c>
      <c r="L116" s="10" t="n">
        <f aca="false">IF(AND(H116=0,J116=0),0,IF(H116=0,"New",(J116-H116)/H116))</f>
        <v>-0.74785148853112</v>
      </c>
    </row>
    <row r="117" customFormat="false" ht="15" hidden="false" customHeight="true" outlineLevel="0" collapsed="false">
      <c r="A117" s="8" t="s">
        <v>177</v>
      </c>
      <c r="B117" s="8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2" t="n">
        <f aca="false">D117*$J$5</f>
        <v>30.3157894736842</v>
      </c>
      <c r="F117" s="22" t="n">
        <f aca="false">E117-C117</f>
        <v>-15.6842105263158</v>
      </c>
      <c r="G117" s="10" t="n">
        <f aca="false">IF(AND(C117=0,E117=0),0,IF(C117=0,"New",(E117-C117)/C117))</f>
        <v>-0.340961098398169</v>
      </c>
      <c r="H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11" t="n">
        <f aca="false">I117*$J$5</f>
        <v>2023.45263157895</v>
      </c>
      <c r="K117" s="11" t="n">
        <f aca="false">J117-H117</f>
        <v>-1082.64736842105</v>
      </c>
      <c r="L117" s="10" t="n">
        <f aca="false">IF(AND(H117=0,J117=0),0,IF(H117=0,"New",(J117-H117)/H117))</f>
        <v>-0.348555219864477</v>
      </c>
    </row>
    <row r="118" customFormat="false" ht="15" hidden="false" customHeight="true" outlineLevel="0" collapsed="false">
      <c r="A118" s="8" t="s">
        <v>178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2" t="n">
        <f aca="false">D118*$J$5</f>
        <v>10.1052631578947</v>
      </c>
      <c r="F118" s="22" t="n">
        <f aca="false">E118-C118</f>
        <v>-10.8947368421053</v>
      </c>
      <c r="G118" s="10" t="n">
        <f aca="false">IF(AND(C118=0,E118=0),0,IF(C118=0,"New",(E118-C118)/C118))</f>
        <v>-0.518796992481203</v>
      </c>
      <c r="H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11" t="n">
        <f aca="false">I118*$J$5</f>
        <v>1084.92631578947</v>
      </c>
      <c r="K118" s="11" t="n">
        <f aca="false">J118-H118</f>
        <v>-1239.27368421053</v>
      </c>
      <c r="L118" s="10" t="n">
        <f aca="false">IF(AND(H118=0,J118=0),0,IF(H118=0,"New",(J118-H118)/H118))</f>
        <v>-0.533204407628658</v>
      </c>
    </row>
    <row r="119" customFormat="false" ht="15" hidden="false" customHeight="true" outlineLevel="0" collapsed="false">
      <c r="A119" s="8" t="s">
        <v>179</v>
      </c>
      <c r="B119" s="8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2" t="n">
        <f aca="false">D119*$J$5</f>
        <v>85.8947368421053</v>
      </c>
      <c r="F119" s="22" t="n">
        <f aca="false">E119-C119</f>
        <v>-63.1052631578947</v>
      </c>
      <c r="G119" s="10" t="n">
        <f aca="false">IF(AND(C119=0,E119=0),0,IF(C119=0,"New",(E119-C119)/C119))</f>
        <v>-0.423525256093253</v>
      </c>
      <c r="H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11" t="n">
        <f aca="false">I119*$J$5</f>
        <v>1705.13684210526</v>
      </c>
      <c r="K119" s="11" t="n">
        <f aca="false">J119-H119</f>
        <v>-1105.56315789474</v>
      </c>
      <c r="L119" s="10" t="n">
        <f aca="false">IF(AND(H119=0,J119=0),0,IF(H119=0,"New",(J119-H119)/H119))</f>
        <v>-0.393340860958031</v>
      </c>
    </row>
    <row r="120" customFormat="false" ht="15" hidden="false" customHeight="true" outlineLevel="0" collapsed="false">
      <c r="A120" s="8" t="s">
        <v>180</v>
      </c>
      <c r="B120" s="8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2" t="n">
        <f aca="false">D120*$J$5</f>
        <v>140.210526315789</v>
      </c>
      <c r="F120" s="22" t="n">
        <f aca="false">E120-C120</f>
        <v>-37.7894736842105</v>
      </c>
      <c r="G120" s="10" t="n">
        <f aca="false">IF(AND(C120=0,E120=0),0,IF(C120=0,"New",(E120-C120)/C120))</f>
        <v>-0.212300413956239</v>
      </c>
      <c r="H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11" t="n">
        <f aca="false">I120*$J$5</f>
        <v>3740.96842105263</v>
      </c>
      <c r="K120" s="11" t="n">
        <f aca="false">J120-H120</f>
        <v>-675.33157894737</v>
      </c>
      <c r="L120" s="10" t="n">
        <f aca="false">IF(AND(H120=0,J120=0),0,IF(H120=0,"New",(J120-H120)/H120))</f>
        <v>-0.152917958233673</v>
      </c>
    </row>
    <row r="121" customFormat="false" ht="15" hidden="false" customHeight="true" outlineLevel="0" collapsed="false">
      <c r="A121" s="8" t="s">
        <v>181</v>
      </c>
      <c r="B121" s="8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2" t="n">
        <f aca="false">D121*$J$5</f>
        <v>15.1578947368421</v>
      </c>
      <c r="F121" s="22" t="n">
        <f aca="false">E121-C121</f>
        <v>-4.8421052631579</v>
      </c>
      <c r="G121" s="10" t="n">
        <f aca="false">IF(AND(C121=0,E121=0),0,IF(C121=0,"New",(E121-C121)/C121))</f>
        <v>-0.242105263157895</v>
      </c>
      <c r="H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11" t="n">
        <f aca="false">I121*$J$5</f>
        <v>2781.47368421053</v>
      </c>
      <c r="K121" s="11" t="n">
        <f aca="false">J121-H121</f>
        <v>-849.026315789474</v>
      </c>
      <c r="L121" s="10" t="n">
        <f aca="false">IF(AND(H121=0,J121=0),0,IF(H121=0,"New",(J121-H121)/H121))</f>
        <v>-0.233859335019825</v>
      </c>
    </row>
    <row r="122" customFormat="false" ht="15" hidden="false" customHeight="true" outlineLevel="0" collapsed="false">
      <c r="A122" s="8" t="s">
        <v>182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2" t="n">
        <f aca="false">D122*$J$5</f>
        <v>380.21052631579</v>
      </c>
      <c r="F122" s="22" t="n">
        <f aca="false">E122-C122</f>
        <v>-1.78947368421052</v>
      </c>
      <c r="G122" s="10" t="n">
        <f aca="false">IF(AND(C122=0,E122=0),0,IF(C122=0,"New",(E122-C122)/C122))</f>
        <v>-0.00468448608432073</v>
      </c>
      <c r="H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11" t="n">
        <f aca="false">I122*$J$5</f>
        <v>7464.12631578947</v>
      </c>
      <c r="K122" s="11" t="n">
        <f aca="false">J122-H122</f>
        <v>148.326315789473</v>
      </c>
      <c r="L122" s="10" t="n">
        <f aca="false">IF(AND(H122=0,J122=0),0,IF(H122=0,"New",(J122-H122)/H122))</f>
        <v>0.0202747909715236</v>
      </c>
    </row>
    <row r="123" customFormat="false" ht="15" hidden="false" customHeight="true" outlineLevel="0" collapsed="false">
      <c r="A123" s="8" t="s">
        <v>183</v>
      </c>
      <c r="B123" s="8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2" t="n">
        <f aca="false">D123*$J$5</f>
        <v>516.631578947368</v>
      </c>
      <c r="F123" s="22" t="n">
        <f aca="false">E123-C123</f>
        <v>141.631578947368</v>
      </c>
      <c r="G123" s="10" t="n">
        <f aca="false">IF(AND(C123=0,E123=0),0,IF(C123=0,"New",(E123-C123)/C123))</f>
        <v>0.377684210526316</v>
      </c>
      <c r="H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11" t="n">
        <f aca="false">I123*$J$5</f>
        <v>18836.0842105263</v>
      </c>
      <c r="K123" s="11" t="n">
        <f aca="false">J123-H123</f>
        <v>5326.18421052632</v>
      </c>
      <c r="L123" s="10" t="n">
        <f aca="false">IF(AND(H123=0,J123=0),0,IF(H123=0,"New",(J123-H123)/H123))</f>
        <v>0.394243052171098</v>
      </c>
    </row>
    <row r="124" customFormat="false" ht="15" hidden="false" customHeight="true" outlineLevel="0" collapsed="false">
      <c r="A124" s="8" t="s">
        <v>184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2" t="n">
        <f aca="false">D124*$J$5</f>
        <v>87.1578947368421</v>
      </c>
      <c r="F124" s="22" t="n">
        <f aca="false">E124-C124</f>
        <v>-2.8421052631579</v>
      </c>
      <c r="G124" s="10" t="n">
        <f aca="false">IF(AND(C124=0,E124=0),0,IF(C124=0,"New",(E124-C124)/C124))</f>
        <v>-0.0315789473684212</v>
      </c>
      <c r="H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11" t="n">
        <f aca="false">I124*$J$5</f>
        <v>5892.75789473684</v>
      </c>
      <c r="K124" s="11" t="n">
        <f aca="false">J124-H124</f>
        <v>-91.1421052631586</v>
      </c>
      <c r="L124" s="10" t="n">
        <f aca="false">IF(AND(H124=0,J124=0),0,IF(H124=0,"New",(J124-H124)/H124))</f>
        <v>-0.0152312213210713</v>
      </c>
    </row>
    <row r="125" customFormat="false" ht="15" hidden="false" customHeight="true" outlineLevel="0" collapsed="false">
      <c r="A125" s="8" t="s">
        <v>185</v>
      </c>
      <c r="B125" s="8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2" t="n">
        <f aca="false">D125*$J$5</f>
        <v>10.1052631578947</v>
      </c>
      <c r="F125" s="22" t="n">
        <f aca="false">E125-C125</f>
        <v>10.1052631578947</v>
      </c>
      <c r="G125" s="10" t="str">
        <f aca="false">IF(AND(C125=0,E125=0),0,IF(C125=0,"New",(E125-C125)/C125))</f>
        <v>New</v>
      </c>
      <c r="H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11" t="n">
        <f aca="false">I125*$J$5</f>
        <v>1643.49473684211</v>
      </c>
      <c r="K125" s="11" t="n">
        <f aca="false">J125-H125</f>
        <v>1643.49473684211</v>
      </c>
      <c r="L125" s="10" t="str">
        <f aca="false">IF(AND(H125=0,J125=0),0,IF(H125=0,"New",(J125-H125)/H125))</f>
        <v>New</v>
      </c>
    </row>
    <row r="126" customFormat="false" ht="15" hidden="false" customHeight="true" outlineLevel="0" collapsed="false">
      <c r="A126" s="8" t="s">
        <v>186</v>
      </c>
      <c r="B126" s="8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2" t="n">
        <f aca="false">D126*$J$5</f>
        <v>941.052631578947</v>
      </c>
      <c r="F126" s="22" t="n">
        <f aca="false">E126-C126</f>
        <v>239.052631578947</v>
      </c>
      <c r="G126" s="10" t="n">
        <f aca="false">IF(AND(C126=0,E126=0),0,IF(C126=0,"New",(E126-C126)/C126))</f>
        <v>0.340530814215025</v>
      </c>
      <c r="H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11" t="n">
        <f aca="false">I126*$J$5</f>
        <v>10530.9473684211</v>
      </c>
      <c r="K126" s="11" t="n">
        <f aca="false">J126-H126</f>
        <v>3459.84736842105</v>
      </c>
      <c r="L126" s="10" t="n">
        <f aca="false">IF(AND(H126=0,J126=0),0,IF(H126=0,"New",(J126-H126)/H126))</f>
        <v>0.48929407990568</v>
      </c>
    </row>
    <row r="127" customFormat="false" ht="15" hidden="false" customHeight="true" outlineLevel="0" collapsed="false">
      <c r="A127" s="8" t="s">
        <v>187</v>
      </c>
      <c r="B127" s="8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2" t="n">
        <f aca="false">D127*$J$5</f>
        <v>233.684210526316</v>
      </c>
      <c r="F127" s="22" t="n">
        <f aca="false">E127-C127</f>
        <v>-26.3157894736842</v>
      </c>
      <c r="G127" s="10" t="n">
        <f aca="false">IF(AND(C127=0,E127=0),0,IF(C127=0,"New",(E127-C127)/C127))</f>
        <v>-0.101214574898785</v>
      </c>
      <c r="H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11" t="n">
        <f aca="false">I127*$J$5</f>
        <v>3564.25263157895</v>
      </c>
      <c r="K127" s="11" t="n">
        <f aca="false">J127-H127</f>
        <v>-513.647368421052</v>
      </c>
      <c r="L127" s="10" t="n">
        <f aca="false">IF(AND(H127=0,J127=0),0,IF(H127=0,"New",(J127-H127)/H127))</f>
        <v>-0.125958794580802</v>
      </c>
    </row>
    <row r="128" customFormat="false" ht="15" hidden="false" customHeight="true" outlineLevel="0" collapsed="false">
      <c r="A128" s="8" t="s">
        <v>188</v>
      </c>
      <c r="B128" s="8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2" t="n">
        <f aca="false">D128*$J$5</f>
        <v>194.526315789474</v>
      </c>
      <c r="F128" s="22" t="n">
        <f aca="false">E128-C128</f>
        <v>-27.4736842105263</v>
      </c>
      <c r="G128" s="10" t="n">
        <f aca="false">IF(AND(C128=0,E128=0),0,IF(C128=0,"New",(E128-C128)/C128))</f>
        <v>-0.12375533428165</v>
      </c>
      <c r="H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11" t="n">
        <f aca="false">I128*$J$5</f>
        <v>3847.83157894737</v>
      </c>
      <c r="K128" s="11" t="n">
        <f aca="false">J128-H128</f>
        <v>-445.168421052631</v>
      </c>
      <c r="L128" s="10" t="n">
        <f aca="false">IF(AND(H128=0,J128=0),0,IF(H128=0,"New",(J128-H128)/H128))</f>
        <v>-0.103696347787708</v>
      </c>
    </row>
    <row r="129" customFormat="false" ht="15" hidden="false" customHeight="true" outlineLevel="0" collapsed="false">
      <c r="A129" s="8" t="s">
        <v>189</v>
      </c>
      <c r="B129" s="8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2" t="n">
        <f aca="false">D129*$J$5</f>
        <v>3.78947368421053</v>
      </c>
      <c r="F129" s="22" t="n">
        <f aca="false">E129-C129</f>
        <v>-24.2105263157895</v>
      </c>
      <c r="G129" s="10" t="n">
        <f aca="false">IF(AND(C129=0,E129=0),0,IF(C129=0,"New",(E129-C129)/C129))</f>
        <v>-0.864661654135338</v>
      </c>
      <c r="H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11" t="n">
        <f aca="false">I129*$J$5</f>
        <v>233.810526315789</v>
      </c>
      <c r="K129" s="11" t="n">
        <f aca="false">J129-H129</f>
        <v>-1197.28947368421</v>
      </c>
      <c r="L129" s="10" t="n">
        <f aca="false">IF(AND(H129=0,J129=0),0,IF(H129=0,"New",(J129-H129)/H129))</f>
        <v>-0.836621810973524</v>
      </c>
    </row>
    <row r="130" customFormat="false" ht="15" hidden="false" customHeight="true" outlineLevel="0" collapsed="false">
      <c r="A130" s="8" t="s">
        <v>190</v>
      </c>
      <c r="B130" s="8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2" t="n">
        <f aca="false">D130*$J$5</f>
        <v>74.5263157894737</v>
      </c>
      <c r="F130" s="22" t="n">
        <f aca="false">E130-C130</f>
        <v>-41.4736842105263</v>
      </c>
      <c r="G130" s="10" t="n">
        <f aca="false">IF(AND(C130=0,E130=0),0,IF(C130=0,"New",(E130-C130)/C130))</f>
        <v>-0.357531760435572</v>
      </c>
      <c r="H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11" t="n">
        <f aca="false">I130*$J$5</f>
        <v>1524.37894736842</v>
      </c>
      <c r="K130" s="11" t="n">
        <f aca="false">J130-H130</f>
        <v>-900.621052631579</v>
      </c>
      <c r="L130" s="10" t="n">
        <f aca="false">IF(AND(H130=0,J130=0),0,IF(H130=0,"New",(J130-H130)/H130))</f>
        <v>-0.371390124796527</v>
      </c>
    </row>
    <row r="131" customFormat="false" ht="15" hidden="false" customHeight="true" outlineLevel="0" collapsed="false">
      <c r="A131" s="8" t="s">
        <v>191</v>
      </c>
      <c r="B131" s="8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2" t="n">
        <f aca="false">D131*$J$5</f>
        <v>262.736842105263</v>
      </c>
      <c r="F131" s="22" t="n">
        <f aca="false">E131-C131</f>
        <v>-41.2631578947369</v>
      </c>
      <c r="G131" s="10" t="n">
        <f aca="false">IF(AND(C131=0,E131=0),0,IF(C131=0,"New",(E131-C131)/C131))</f>
        <v>-0.135734072022161</v>
      </c>
      <c r="H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11" t="n">
        <f aca="false">I131*$J$5</f>
        <v>3730.48421052632</v>
      </c>
      <c r="K131" s="11" t="n">
        <f aca="false">J131-H131</f>
        <v>-422.715789473685</v>
      </c>
      <c r="L131" s="10" t="n">
        <f aca="false">IF(AND(H131=0,J131=0),0,IF(H131=0,"New",(J131-H131)/H131))</f>
        <v>-0.10178074484101</v>
      </c>
    </row>
    <row r="132" customFormat="false" ht="15" hidden="false" customHeight="true" outlineLevel="0" collapsed="false">
      <c r="A132" s="8" t="s">
        <v>192</v>
      </c>
      <c r="B132" s="8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2" t="n">
        <f aca="false">D132*$J$5</f>
        <v>6.31578947368421</v>
      </c>
      <c r="F132" s="22" t="n">
        <f aca="false">E132-C132</f>
        <v>-10.6842105263158</v>
      </c>
      <c r="G132" s="10" t="n">
        <f aca="false">IF(AND(C132=0,E132=0),0,IF(C132=0,"New",(E132-C132)/C132))</f>
        <v>-0.628482972136223</v>
      </c>
      <c r="H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11" t="n">
        <f aca="false">I132*$J$5</f>
        <v>729.221052631579</v>
      </c>
      <c r="K132" s="11" t="n">
        <f aca="false">J132-H132</f>
        <v>-1032.47894736842</v>
      </c>
      <c r="L132" s="10" t="n">
        <f aca="false">IF(AND(H132=0,J132=0),0,IF(H132=0,"New",(J132-H132)/H132))</f>
        <v>-0.586069675522746</v>
      </c>
    </row>
    <row r="133" customFormat="false" ht="15" hidden="false" customHeight="true" outlineLevel="0" collapsed="false">
      <c r="A133" s="8" t="s">
        <v>193</v>
      </c>
      <c r="B133" s="8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2" t="n">
        <f aca="false">D133*$J$5</f>
        <v>80.8421052631579</v>
      </c>
      <c r="F133" s="22" t="n">
        <f aca="false">E133-C133</f>
        <v>-120.157894736842</v>
      </c>
      <c r="G133" s="10" t="n">
        <f aca="false">IF(AND(C133=0,E133=0),0,IF(C133=0,"New",(E133-C133)/C133))</f>
        <v>-0.597800471327573</v>
      </c>
      <c r="H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11" t="n">
        <f aca="false">I133*$J$5</f>
        <v>945.726315789474</v>
      </c>
      <c r="K133" s="11" t="n">
        <f aca="false">J133-H133</f>
        <v>-980.773684210526</v>
      </c>
      <c r="L133" s="10" t="n">
        <f aca="false">IF(AND(H133=0,J133=0),0,IF(H133=0,"New",(J133-H133)/H133))</f>
        <v>-0.50909612468753</v>
      </c>
    </row>
    <row r="134" customFormat="false" ht="15" hidden="false" customHeight="true" outlineLevel="0" collapsed="false">
      <c r="A134" s="8" t="s">
        <v>194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2" t="n">
        <f aca="false">D134*$J$5</f>
        <v>24</v>
      </c>
      <c r="F134" s="22" t="n">
        <f aca="false">E134-C134</f>
        <v>-5</v>
      </c>
      <c r="G134" s="10" t="n">
        <f aca="false">IF(AND(C134=0,E134=0),0,IF(C134=0,"New",(E134-C134)/C134))</f>
        <v>-0.172413793103448</v>
      </c>
      <c r="H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11" t="n">
        <f aca="false">I134*$J$5</f>
        <v>2812.42105263158</v>
      </c>
      <c r="K134" s="11" t="n">
        <f aca="false">J134-H134</f>
        <v>-564.678947368421</v>
      </c>
      <c r="L134" s="10" t="n">
        <f aca="false">IF(AND(H134=0,J134=0),0,IF(H134=0,"New",(J134-H134)/H134))</f>
        <v>-0.167208240019076</v>
      </c>
    </row>
    <row r="135" customFormat="false" ht="15" hidden="false" customHeight="true" outlineLevel="0" collapsed="false">
      <c r="A135" s="8" t="s">
        <v>195</v>
      </c>
      <c r="B135" s="8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2" t="n">
        <f aca="false">D135*$J$5</f>
        <v>553.263157894737</v>
      </c>
      <c r="F135" s="22" t="n">
        <f aca="false">E135-C135</f>
        <v>32.2631578947368</v>
      </c>
      <c r="G135" s="10" t="n">
        <f aca="false">IF(AND(C135=0,E135=0),0,IF(C135=0,"New",(E135-C135)/C135))</f>
        <v>0.0619254470148498</v>
      </c>
      <c r="H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11" t="n">
        <f aca="false">I135*$J$5</f>
        <v>7563.91578947368</v>
      </c>
      <c r="K135" s="11" t="n">
        <f aca="false">J135-H135</f>
        <v>445.515789473683</v>
      </c>
      <c r="L135" s="10" t="n">
        <f aca="false">IF(AND(H135=0,J135=0),0,IF(H135=0,"New",(J135-H135)/H135))</f>
        <v>0.0625865067253432</v>
      </c>
    </row>
    <row r="136" customFormat="false" ht="15" hidden="false" customHeight="true" outlineLevel="0" collapsed="false">
      <c r="A136" s="8" t="s">
        <v>196</v>
      </c>
      <c r="B136" s="8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2" t="n">
        <f aca="false">D136*$J$5</f>
        <v>402.947368421053</v>
      </c>
      <c r="F136" s="22" t="n">
        <f aca="false">E136-C136</f>
        <v>-25.0526315789474</v>
      </c>
      <c r="G136" s="10" t="n">
        <f aca="false">IF(AND(C136=0,E136=0),0,IF(C136=0,"New",(E136-C136)/C136))</f>
        <v>-0.0585341859321201</v>
      </c>
      <c r="H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11" t="n">
        <f aca="false">I136*$J$5</f>
        <v>4952.96842105263</v>
      </c>
      <c r="K136" s="11" t="n">
        <f aca="false">J136-H136</f>
        <v>-66.7315789473687</v>
      </c>
      <c r="L136" s="10" t="n">
        <f aca="false">IF(AND(H136=0,J136=0),0,IF(H136=0,"New",(J136-H136)/H136))</f>
        <v>-0.0132939376750341</v>
      </c>
    </row>
    <row r="137" customFormat="false" ht="15" hidden="false" customHeight="true" outlineLevel="0" collapsed="false">
      <c r="A137" s="8" t="s">
        <v>197</v>
      </c>
      <c r="B137" s="8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2" t="n">
        <f aca="false">D137*$J$5</f>
        <v>13.8947368421053</v>
      </c>
      <c r="F137" s="22" t="n">
        <f aca="false">E137-C137</f>
        <v>-11.1052631578947</v>
      </c>
      <c r="G137" s="10" t="n">
        <f aca="false">IF(AND(C137=0,E137=0),0,IF(C137=0,"New",(E137-C137)/C137))</f>
        <v>-0.44421052631579</v>
      </c>
      <c r="H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11" t="n">
        <f aca="false">I137*$J$5</f>
        <v>1085.55789473684</v>
      </c>
      <c r="K137" s="11" t="n">
        <f aca="false">J137-H137</f>
        <v>-867.242105263158</v>
      </c>
      <c r="L137" s="10" t="n">
        <f aca="false">IF(AND(H137=0,J137=0),0,IF(H137=0,"New",(J137-H137)/H137))</f>
        <v>-0.444101856443649</v>
      </c>
    </row>
    <row r="138" customFormat="false" ht="15" hidden="false" customHeight="true" outlineLevel="0" collapsed="false">
      <c r="A138" s="8" t="s">
        <v>198</v>
      </c>
      <c r="B138" s="8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2" t="n">
        <f aca="false">D138*$J$5</f>
        <v>29.0526315789474</v>
      </c>
      <c r="F138" s="22" t="n">
        <f aca="false">E138-C138</f>
        <v>-5.94736842105263</v>
      </c>
      <c r="G138" s="10" t="n">
        <f aca="false">IF(AND(C138=0,E138=0),0,IF(C138=0,"New",(E138-C138)/C138))</f>
        <v>-0.169924812030075</v>
      </c>
      <c r="H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11" t="n">
        <f aca="false">I138*$J$5</f>
        <v>2661.6</v>
      </c>
      <c r="K138" s="11" t="n">
        <f aca="false">J138-H138</f>
        <v>-529.5</v>
      </c>
      <c r="L138" s="10" t="n">
        <f aca="false">IF(AND(H138=0,J138=0),0,IF(H138=0,"New",(J138-H138)/H138))</f>
        <v>-0.165930243489706</v>
      </c>
    </row>
    <row r="139" customFormat="false" ht="15" hidden="false" customHeight="true" outlineLevel="0" collapsed="false">
      <c r="A139" s="8" t="s">
        <v>199</v>
      </c>
      <c r="B139" s="8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2" t="n">
        <f aca="false">D139*$J$5</f>
        <v>46.7368421052632</v>
      </c>
      <c r="F139" s="22" t="n">
        <f aca="false">E139-C139</f>
        <v>46.7368421052632</v>
      </c>
      <c r="G139" s="10" t="str">
        <f aca="false">IF(AND(C139=0,E139=0),0,IF(C139=0,"New",(E139-C139)/C139))</f>
        <v>New</v>
      </c>
      <c r="H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11" t="n">
        <f aca="false">I139*$J$5</f>
        <v>1339.83157894737</v>
      </c>
      <c r="K139" s="11" t="n">
        <f aca="false">J139-H139</f>
        <v>1339.83157894737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200</v>
      </c>
      <c r="B140" s="8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2" t="n">
        <f aca="false">D140*$J$5</f>
        <v>27.7894736842105</v>
      </c>
      <c r="F140" s="22" t="n">
        <f aca="false">E140-C140</f>
        <v>27.7894736842105</v>
      </c>
      <c r="G140" s="10" t="str">
        <f aca="false">IF(AND(C140=0,E140=0),0,IF(C140=0,"New",(E140-C140)/C140))</f>
        <v>New</v>
      </c>
      <c r="H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11" t="n">
        <f aca="false">I140*$J$5</f>
        <v>1308.37894736842</v>
      </c>
      <c r="K140" s="11" t="n">
        <f aca="false">J140-H140</f>
        <v>1308.37894736842</v>
      </c>
      <c r="L140" s="10" t="str">
        <f aca="false">IF(AND(H140=0,J140=0),0,IF(H140=0,"New",(J140-H140)/H140))</f>
        <v>New</v>
      </c>
    </row>
    <row r="141" customFormat="false" ht="15" hidden="false" customHeight="true" outlineLevel="0" collapsed="false">
      <c r="A141" s="8" t="s">
        <v>201</v>
      </c>
      <c r="B141" s="8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2" t="n">
        <f aca="false">D141*$J$5</f>
        <v>0</v>
      </c>
      <c r="F141" s="22" t="n">
        <f aca="false">E141-C141</f>
        <v>-9</v>
      </c>
      <c r="G141" s="10" t="n">
        <f aca="false">IF(AND(C141=0,E141=0),0,IF(C141=0,"New",(E141-C141)/C141))</f>
        <v>-1</v>
      </c>
      <c r="H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11" t="n">
        <f aca="false">I141*$J$5</f>
        <v>0</v>
      </c>
      <c r="K141" s="11" t="n">
        <f aca="false">J141-H141</f>
        <v>-1025.3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202</v>
      </c>
      <c r="B142" s="8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2" t="n">
        <f aca="false">D142*$J$5</f>
        <v>416.842105263158</v>
      </c>
      <c r="F142" s="22" t="n">
        <f aca="false">E142-C142</f>
        <v>58.8421052631579</v>
      </c>
      <c r="G142" s="10" t="n">
        <f aca="false">IF(AND(C142=0,E142=0),0,IF(C142=0,"New",(E142-C142)/C142))</f>
        <v>0.164363422522787</v>
      </c>
      <c r="H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11" t="n">
        <f aca="false">I142*$J$5</f>
        <v>17413.6421052632</v>
      </c>
      <c r="K142" s="11" t="n">
        <f aca="false">J142-H142</f>
        <v>2619.14210526316</v>
      </c>
      <c r="L142" s="10" t="n">
        <f aca="false">IF(AND(H142=0,J142=0),0,IF(H142=0,"New",(J142-H142)/H142))</f>
        <v>0.177034851144896</v>
      </c>
    </row>
    <row r="143" customFormat="false" ht="15" hidden="false" customHeight="true" outlineLevel="0" collapsed="false">
      <c r="A143" s="8" t="s">
        <v>203</v>
      </c>
      <c r="B143" s="8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2" t="n">
        <f aca="false">D143*$J$5</f>
        <v>154.105263157895</v>
      </c>
      <c r="F143" s="22" t="n">
        <f aca="false">E143-C143</f>
        <v>3.10526315789474</v>
      </c>
      <c r="G143" s="10" t="n">
        <f aca="false">IF(AND(C143=0,E143=0),0,IF(C143=0,"New",(E143-C143)/C143))</f>
        <v>0.0205646566747996</v>
      </c>
      <c r="H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11" t="n">
        <f aca="false">I143*$J$5</f>
        <v>5394.69473684211</v>
      </c>
      <c r="K143" s="11" t="n">
        <f aca="false">J143-H143</f>
        <v>115.794736842106</v>
      </c>
      <c r="L143" s="10" t="n">
        <f aca="false">IF(AND(H143=0,J143=0),0,IF(H143=0,"New",(J143-H143)/H143))</f>
        <v>0.0219353912447869</v>
      </c>
    </row>
    <row r="144" customFormat="false" ht="15" hidden="false" customHeight="true" outlineLevel="0" collapsed="false">
      <c r="A144" s="8" t="s">
        <v>204</v>
      </c>
      <c r="B144" s="8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2" t="n">
        <f aca="false">D144*$J$5</f>
        <v>3.78947368421053</v>
      </c>
      <c r="F144" s="22" t="n">
        <f aca="false">E144-C144</f>
        <v>3.78947368421053</v>
      </c>
      <c r="G144" s="10" t="str">
        <f aca="false">IF(AND(C144=0,E144=0),0,IF(C144=0,"New",(E144-C144)/C144))</f>
        <v>New</v>
      </c>
      <c r="H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11" t="n">
        <f aca="false">I144*$J$5</f>
        <v>1225.51578947368</v>
      </c>
      <c r="K144" s="11" t="n">
        <f aca="false">J144-H144</f>
        <v>1225.51578947368</v>
      </c>
      <c r="L144" s="10" t="str">
        <f aca="false">IF(AND(H144=0,J144=0),0,IF(H144=0,"New",(J144-H144)/H144))</f>
        <v>New</v>
      </c>
    </row>
    <row r="145" customFormat="false" ht="15" hidden="false" customHeight="true" outlineLevel="0" collapsed="false">
      <c r="A145" s="8" t="s">
        <v>205</v>
      </c>
      <c r="B145" s="8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2" t="n">
        <f aca="false">D145*$J$5</f>
        <v>84.6315789473684</v>
      </c>
      <c r="F145" s="22" t="n">
        <f aca="false">E145-C145</f>
        <v>5.63157894736841</v>
      </c>
      <c r="G145" s="10" t="n">
        <f aca="false">IF(AND(C145=0,E145=0),0,IF(C145=0,"New",(E145-C145)/C145))</f>
        <v>0.0712858094603596</v>
      </c>
      <c r="H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11" t="n">
        <f aca="false">I145*$J$5</f>
        <v>6994.10526315789</v>
      </c>
      <c r="K145" s="11" t="n">
        <f aca="false">J145-H145</f>
        <v>490.205263157895</v>
      </c>
      <c r="L145" s="10" t="n">
        <f aca="false">IF(AND(H145=0,J145=0),0,IF(H145=0,"New",(J145-H145)/H145))</f>
        <v>0.0753709717489344</v>
      </c>
    </row>
    <row r="146" customFormat="false" ht="15" hidden="false" customHeight="true" outlineLevel="0" collapsed="false">
      <c r="A146" s="8" t="s">
        <v>206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2" t="n">
        <f aca="false">D146*$J$5</f>
        <v>279.157894736842</v>
      </c>
      <c r="F146" s="22" t="n">
        <f aca="false">E146-C146</f>
        <v>1.15789473684208</v>
      </c>
      <c r="G146" s="10" t="n">
        <f aca="false">IF(AND(C146=0,E146=0),0,IF(C146=0,"New",(E146-C146)/C146))</f>
        <v>0.00416508898144634</v>
      </c>
      <c r="H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11" t="n">
        <f aca="false">I146*$J$5</f>
        <v>5489.93684210526</v>
      </c>
      <c r="K146" s="11" t="n">
        <f aca="false">J146-H146</f>
        <v>182.436842105262</v>
      </c>
      <c r="L146" s="10" t="n">
        <f aca="false">IF(AND(H146=0,J146=0),0,IF(H146=0,"New",(J146-H146)/H146))</f>
        <v>0.0343734040707042</v>
      </c>
    </row>
    <row r="147" customFormat="false" ht="15" hidden="false" customHeight="true" outlineLevel="0" collapsed="false">
      <c r="A147" s="8" t="s">
        <v>207</v>
      </c>
      <c r="B147" s="8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2" t="n">
        <f aca="false">D147*$J$5</f>
        <v>44.2105263157895</v>
      </c>
      <c r="F147" s="22" t="n">
        <f aca="false">E147-C147</f>
        <v>-33.7894736842105</v>
      </c>
      <c r="G147" s="10" t="n">
        <f aca="false">IF(AND(C147=0,E147=0),0,IF(C147=0,"New",(E147-C147)/C147))</f>
        <v>-0.433198380566802</v>
      </c>
      <c r="H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11" t="n">
        <f aca="false">I147*$J$5</f>
        <v>996.378947368421</v>
      </c>
      <c r="K147" s="11" t="n">
        <f aca="false">J147-H147</f>
        <v>-751.721052631579</v>
      </c>
      <c r="L147" s="10" t="n">
        <f aca="false">IF(AND(H147=0,J147=0),0,IF(H147=0,"New",(J147-H147)/H147))</f>
        <v>-0.430021767994725</v>
      </c>
    </row>
    <row r="148" customFormat="false" ht="15" hidden="false" customHeight="true" outlineLevel="0" collapsed="false">
      <c r="A148" s="8" t="s">
        <v>208</v>
      </c>
      <c r="B148" s="8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2" t="n">
        <f aca="false">D148*$J$5</f>
        <v>104.842105263158</v>
      </c>
      <c r="F148" s="22" t="n">
        <f aca="false">E148-C148</f>
        <v>-8.15789473684211</v>
      </c>
      <c r="G148" s="10" t="n">
        <f aca="false">IF(AND(C148=0,E148=0),0,IF(C148=0,"New",(E148-C148)/C148))</f>
        <v>-0.072193758733116</v>
      </c>
      <c r="H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11" t="n">
        <f aca="false">I148*$J$5</f>
        <v>3152.08421052632</v>
      </c>
      <c r="K148" s="11" t="n">
        <f aca="false">J148-H148</f>
        <v>-294.615789473684</v>
      </c>
      <c r="L148" s="10" t="n">
        <f aca="false">IF(AND(H148=0,J148=0),0,IF(H148=0,"New",(J148-H148)/H148))</f>
        <v>-0.0854776422298675</v>
      </c>
    </row>
    <row r="149" customFormat="false" ht="15" hidden="false" customHeight="true" outlineLevel="0" collapsed="false">
      <c r="A149" s="8" t="s">
        <v>209</v>
      </c>
      <c r="B149" s="8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2" t="n">
        <f aca="false">D149*$J$5</f>
        <v>0</v>
      </c>
      <c r="F149" s="22" t="n">
        <f aca="false">E149-C149</f>
        <v>-2</v>
      </c>
      <c r="G149" s="10" t="n">
        <f aca="false">IF(AND(C149=0,E149=0),0,IF(C149=0,"New",(E149-C149)/C149))</f>
        <v>-1</v>
      </c>
      <c r="H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11" t="n">
        <f aca="false">I149*$J$5</f>
        <v>0</v>
      </c>
      <c r="K149" s="11" t="n">
        <f aca="false">J149-H149</f>
        <v>-945.4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210</v>
      </c>
      <c r="B150" s="8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2" t="n">
        <f aca="false">D150*$J$5</f>
        <v>2.52631578947368</v>
      </c>
      <c r="F150" s="22" t="n">
        <f aca="false">E150-C150</f>
        <v>-5.47368421052632</v>
      </c>
      <c r="G150" s="10" t="n">
        <f aca="false">IF(AND(C150=0,E150=0),0,IF(C150=0,"New",(E150-C150)/C150))</f>
        <v>-0.68421052631579</v>
      </c>
      <c r="H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11" t="n">
        <f aca="false">I150*$J$5</f>
        <v>396.631578947368</v>
      </c>
      <c r="K150" s="11" t="n">
        <f aca="false">J150-H150</f>
        <v>-836.268421052632</v>
      </c>
      <c r="L150" s="10" t="n">
        <f aca="false">IF(AND(H150=0,J150=0),0,IF(H150=0,"New",(J150-H150)/H150))</f>
        <v>-0.678293795970989</v>
      </c>
    </row>
    <row r="151" customFormat="false" ht="15" hidden="false" customHeight="true" outlineLevel="0" collapsed="false">
      <c r="A151" s="8" t="s">
        <v>211</v>
      </c>
      <c r="B151" s="8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2" t="n">
        <f aca="false">D151*$J$5</f>
        <v>0</v>
      </c>
      <c r="F151" s="22" t="n">
        <f aca="false">E151-C151</f>
        <v>-10</v>
      </c>
      <c r="G151" s="10" t="n">
        <f aca="false">IF(AND(C151=0,E151=0),0,IF(C151=0,"New",(E151-C151)/C151))</f>
        <v>-1</v>
      </c>
      <c r="H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11" t="n">
        <f aca="false">I151*$J$5</f>
        <v>0</v>
      </c>
      <c r="K151" s="11" t="n">
        <f aca="false">J151-H151</f>
        <v>-907.8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212</v>
      </c>
      <c r="B152" s="8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2" t="n">
        <f aca="false">D152*$J$5</f>
        <v>15.1578947368421</v>
      </c>
      <c r="F152" s="22" t="n">
        <f aca="false">E152-C152</f>
        <v>15.1578947368421</v>
      </c>
      <c r="G152" s="10" t="str">
        <f aca="false">IF(AND(C152=0,E152=0),0,IF(C152=0,"New",(E152-C152)/C152))</f>
        <v>New</v>
      </c>
      <c r="H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11" t="n">
        <f aca="false">I152*$J$5</f>
        <v>1108.54736842105</v>
      </c>
      <c r="K152" s="11" t="n">
        <f aca="false">J152-H152</f>
        <v>1108.54736842105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213</v>
      </c>
      <c r="B153" s="8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2" t="n">
        <f aca="false">D153*$J$5</f>
        <v>0</v>
      </c>
      <c r="F153" s="22" t="n">
        <f aca="false">E153-C153</f>
        <v>-8</v>
      </c>
      <c r="G153" s="10" t="n">
        <f aca="false">IF(AND(C153=0,E153=0),0,IF(C153=0,"New",(E153-C153)/C153))</f>
        <v>-1</v>
      </c>
      <c r="H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11" t="n">
        <f aca="false">I153*$J$5</f>
        <v>0</v>
      </c>
      <c r="K153" s="11" t="n">
        <f aca="false">J153-H153</f>
        <v>-804.6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214</v>
      </c>
      <c r="B154" s="8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2" t="n">
        <f aca="false">D154*$J$5</f>
        <v>13.8947368421053</v>
      </c>
      <c r="F154" s="22" t="n">
        <f aca="false">E154-C154</f>
        <v>-31.1052631578947</v>
      </c>
      <c r="G154" s="10" t="n">
        <f aca="false">IF(AND(C154=0,E154=0),0,IF(C154=0,"New",(E154-C154)/C154))</f>
        <v>-0.691228070175439</v>
      </c>
      <c r="H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11" t="n">
        <f aca="false">I154*$J$5</f>
        <v>307.326315789474</v>
      </c>
      <c r="K154" s="11" t="n">
        <f aca="false">J154-H154</f>
        <v>-700.673684210526</v>
      </c>
      <c r="L154" s="10" t="n">
        <f aca="false">IF(AND(H154=0,J154=0),0,IF(H154=0,"New",(J154-H154)/H154))</f>
        <v>-0.695112781954887</v>
      </c>
    </row>
    <row r="155" customFormat="false" ht="15" hidden="false" customHeight="true" outlineLevel="0" collapsed="false">
      <c r="A155" s="8" t="s">
        <v>215</v>
      </c>
      <c r="B155" s="8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2" t="n">
        <f aca="false">D155*$J$5</f>
        <v>27.7894736842105</v>
      </c>
      <c r="F155" s="22" t="n">
        <f aca="false">E155-C155</f>
        <v>-1.21052631578948</v>
      </c>
      <c r="G155" s="10" t="n">
        <f aca="false">IF(AND(C155=0,E155=0),0,IF(C155=0,"New",(E155-C155)/C155))</f>
        <v>-0.0417422867513613</v>
      </c>
      <c r="H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11" t="n">
        <f aca="false">I155*$J$5</f>
        <v>4348.92631578947</v>
      </c>
      <c r="K155" s="11" t="n">
        <f aca="false">J155-H155</f>
        <v>177.026315789474</v>
      </c>
      <c r="L155" s="10" t="n">
        <f aca="false">IF(AND(H155=0,J155=0),0,IF(H155=0,"New",(J155-H155)/H155))</f>
        <v>0.0424330199164587</v>
      </c>
    </row>
    <row r="156" customFormat="false" ht="15" hidden="false" customHeight="true" outlineLevel="0" collapsed="false">
      <c r="A156" s="8" t="s">
        <v>216</v>
      </c>
      <c r="B156" s="8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2" t="n">
        <f aca="false">D156*$J$5</f>
        <v>92.2105263157895</v>
      </c>
      <c r="F156" s="22" t="n">
        <f aca="false">E156-C156</f>
        <v>43.2105263157895</v>
      </c>
      <c r="G156" s="10" t="n">
        <f aca="false">IF(AND(C156=0,E156=0),0,IF(C156=0,"New",(E156-C156)/C156))</f>
        <v>0.881847475832438</v>
      </c>
      <c r="H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11" t="n">
        <f aca="false">I156*$J$5</f>
        <v>2648.96842105263</v>
      </c>
      <c r="K156" s="11" t="n">
        <f aca="false">J156-H156</f>
        <v>1265.16842105263</v>
      </c>
      <c r="L156" s="10" t="n">
        <f aca="false">IF(AND(H156=0,J156=0),0,IF(H156=0,"New",(J156-H156)/H156))</f>
        <v>0.914271152661245</v>
      </c>
    </row>
    <row r="157" customFormat="false" ht="15" hidden="false" customHeight="true" outlineLevel="0" collapsed="false">
      <c r="A157" s="8" t="s">
        <v>217</v>
      </c>
      <c r="B157" s="8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2" t="n">
        <f aca="false">D157*$J$5</f>
        <v>150.315789473684</v>
      </c>
      <c r="F157" s="22" t="n">
        <f aca="false">E157-C157</f>
        <v>106.315789473684</v>
      </c>
      <c r="G157" s="10" t="n">
        <f aca="false">IF(AND(C157=0,E157=0),0,IF(C157=0,"New",(E157-C157)/C157))</f>
        <v>2.41626794258373</v>
      </c>
      <c r="H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11" t="n">
        <f aca="false">I157*$J$5</f>
        <v>1425.97894736842</v>
      </c>
      <c r="K157" s="11" t="n">
        <f aca="false">J157-H157</f>
        <v>1006.67894736842</v>
      </c>
      <c r="L157" s="10" t="n">
        <f aca="false">IF(AND(H157=0,J157=0),0,IF(H157=0,"New",(J157-H157)/H157))</f>
        <v>2.40085606336375</v>
      </c>
    </row>
    <row r="158" customFormat="false" ht="15" hidden="false" customHeight="true" outlineLevel="0" collapsed="false">
      <c r="A158" s="8" t="s">
        <v>218</v>
      </c>
      <c r="B158" s="8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2" t="n">
        <f aca="false">D158*$J$5</f>
        <v>423.157894736842</v>
      </c>
      <c r="F158" s="22" t="n">
        <f aca="false">E158-C158</f>
        <v>49.1578947368421</v>
      </c>
      <c r="G158" s="10" t="n">
        <f aca="false">IF(AND(C158=0,E158=0),0,IF(C158=0,"New",(E158-C158)/C158))</f>
        <v>0.131438221221503</v>
      </c>
      <c r="H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11" t="n">
        <f aca="false">I158*$J$5</f>
        <v>14019.7894736842</v>
      </c>
      <c r="K158" s="11" t="n">
        <f aca="false">J158-H158</f>
        <v>2219.08947368421</v>
      </c>
      <c r="L158" s="10" t="n">
        <f aca="false">IF(AND(H158=0,J158=0),0,IF(H158=0,"New",(J158-H158)/H158))</f>
        <v>0.188047274626438</v>
      </c>
    </row>
    <row r="159" customFormat="false" ht="15" hidden="false" customHeight="true" outlineLevel="0" collapsed="false">
      <c r="A159" s="8" t="s">
        <v>219</v>
      </c>
      <c r="B159" s="8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2" t="n">
        <f aca="false">D159*$J$5</f>
        <v>-5.05263157894737</v>
      </c>
      <c r="F159" s="22" t="n">
        <f aca="false">E159-C159</f>
        <v>15.9473684210526</v>
      </c>
      <c r="G159" s="10" t="n">
        <f aca="false">IF(AND(C159=0,E159=0),0,IF(C159=0,"New",(E159-C159)/C159))</f>
        <v>-0.759398496240602</v>
      </c>
      <c r="H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11" t="n">
        <f aca="false">I159*$J$5</f>
        <v>-143.115789473684</v>
      </c>
      <c r="K159" s="11" t="n">
        <f aca="false">J159-H159</f>
        <v>667.684210526316</v>
      </c>
      <c r="L159" s="10" t="n">
        <f aca="false">IF(AND(H159=0,J159=0),0,IF(H159=0,"New",(J159-H159)/H159))</f>
        <v>-0.82348817282476</v>
      </c>
    </row>
    <row r="160" customFormat="false" ht="15" hidden="false" customHeight="true" outlineLevel="0" collapsed="false">
      <c r="A160" s="8" t="s">
        <v>220</v>
      </c>
      <c r="B160" s="8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2" t="n">
        <f aca="false">D160*$J$5</f>
        <v>54.3157894736842</v>
      </c>
      <c r="F160" s="22" t="n">
        <f aca="false">E160-C160</f>
        <v>4.31578947368421</v>
      </c>
      <c r="G160" s="10" t="n">
        <f aca="false">IF(AND(C160=0,E160=0),0,IF(C160=0,"New",(E160-C160)/C160))</f>
        <v>0.0863157894736841</v>
      </c>
      <c r="H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11" t="n">
        <f aca="false">I160*$J$5</f>
        <v>6257.43157894737</v>
      </c>
      <c r="K160" s="11" t="n">
        <f aca="false">J160-H160</f>
        <v>608.031578947369</v>
      </c>
      <c r="L160" s="10" t="n">
        <f aca="false">IF(AND(H160=0,J160=0),0,IF(H160=0,"New",(J160-H160)/H160))</f>
        <v>0.107627638146948</v>
      </c>
    </row>
    <row r="161" customFormat="false" ht="15" hidden="false" customHeight="true" outlineLevel="0" collapsed="false">
      <c r="A161" s="8" t="s">
        <v>221</v>
      </c>
      <c r="B161" s="8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2" t="n">
        <f aca="false">D161*$J$5</f>
        <v>3.78947368421053</v>
      </c>
      <c r="F161" s="22" t="n">
        <f aca="false">E161-C161</f>
        <v>-2.21052631578947</v>
      </c>
      <c r="G161" s="10" t="n">
        <f aca="false">IF(AND(C161=0,E161=0),0,IF(C161=0,"New",(E161-C161)/C161))</f>
        <v>-0.368421052631579</v>
      </c>
      <c r="H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11" t="n">
        <f aca="false">I161*$J$5</f>
        <v>978.694736842105</v>
      </c>
      <c r="K161" s="11" t="n">
        <f aca="false">J161-H161</f>
        <v>-488.805263157895</v>
      </c>
      <c r="L161" s="10" t="n">
        <f aca="false">IF(AND(H161=0,J161=0),0,IF(H161=0,"New",(J161-H161)/H161))</f>
        <v>-0.3330870617771</v>
      </c>
    </row>
    <row r="162" customFormat="false" ht="15" hidden="false" customHeight="true" outlineLevel="0" collapsed="false">
      <c r="A162" s="8" t="s">
        <v>222</v>
      </c>
      <c r="B162" s="8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2" t="n">
        <f aca="false">D162*$J$5</f>
        <v>-5.05263157894737</v>
      </c>
      <c r="F162" s="22" t="n">
        <f aca="false">E162-C162</f>
        <v>-4.05263157894737</v>
      </c>
      <c r="G162" s="10" t="n">
        <f aca="false">IF(AND(C162=0,E162=0),0,IF(C162=0,"New",(E162-C162)/C162))</f>
        <v>4.05263157894737</v>
      </c>
      <c r="H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11" t="n">
        <f aca="false">I162*$J$5</f>
        <v>-1250.52631578947</v>
      </c>
      <c r="K162" s="11" t="n">
        <f aca="false">J162-H162</f>
        <v>-943.326315789474</v>
      </c>
      <c r="L162" s="10" t="n">
        <f aca="false">IF(AND(H162=0,J162=0),0,IF(H162=0,"New",(J162-H162)/H162))</f>
        <v>3.07072368421053</v>
      </c>
    </row>
    <row r="163" customFormat="false" ht="15" hidden="false" customHeight="true" outlineLevel="0" collapsed="false">
      <c r="A163" s="8" t="s">
        <v>223</v>
      </c>
      <c r="B163" s="8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2" t="n">
        <f aca="false">D163*$J$5</f>
        <v>24</v>
      </c>
      <c r="F163" s="22" t="n">
        <f aca="false">E163-C163</f>
        <v>-2</v>
      </c>
      <c r="G163" s="10" t="n">
        <f aca="false">IF(AND(C163=0,E163=0),0,IF(C163=0,"New",(E163-C163)/C163))</f>
        <v>-0.0769230769230769</v>
      </c>
      <c r="H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11" t="n">
        <f aca="false">I163*$J$5</f>
        <v>2223.66315789474</v>
      </c>
      <c r="K163" s="11" t="n">
        <f aca="false">J163-H163</f>
        <v>-195.136842105263</v>
      </c>
      <c r="L163" s="10" t="n">
        <f aca="false">IF(AND(H163=0,J163=0),0,IF(H163=0,"New",(J163-H163)/H163))</f>
        <v>-0.0806750628845971</v>
      </c>
    </row>
    <row r="164" customFormat="false" ht="15" hidden="false" customHeight="true" outlineLevel="0" collapsed="false">
      <c r="A164" s="8" t="s">
        <v>224</v>
      </c>
      <c r="B164" s="8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2" t="n">
        <f aca="false">D164*$J$5</f>
        <v>232.421052631579</v>
      </c>
      <c r="F164" s="22" t="n">
        <f aca="false">E164-C164</f>
        <v>-28.5789473684211</v>
      </c>
      <c r="G164" s="10" t="n">
        <f aca="false">IF(AND(C164=0,E164=0),0,IF(C164=0,"New",(E164-C164)/C164))</f>
        <v>-0.109497882637629</v>
      </c>
      <c r="H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11" t="n">
        <f aca="false">I164*$J$5</f>
        <v>1994.02105263158</v>
      </c>
      <c r="K164" s="11" t="n">
        <f aca="false">J164-H164</f>
        <v>-236.878947368421</v>
      </c>
      <c r="L164" s="10" t="n">
        <f aca="false">IF(AND(H164=0,J164=0),0,IF(H164=0,"New",(J164-H164)/H164))</f>
        <v>-0.106180889940572</v>
      </c>
    </row>
    <row r="165" customFormat="false" ht="15" hidden="false" customHeight="true" outlineLevel="0" collapsed="false">
      <c r="A165" s="8" t="s">
        <v>225</v>
      </c>
      <c r="B165" s="8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2" t="n">
        <f aca="false">D165*$J$5</f>
        <v>-2.52631578947368</v>
      </c>
      <c r="F165" s="22" t="n">
        <f aca="false">E165-C165</f>
        <v>-18.5263157894737</v>
      </c>
      <c r="G165" s="10" t="n">
        <f aca="false">IF(AND(C165=0,E165=0),0,IF(C165=0,"New",(E165-C165)/C165))</f>
        <v>-1.15789473684211</v>
      </c>
      <c r="H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11" t="n">
        <f aca="false">I165*$J$5</f>
        <v>-87.5368421052632</v>
      </c>
      <c r="K165" s="11" t="n">
        <f aca="false">J165-H165</f>
        <v>-668.136842105263</v>
      </c>
      <c r="L165" s="10" t="n">
        <f aca="false">IF(AND(H165=0,J165=0),0,IF(H165=0,"New",(J165-H165)/H165))</f>
        <v>-1.15076962126294</v>
      </c>
    </row>
    <row r="166" customFormat="false" ht="15" hidden="false" customHeight="true" outlineLevel="0" collapsed="false">
      <c r="A166" s="8" t="s">
        <v>226</v>
      </c>
      <c r="B166" s="8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2" t="n">
        <f aca="false">D166*$J$5</f>
        <v>112.421052631579</v>
      </c>
      <c r="F166" s="22" t="n">
        <f aca="false">E166-C166</f>
        <v>-35.5789473684211</v>
      </c>
      <c r="G166" s="10" t="n">
        <f aca="false">IF(AND(C166=0,E166=0),0,IF(C166=0,"New",(E166-C166)/C166))</f>
        <v>-0.240398293029872</v>
      </c>
      <c r="H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11" t="n">
        <f aca="false">I166*$J$5</f>
        <v>1226.90526315789</v>
      </c>
      <c r="K166" s="11" t="n">
        <f aca="false">J166-H166</f>
        <v>-392.194736842106</v>
      </c>
      <c r="L166" s="10" t="n">
        <f aca="false">IF(AND(H166=0,J166=0),0,IF(H166=0,"New",(J166-H166)/H166))</f>
        <v>-0.242230088840779</v>
      </c>
    </row>
    <row r="167" customFormat="false" ht="15" hidden="false" customHeight="true" outlineLevel="0" collapsed="false">
      <c r="A167" s="8" t="s">
        <v>227</v>
      </c>
      <c r="B167" s="8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2" t="n">
        <f aca="false">D167*$J$5</f>
        <v>10.1052631578947</v>
      </c>
      <c r="F167" s="22" t="n">
        <f aca="false">E167-C167</f>
        <v>10.1052631578947</v>
      </c>
      <c r="G167" s="10" t="str">
        <f aca="false">IF(AND(C167=0,E167=0),0,IF(C167=0,"New",(E167-C167)/C167))</f>
        <v>New</v>
      </c>
      <c r="H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11" t="n">
        <f aca="false">I167*$J$5</f>
        <v>816.378947368421</v>
      </c>
      <c r="K167" s="11" t="n">
        <f aca="false">J167-H167</f>
        <v>816.378947368421</v>
      </c>
      <c r="L167" s="10" t="str">
        <f aca="false">IF(AND(H167=0,J167=0),0,IF(H167=0,"New",(J167-H167)/H167))</f>
        <v>New</v>
      </c>
    </row>
    <row r="168" customFormat="false" ht="15" hidden="false" customHeight="true" outlineLevel="0" collapsed="false">
      <c r="A168" s="8" t="s">
        <v>228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2" t="n">
        <f aca="false">D168*$J$5</f>
        <v>27.7894736842105</v>
      </c>
      <c r="F168" s="22" t="n">
        <f aca="false">E168-C168</f>
        <v>10.7894736842105</v>
      </c>
      <c r="G168" s="10" t="n">
        <f aca="false">IF(AND(C168=0,E168=0),0,IF(C168=0,"New",(E168-C168)/C168))</f>
        <v>0.634674922600619</v>
      </c>
      <c r="H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11" t="n">
        <f aca="false">I168*$J$5</f>
        <v>2508.37894736842</v>
      </c>
      <c r="K168" s="11" t="n">
        <f aca="false">J168-H168</f>
        <v>1165.17894736842</v>
      </c>
      <c r="L168" s="10" t="n">
        <f aca="false">IF(AND(H168=0,J168=0),0,IF(H168=0,"New",(J168-H168)/H168))</f>
        <v>0.867464969750165</v>
      </c>
    </row>
    <row r="169" customFormat="false" ht="15" hidden="false" customHeight="true" outlineLevel="0" collapsed="false">
      <c r="A169" s="8" t="s">
        <v>229</v>
      </c>
      <c r="B169" s="8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2" t="n">
        <f aca="false">D169*$J$5</f>
        <v>6.31578947368421</v>
      </c>
      <c r="F169" s="22" t="n">
        <f aca="false">E169-C169</f>
        <v>6.31578947368421</v>
      </c>
      <c r="G169" s="10" t="str">
        <f aca="false">IF(AND(C169=0,E169=0),0,IF(C169=0,"New",(E169-C169)/C169))</f>
        <v>New</v>
      </c>
      <c r="H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11" t="n">
        <f aca="false">I169*$J$5</f>
        <v>807.915789473684</v>
      </c>
      <c r="K169" s="11" t="n">
        <f aca="false">J169-H169</f>
        <v>807.915789473684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230</v>
      </c>
      <c r="B170" s="8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2" t="n">
        <f aca="false">D170*$J$5</f>
        <v>-5.05263157894737</v>
      </c>
      <c r="F170" s="22" t="n">
        <f aca="false">E170-C170</f>
        <v>11.9473684210526</v>
      </c>
      <c r="G170" s="10" t="n">
        <f aca="false">IF(AND(C170=0,E170=0),0,IF(C170=0,"New",(E170-C170)/C170))</f>
        <v>-0.702786377708978</v>
      </c>
      <c r="H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11" t="n">
        <f aca="false">I170*$J$5</f>
        <v>-167.368421052632</v>
      </c>
      <c r="K170" s="11" t="n">
        <f aca="false">J170-H170</f>
        <v>600.831578947369</v>
      </c>
      <c r="L170" s="10" t="n">
        <f aca="false">IF(AND(H170=0,J170=0),0,IF(H170=0,"New",(J170-H170)/H170))</f>
        <v>-0.782129105633127</v>
      </c>
    </row>
    <row r="171" customFormat="false" ht="15" hidden="false" customHeight="true" outlineLevel="0" collapsed="false">
      <c r="A171" s="8" t="s">
        <v>231</v>
      </c>
      <c r="B171" s="8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2" t="n">
        <f aca="false">D171*$J$5</f>
        <v>49.2631578947368</v>
      </c>
      <c r="F171" s="22" t="n">
        <f aca="false">E171-C171</f>
        <v>5.26315789473684</v>
      </c>
      <c r="G171" s="10" t="n">
        <f aca="false">IF(AND(C171=0,E171=0),0,IF(C171=0,"New",(E171-C171)/C171))</f>
        <v>0.119617224880383</v>
      </c>
      <c r="H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11" t="n">
        <f aca="false">I171*$J$5</f>
        <v>7258.86315789474</v>
      </c>
      <c r="K171" s="11" t="n">
        <f aca="false">J171-H171</f>
        <v>878.163157894736</v>
      </c>
      <c r="L171" s="10" t="n">
        <f aca="false">IF(AND(H171=0,J171=0),0,IF(H171=0,"New",(J171-H171)/H171))</f>
        <v>0.137628027942818</v>
      </c>
    </row>
    <row r="172" customFormat="false" ht="15" hidden="false" customHeight="true" outlineLevel="0" collapsed="false">
      <c r="A172" s="8" t="s">
        <v>232</v>
      </c>
      <c r="B172" s="8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2" t="n">
        <f aca="false">D172*$J$5</f>
        <v>34.1052631578947</v>
      </c>
      <c r="F172" s="22" t="n">
        <f aca="false">E172-C172</f>
        <v>-9.89473684210527</v>
      </c>
      <c r="G172" s="10" t="n">
        <f aca="false">IF(AND(C172=0,E172=0),0,IF(C172=0,"New",(E172-C172)/C172))</f>
        <v>-0.22488038277512</v>
      </c>
      <c r="H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11" t="n">
        <f aca="false">I172*$J$5</f>
        <v>1343.74736842105</v>
      </c>
      <c r="K172" s="11" t="n">
        <f aca="false">J172-H172</f>
        <v>-342.152631578948</v>
      </c>
      <c r="L172" s="10" t="n">
        <f aca="false">IF(AND(H172=0,J172=0),0,IF(H172=0,"New",(J172-H172)/H172))</f>
        <v>-0.202949541241442</v>
      </c>
    </row>
    <row r="173" customFormat="false" ht="15" hidden="false" customHeight="true" outlineLevel="0" collapsed="false">
      <c r="A173" s="8" t="s">
        <v>233</v>
      </c>
      <c r="B173" s="8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2" t="n">
        <f aca="false">D173*$J$5</f>
        <v>45.4736842105263</v>
      </c>
      <c r="F173" s="22" t="n">
        <f aca="false">E173-C173</f>
        <v>-3.52631578947369</v>
      </c>
      <c r="G173" s="10" t="n">
        <f aca="false">IF(AND(C173=0,E173=0),0,IF(C173=0,"New",(E173-C173)/C173))</f>
        <v>-0.0719656283566058</v>
      </c>
      <c r="H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11" t="n">
        <f aca="false">I173*$J$5</f>
        <v>2118.82105263158</v>
      </c>
      <c r="K173" s="11" t="n">
        <f aca="false">J173-H173</f>
        <v>-157.378947368421</v>
      </c>
      <c r="L173" s="10" t="n">
        <f aca="false">IF(AND(H173=0,J173=0),0,IF(H173=0,"New",(J173-H173)/H173))</f>
        <v>-0.0691410892577195</v>
      </c>
    </row>
    <row r="174" customFormat="false" ht="15" hidden="false" customHeight="true" outlineLevel="0" collapsed="false">
      <c r="A174" s="8" t="s">
        <v>234</v>
      </c>
      <c r="B174" s="8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2" t="n">
        <f aca="false">D174*$J$5</f>
        <v>20.2105263157895</v>
      </c>
      <c r="F174" s="22" t="n">
        <f aca="false">E174-C174</f>
        <v>-11.7894736842105</v>
      </c>
      <c r="G174" s="10" t="n">
        <f aca="false">IF(AND(C174=0,E174=0),0,IF(C174=0,"New",(E174-C174)/C174))</f>
        <v>-0.368421052631579</v>
      </c>
      <c r="H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11" t="n">
        <f aca="false">I174*$J$5</f>
        <v>747.41052631579</v>
      </c>
      <c r="K174" s="11" t="n">
        <f aca="false">J174-H174</f>
        <v>-414.789473684211</v>
      </c>
      <c r="L174" s="10" t="n">
        <f aca="false">IF(AND(H174=0,J174=0),0,IF(H174=0,"New",(J174-H174)/H174))</f>
        <v>-0.356900252696791</v>
      </c>
    </row>
    <row r="175" customFormat="false" ht="15" hidden="false" customHeight="true" outlineLevel="0" collapsed="false">
      <c r="A175" s="8" t="s">
        <v>235</v>
      </c>
      <c r="B175" s="8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2" t="n">
        <f aca="false">D175*$J$5</f>
        <v>11.3684210526316</v>
      </c>
      <c r="F175" s="22" t="n">
        <f aca="false">E175-C175</f>
        <v>-46.6315789473684</v>
      </c>
      <c r="G175" s="10" t="n">
        <f aca="false">IF(AND(C175=0,E175=0),0,IF(C175=0,"New",(E175-C175)/C175))</f>
        <v>-0.803992740471869</v>
      </c>
      <c r="H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11" t="n">
        <f aca="false">I175*$J$5</f>
        <v>142.105263157895</v>
      </c>
      <c r="K175" s="11" t="n">
        <f aca="false">J175-H175</f>
        <v>-536.794736842105</v>
      </c>
      <c r="L175" s="10" t="n">
        <f aca="false">IF(AND(H175=0,J175=0),0,IF(H175=0,"New",(J175-H175)/H175))</f>
        <v>-0.790683070911924</v>
      </c>
    </row>
    <row r="176" customFormat="false" ht="15" hidden="false" customHeight="true" outlineLevel="0" collapsed="false">
      <c r="A176" s="8" t="s">
        <v>236</v>
      </c>
      <c r="B176" s="8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2" t="n">
        <f aca="false">D176*$J$5</f>
        <v>16.4210526315789</v>
      </c>
      <c r="F176" s="22" t="n">
        <f aca="false">E176-C176</f>
        <v>-11.5789473684211</v>
      </c>
      <c r="G176" s="10" t="n">
        <f aca="false">IF(AND(C176=0,E176=0),0,IF(C176=0,"New",(E176-C176)/C176))</f>
        <v>-0.413533834586466</v>
      </c>
      <c r="H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11" t="n">
        <f aca="false">I176*$J$5</f>
        <v>646.736842105263</v>
      </c>
      <c r="K176" s="11" t="n">
        <f aca="false">J176-H176</f>
        <v>-425.163157894737</v>
      </c>
      <c r="L176" s="10" t="n">
        <f aca="false">IF(AND(H176=0,J176=0),0,IF(H176=0,"New",(J176-H176)/H176))</f>
        <v>-0.39664442382194</v>
      </c>
    </row>
    <row r="177" customFormat="false" ht="15" hidden="false" customHeight="true" outlineLevel="0" collapsed="false">
      <c r="A177" s="8" t="s">
        <v>237</v>
      </c>
      <c r="B177" s="8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2" t="n">
        <f aca="false">D177*$J$5</f>
        <v>70.7368421052632</v>
      </c>
      <c r="F177" s="22" t="n">
        <f aca="false">E177-C177</f>
        <v>44.7368421052632</v>
      </c>
      <c r="G177" s="10" t="n">
        <f aca="false">IF(AND(C177=0,E177=0),0,IF(C177=0,"New",(E177-C177)/C177))</f>
        <v>1.72064777327935</v>
      </c>
      <c r="H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11" t="n">
        <f aca="false">I177*$J$5</f>
        <v>1220.46315789474</v>
      </c>
      <c r="K177" s="11" t="n">
        <f aca="false">J177-H177</f>
        <v>803.263157894737</v>
      </c>
      <c r="L177" s="10" t="n">
        <f aca="false">IF(AND(H177=0,J177=0),0,IF(H177=0,"New",(J177-H177)/H177))</f>
        <v>1.92536710904779</v>
      </c>
    </row>
    <row r="178" customFormat="false" ht="15" hidden="false" customHeight="true" outlineLevel="0" collapsed="false">
      <c r="A178" s="8" t="s">
        <v>238</v>
      </c>
      <c r="B178" s="8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2" t="n">
        <f aca="false">D178*$J$5</f>
        <v>25.2631578947368</v>
      </c>
      <c r="F178" s="22" t="n">
        <f aca="false">E178-C178</f>
        <v>11.2631578947368</v>
      </c>
      <c r="G178" s="10" t="n">
        <f aca="false">IF(AND(C178=0,E178=0),0,IF(C178=0,"New",(E178-C178)/C178))</f>
        <v>0.804511278195489</v>
      </c>
      <c r="H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11" t="n">
        <f aca="false">I178*$J$5</f>
        <v>1593.47368421053</v>
      </c>
      <c r="K178" s="11" t="n">
        <f aca="false">J178-H178</f>
        <v>879.273684210526</v>
      </c>
      <c r="L178" s="10" t="n">
        <f aca="false">IF(AND(H178=0,J178=0),0,IF(H178=0,"New",(J178-H178)/H178))</f>
        <v>1.23113089360197</v>
      </c>
    </row>
    <row r="179" customFormat="false" ht="15" hidden="false" customHeight="true" outlineLevel="0" collapsed="false">
      <c r="A179" s="8" t="s">
        <v>239</v>
      </c>
      <c r="B179" s="8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2" t="n">
        <f aca="false">D179*$J$5</f>
        <v>444.631578947368</v>
      </c>
      <c r="F179" s="22" t="n">
        <f aca="false">E179-C179</f>
        <v>54.6315789473684</v>
      </c>
      <c r="G179" s="10" t="n">
        <f aca="false">IF(AND(C179=0,E179=0),0,IF(C179=0,"New",(E179-C179)/C179))</f>
        <v>0.140080971659919</v>
      </c>
      <c r="H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11" t="n">
        <f aca="false">I179*$J$5</f>
        <v>8730.56842105263</v>
      </c>
      <c r="K179" s="11" t="n">
        <f aca="false">J179-H179</f>
        <v>1283.76842105263</v>
      </c>
      <c r="L179" s="10" t="n">
        <f aca="false">IF(AND(H179=0,J179=0),0,IF(H179=0,"New",(J179-H179)/H179))</f>
        <v>0.172391956417875</v>
      </c>
    </row>
    <row r="180" customFormat="false" ht="15" hidden="false" customHeight="true" outlineLevel="0" collapsed="false">
      <c r="A180" s="8" t="s">
        <v>240</v>
      </c>
      <c r="B180" s="8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2" t="n">
        <f aca="false">D180*$J$5</f>
        <v>6.31578947368421</v>
      </c>
      <c r="F180" s="22" t="n">
        <f aca="false">E180-C180</f>
        <v>-3.68421052631579</v>
      </c>
      <c r="G180" s="10" t="n">
        <f aca="false">IF(AND(C180=0,E180=0),0,IF(C180=0,"New",(E180-C180)/C180))</f>
        <v>-0.368421052631579</v>
      </c>
      <c r="H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11" t="n">
        <f aca="false">I180*$J$5</f>
        <v>665.684210526316</v>
      </c>
      <c r="K180" s="11" t="n">
        <f aca="false">J180-H180</f>
        <v>-381.415789473684</v>
      </c>
      <c r="L180" s="10" t="n">
        <f aca="false">IF(AND(H180=0,J180=0),0,IF(H180=0,"New",(J180-H180)/H180))</f>
        <v>-0.364259182001417</v>
      </c>
    </row>
    <row r="181" customFormat="false" ht="15" hidden="false" customHeight="true" outlineLevel="0" collapsed="false">
      <c r="A181" s="8" t="s">
        <v>241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2" t="n">
        <f aca="false">D181*$J$5</f>
        <v>13.8947368421053</v>
      </c>
      <c r="F181" s="22" t="n">
        <f aca="false">E181-C181</f>
        <v>-12.1052631578947</v>
      </c>
      <c r="G181" s="10" t="n">
        <f aca="false">IF(AND(C181=0,E181=0),0,IF(C181=0,"New",(E181-C181)/C181))</f>
        <v>-0.465587044534413</v>
      </c>
      <c r="H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11" t="n">
        <f aca="false">I181*$J$5</f>
        <v>514.105263157895</v>
      </c>
      <c r="K181" s="11" t="n">
        <f aca="false">J181-H181</f>
        <v>-408.194736842105</v>
      </c>
      <c r="L181" s="10" t="n">
        <f aca="false">IF(AND(H181=0,J181=0),0,IF(H181=0,"New",(J181-H181)/H181))</f>
        <v>-0.442583472668443</v>
      </c>
    </row>
    <row r="182" customFormat="false" ht="15" hidden="false" customHeight="true" outlineLevel="0" collapsed="false">
      <c r="A182" s="8" t="s">
        <v>242</v>
      </c>
      <c r="B182" s="8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2" t="n">
        <f aca="false">D182*$J$5</f>
        <v>12.6315789473684</v>
      </c>
      <c r="F182" s="22" t="n">
        <f aca="false">E182-C182</f>
        <v>-11.3684210526316</v>
      </c>
      <c r="G182" s="10" t="n">
        <f aca="false">IF(AND(C182=0,E182=0),0,IF(C182=0,"New",(E182-C182)/C182))</f>
        <v>-0.473684210526316</v>
      </c>
      <c r="H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11" t="n">
        <f aca="false">I182*$J$5</f>
        <v>454.231578947368</v>
      </c>
      <c r="K182" s="11" t="n">
        <f aca="false">J182-H182</f>
        <v>-402.868421052632</v>
      </c>
      <c r="L182" s="10" t="n">
        <f aca="false">IF(AND(H182=0,J182=0),0,IF(H182=0,"New",(J182-H182)/H182))</f>
        <v>-0.470036659727723</v>
      </c>
    </row>
    <row r="183" customFormat="false" ht="15" hidden="false" customHeight="true" outlineLevel="0" collapsed="false">
      <c r="A183" s="8" t="s">
        <v>243</v>
      </c>
      <c r="B183" s="8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2" t="n">
        <f aca="false">D183*$J$5</f>
        <v>22.7368421052632</v>
      </c>
      <c r="F183" s="22" t="n">
        <f aca="false">E183-C183</f>
        <v>32.7368421052632</v>
      </c>
      <c r="G183" s="10" t="n">
        <f aca="false">IF(AND(C183=0,E183=0),0,IF(C183=0,"New",(E183-C183)/C183))</f>
        <v>-3.27368421052632</v>
      </c>
      <c r="H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11" t="n">
        <f aca="false">I183*$J$5</f>
        <v>435.789473684211</v>
      </c>
      <c r="K183" s="11" t="n">
        <f aca="false">J183-H183</f>
        <v>580.989473684211</v>
      </c>
      <c r="L183" s="10" t="n">
        <f aca="false">IF(AND(H183=0,J183=0),0,IF(H183=0,"New",(J183-H183)/H183))</f>
        <v>-4.00130491518051</v>
      </c>
    </row>
    <row r="184" customFormat="false" ht="15" hidden="false" customHeight="true" outlineLevel="0" collapsed="false">
      <c r="A184" s="8" t="s">
        <v>244</v>
      </c>
      <c r="B184" s="8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2" t="n">
        <f aca="false">D184*$J$5</f>
        <v>1.26315789473684</v>
      </c>
      <c r="F184" s="22" t="n">
        <f aca="false">E184-C184</f>
        <v>-3.73684210526316</v>
      </c>
      <c r="G184" s="10" t="n">
        <f aca="false">IF(AND(C184=0,E184=0),0,IF(C184=0,"New",(E184-C184)/C184))</f>
        <v>-0.747368421052632</v>
      </c>
      <c r="H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11" t="n">
        <f aca="false">I184*$J$5</f>
        <v>149.810526315789</v>
      </c>
      <c r="K184" s="11" t="n">
        <f aca="false">J184-H184</f>
        <v>-442.989473684211</v>
      </c>
      <c r="L184" s="10" t="n">
        <f aca="false">IF(AND(H184=0,J184=0),0,IF(H184=0,"New",(J184-H184)/H184))</f>
        <v>-0.747283187726401</v>
      </c>
    </row>
    <row r="185" customFormat="false" ht="15" hidden="false" customHeight="true" outlineLevel="0" collapsed="false">
      <c r="A185" s="8" t="s">
        <v>245</v>
      </c>
      <c r="B185" s="8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2" t="n">
        <f aca="false">D185*$J$5</f>
        <v>132.631578947368</v>
      </c>
      <c r="F185" s="22" t="n">
        <f aca="false">E185-C185</f>
        <v>8.63157894736841</v>
      </c>
      <c r="G185" s="10" t="n">
        <f aca="false">IF(AND(C185=0,E185=0),0,IF(C185=0,"New",(E185-C185)/C185))</f>
        <v>0.0696095076400678</v>
      </c>
      <c r="H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11" t="n">
        <f aca="false">I185*$J$5</f>
        <v>3472.54736842105</v>
      </c>
      <c r="K185" s="11" t="n">
        <f aca="false">J185-H185</f>
        <v>251.647368421052</v>
      </c>
      <c r="L185" s="10" t="n">
        <f aca="false">IF(AND(H185=0,J185=0),0,IF(H185=0,"New",(J185-H185)/H185))</f>
        <v>0.0781295192092435</v>
      </c>
    </row>
    <row r="186" customFormat="false" ht="15" hidden="false" customHeight="true" outlineLevel="0" collapsed="false">
      <c r="A186" s="8" t="s">
        <v>246</v>
      </c>
      <c r="B186" s="8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2" t="n">
        <f aca="false">D186*$J$5</f>
        <v>5.05263157894737</v>
      </c>
      <c r="F186" s="22" t="n">
        <f aca="false">E186-C186</f>
        <v>5.05263157894737</v>
      </c>
      <c r="G186" s="10" t="str">
        <f aca="false">IF(AND(C186=0,E186=0),0,IF(C186=0,"New",(E186-C186)/C186))</f>
        <v>New</v>
      </c>
      <c r="H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11" t="n">
        <f aca="false">I186*$J$5</f>
        <v>591.789473684211</v>
      </c>
      <c r="K186" s="11" t="n">
        <f aca="false">J186-H186</f>
        <v>591.789473684211</v>
      </c>
      <c r="L186" s="10" t="str">
        <f aca="false">IF(AND(H186=0,J186=0),0,IF(H186=0,"New",(J186-H186)/H186))</f>
        <v>New</v>
      </c>
    </row>
    <row r="187" customFormat="false" ht="15" hidden="false" customHeight="true" outlineLevel="0" collapsed="false">
      <c r="A187" s="8" t="s">
        <v>247</v>
      </c>
      <c r="B187" s="8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2" t="n">
        <f aca="false">D187*$J$5</f>
        <v>25.2631578947368</v>
      </c>
      <c r="F187" s="22" t="n">
        <f aca="false">E187-C187</f>
        <v>7.26315789473684</v>
      </c>
      <c r="G187" s="10" t="n">
        <f aca="false">IF(AND(C187=0,E187=0),0,IF(C187=0,"New",(E187-C187)/C187))</f>
        <v>0.403508771929825</v>
      </c>
      <c r="H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11" t="n">
        <f aca="false">I187*$J$5</f>
        <v>2374.23157894737</v>
      </c>
      <c r="K187" s="11" t="n">
        <f aca="false">J187-H187</f>
        <v>940.331578947368</v>
      </c>
      <c r="L187" s="10" t="n">
        <f aca="false">IF(AND(H187=0,J187=0),0,IF(H187=0,"New",(J187-H187)/H187))</f>
        <v>0.655786023395891</v>
      </c>
    </row>
    <row r="188" customFormat="false" ht="15" hidden="false" customHeight="true" outlineLevel="0" collapsed="false">
      <c r="A188" s="8" t="s">
        <v>248</v>
      </c>
      <c r="B188" s="8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2" t="n">
        <f aca="false">D188*$J$5</f>
        <v>40.4210526315789</v>
      </c>
      <c r="F188" s="22" t="n">
        <f aca="false">E188-C188</f>
        <v>-13.5789473684211</v>
      </c>
      <c r="G188" s="10" t="n">
        <f aca="false">IF(AND(C188=0,E188=0),0,IF(C188=0,"New",(E188-C188)/C188))</f>
        <v>-0.251461988304094</v>
      </c>
      <c r="H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11" t="n">
        <f aca="false">I188*$J$5</f>
        <v>830.526315789474</v>
      </c>
      <c r="K188" s="11" t="n">
        <f aca="false">J188-H188</f>
        <v>-242.373684210526</v>
      </c>
      <c r="L188" s="10" t="n">
        <f aca="false">IF(AND(H188=0,J188=0),0,IF(H188=0,"New",(J188-H188)/H188))</f>
        <v>-0.225905195461391</v>
      </c>
    </row>
    <row r="189" customFormat="false" ht="15" hidden="false" customHeight="true" outlineLevel="0" collapsed="false">
      <c r="A189" s="8" t="s">
        <v>249</v>
      </c>
      <c r="B189" s="8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2" t="n">
        <f aca="false">D189*$J$5</f>
        <v>0</v>
      </c>
      <c r="F189" s="22" t="n">
        <f aca="false">E189-C189</f>
        <v>-3</v>
      </c>
      <c r="G189" s="10" t="n">
        <f aca="false">IF(AND(C189=0,E189=0),0,IF(C189=0,"New",(E189-C189)/C189))</f>
        <v>-1</v>
      </c>
      <c r="H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11" t="n">
        <f aca="false">I189*$J$5</f>
        <v>0</v>
      </c>
      <c r="K189" s="11" t="n">
        <f aca="false">J189-H189</f>
        <v>-413.5</v>
      </c>
      <c r="L189" s="10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250</v>
      </c>
      <c r="B190" s="8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2" t="n">
        <f aca="false">D190*$J$5</f>
        <v>6.31578947368421</v>
      </c>
      <c r="F190" s="22" t="n">
        <f aca="false">E190-C190</f>
        <v>-9.68421052631579</v>
      </c>
      <c r="G190" s="10" t="n">
        <f aca="false">IF(AND(C190=0,E190=0),0,IF(C190=0,"New",(E190-C190)/C190))</f>
        <v>-0.605263157894737</v>
      </c>
      <c r="H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11" t="n">
        <f aca="false">I190*$J$5</f>
        <v>251.368421052632</v>
      </c>
      <c r="K190" s="11" t="n">
        <f aca="false">J190-H190</f>
        <v>-358.031578947368</v>
      </c>
      <c r="L190" s="10" t="n">
        <f aca="false">IF(AND(H190=0,J190=0),0,IF(H190=0,"New",(J190-H190)/H190))</f>
        <v>-0.587514898174218</v>
      </c>
    </row>
    <row r="191" customFormat="false" ht="15" hidden="false" customHeight="true" outlineLevel="0" collapsed="false">
      <c r="A191" s="8" t="s">
        <v>251</v>
      </c>
      <c r="B191" s="8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2" t="n">
        <f aca="false">D191*$J$5</f>
        <v>7.57894736842105</v>
      </c>
      <c r="F191" s="22" t="n">
        <f aca="false">E191-C191</f>
        <v>-4.42105263157895</v>
      </c>
      <c r="G191" s="10" t="n">
        <f aca="false">IF(AND(C191=0,E191=0),0,IF(C191=0,"New",(E191-C191)/C191))</f>
        <v>-0.368421052631579</v>
      </c>
      <c r="H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11" t="n">
        <f aca="false">I191*$J$5</f>
        <v>537.094736842105</v>
      </c>
      <c r="K191" s="11" t="n">
        <f aca="false">J191-H191</f>
        <v>-289.605263157895</v>
      </c>
      <c r="L191" s="10" t="n">
        <f aca="false">IF(AND(H191=0,J191=0),0,IF(H191=0,"New",(J191-H191)/H191))</f>
        <v>-0.350314821770769</v>
      </c>
    </row>
    <row r="192" customFormat="false" ht="15" hidden="false" customHeight="true" outlineLevel="0" collapsed="false">
      <c r="A192" s="8" t="s">
        <v>252</v>
      </c>
      <c r="B192" s="8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2" t="n">
        <f aca="false">D192*$J$5</f>
        <v>0</v>
      </c>
      <c r="F192" s="22" t="n">
        <f aca="false">E192-C192</f>
        <v>-12</v>
      </c>
      <c r="G192" s="10" t="n">
        <f aca="false">IF(AND(C192=0,E192=0),0,IF(C192=0,"New",(E192-C192)/C192))</f>
        <v>-1</v>
      </c>
      <c r="H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11" t="n">
        <f aca="false">I192*$J$5</f>
        <v>0</v>
      </c>
      <c r="K192" s="11" t="n">
        <f aca="false">J192-H192</f>
        <v>-384.1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253</v>
      </c>
      <c r="B193" s="8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2" t="n">
        <f aca="false">D193*$J$5</f>
        <v>6.31578947368421</v>
      </c>
      <c r="F193" s="22" t="n">
        <f aca="false">E193-C193</f>
        <v>0.315789473684211</v>
      </c>
      <c r="G193" s="10" t="n">
        <f aca="false">IF(AND(C193=0,E193=0),0,IF(C193=0,"New",(E193-C193)/C193))</f>
        <v>0.0526315789473684</v>
      </c>
      <c r="H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11" t="n">
        <f aca="false">I193*$J$5</f>
        <v>1906.48421052632</v>
      </c>
      <c r="K193" s="11" t="n">
        <f aca="false">J193-H193</f>
        <v>22.484210526316</v>
      </c>
      <c r="L193" s="10" t="n">
        <f aca="false">IF(AND(H193=0,J193=0),0,IF(H193=0,"New",(J193-H193)/H193))</f>
        <v>0.0119342943345626</v>
      </c>
    </row>
    <row r="194" customFormat="false" ht="15" hidden="false" customHeight="true" outlineLevel="0" collapsed="false">
      <c r="A194" s="8" t="s">
        <v>254</v>
      </c>
      <c r="B194" s="8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2" t="n">
        <f aca="false">D194*$J$5</f>
        <v>-2.52631578947368</v>
      </c>
      <c r="F194" s="22" t="n">
        <f aca="false">E194-C194</f>
        <v>-4.52631578947368</v>
      </c>
      <c r="G194" s="10" t="n">
        <f aca="false">IF(AND(C194=0,E194=0),0,IF(C194=0,"New",(E194-C194)/C194))</f>
        <v>-2.26315789473684</v>
      </c>
      <c r="H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11" t="n">
        <f aca="false">I194*$J$5</f>
        <v>-245.052631578947</v>
      </c>
      <c r="K194" s="11" t="n">
        <f aca="false">J194-H194</f>
        <v>-425.252631578947</v>
      </c>
      <c r="L194" s="10" t="n">
        <f aca="false">IF(AND(H194=0,J194=0),0,IF(H194=0,"New",(J194-H194)/H194))</f>
        <v>-2.35989251708628</v>
      </c>
    </row>
    <row r="195" customFormat="false" ht="15" hidden="false" customHeight="true" outlineLevel="0" collapsed="false">
      <c r="A195" s="8" t="s">
        <v>255</v>
      </c>
      <c r="B195" s="8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2" t="n">
        <f aca="false">D195*$J$5</f>
        <v>2.52631578947368</v>
      </c>
      <c r="F195" s="22" t="n">
        <f aca="false">E195-C195</f>
        <v>-2.47368421052632</v>
      </c>
      <c r="G195" s="10" t="n">
        <f aca="false">IF(AND(C195=0,E195=0),0,IF(C195=0,"New",(E195-C195)/C195))</f>
        <v>-0.494736842105263</v>
      </c>
      <c r="H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11" t="n">
        <f aca="false">I195*$J$5</f>
        <v>343.326315789474</v>
      </c>
      <c r="K195" s="11" t="n">
        <f aca="false">J195-H195</f>
        <v>-302.373684210526</v>
      </c>
      <c r="L195" s="10" t="n">
        <f aca="false">IF(AND(H195=0,J195=0),0,IF(H195=0,"New",(J195-H195)/H195))</f>
        <v>-0.46828818988776</v>
      </c>
    </row>
    <row r="196" customFormat="false" ht="15" hidden="false" customHeight="true" outlineLevel="0" collapsed="false">
      <c r="A196" s="8" t="s">
        <v>256</v>
      </c>
      <c r="B196" s="8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2" t="n">
        <f aca="false">D196*$J$5</f>
        <v>5.05263157894737</v>
      </c>
      <c r="F196" s="22" t="n">
        <f aca="false">E196-C196</f>
        <v>3.05263157894737</v>
      </c>
      <c r="G196" s="10" t="n">
        <f aca="false">IF(AND(C196=0,E196=0),0,IF(C196=0,"New",(E196-C196)/C196))</f>
        <v>1.52631578947368</v>
      </c>
      <c r="H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11" t="n">
        <f aca="false">I196*$J$5</f>
        <v>840.631578947368</v>
      </c>
      <c r="K196" s="11" t="n">
        <f aca="false">J196-H196</f>
        <v>530.131578947368</v>
      </c>
      <c r="L196" s="10" t="n">
        <f aca="false">IF(AND(H196=0,J196=0),0,IF(H196=0,"New",(J196-H196)/H196))</f>
        <v>1.70734808034579</v>
      </c>
    </row>
    <row r="197" customFormat="false" ht="15" hidden="false" customHeight="true" outlineLevel="0" collapsed="false">
      <c r="A197" s="8" t="s">
        <v>257</v>
      </c>
      <c r="B197" s="8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2" t="n">
        <f aca="false">D197*$J$5</f>
        <v>0</v>
      </c>
      <c r="F197" s="22" t="n">
        <f aca="false">E197-C197</f>
        <v>-5</v>
      </c>
      <c r="G197" s="10" t="n">
        <f aca="false">IF(AND(C197=0,E197=0),0,IF(C197=0,"New",(E197-C197)/C197))</f>
        <v>-1</v>
      </c>
      <c r="H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11" t="n">
        <f aca="false">I197*$J$5</f>
        <v>0</v>
      </c>
      <c r="K197" s="11" t="n">
        <f aca="false">J197-H197</f>
        <v>-346.6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258</v>
      </c>
      <c r="B198" s="8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2" t="n">
        <f aca="false">D198*$J$5</f>
        <v>32.8421052631579</v>
      </c>
      <c r="F198" s="22" t="n">
        <f aca="false">E198-C198</f>
        <v>25.8421052631579</v>
      </c>
      <c r="G198" s="10" t="n">
        <f aca="false">IF(AND(C198=0,E198=0),0,IF(C198=0,"New",(E198-C198)/C198))</f>
        <v>3.69172932330827</v>
      </c>
      <c r="H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11" t="n">
        <f aca="false">I198*$J$5</f>
        <v>568.042105263158</v>
      </c>
      <c r="K198" s="11" t="n">
        <f aca="false">J198-H198</f>
        <v>449.242105263158</v>
      </c>
      <c r="L198" s="10" t="n">
        <f aca="false">IF(AND(H198=0,J198=0),0,IF(H198=0,"New",(J198-H198)/H198))</f>
        <v>3.78149920255183</v>
      </c>
    </row>
    <row r="199" customFormat="false" ht="15" hidden="false" customHeight="true" outlineLevel="0" collapsed="false">
      <c r="A199" s="8" t="s">
        <v>259</v>
      </c>
      <c r="B199" s="8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2" t="n">
        <f aca="false">D199*$J$5</f>
        <v>79.5789473684211</v>
      </c>
      <c r="F199" s="22" t="n">
        <f aca="false">E199-C199</f>
        <v>13.5789473684211</v>
      </c>
      <c r="G199" s="10" t="n">
        <f aca="false">IF(AND(C199=0,E199=0),0,IF(C199=0,"New",(E199-C199)/C199))</f>
        <v>0.205741626794258</v>
      </c>
      <c r="H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11" t="n">
        <f aca="false">I199*$J$5</f>
        <v>15881.1789473684</v>
      </c>
      <c r="K199" s="11" t="n">
        <f aca="false">J199-H199</f>
        <v>2981.87894736842</v>
      </c>
      <c r="L199" s="10" t="n">
        <f aca="false">IF(AND(H199=0,J199=0),0,IF(H199=0,"New",(J199-H199)/H199))</f>
        <v>0.231165950661541</v>
      </c>
    </row>
    <row r="200" customFormat="false" ht="15" hidden="false" customHeight="true" outlineLevel="0" collapsed="false">
      <c r="A200" s="8" t="s">
        <v>260</v>
      </c>
      <c r="B200" s="8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2" t="n">
        <f aca="false">D200*$J$5</f>
        <v>32.8421052631579</v>
      </c>
      <c r="F200" s="22" t="n">
        <f aca="false">E200-C200</f>
        <v>-2.15789473684211</v>
      </c>
      <c r="G200" s="10" t="n">
        <f aca="false">IF(AND(C200=0,E200=0),0,IF(C200=0,"New",(E200-C200)/C200))</f>
        <v>-0.061654135338346</v>
      </c>
      <c r="H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11" t="n">
        <f aca="false">I200*$J$5</f>
        <v>1283.36842105263</v>
      </c>
      <c r="K200" s="11" t="n">
        <f aca="false">J200-H200</f>
        <v>-48.2315789473685</v>
      </c>
      <c r="L200" s="10" t="n">
        <f aca="false">IF(AND(H200=0,J200=0),0,IF(H200=0,"New",(J200-H200)/H200))</f>
        <v>-0.0362207712131034</v>
      </c>
    </row>
    <row r="201" customFormat="false" ht="15" hidden="false" customHeight="true" outlineLevel="0" collapsed="false">
      <c r="A201" s="8" t="s">
        <v>261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2" t="n">
        <f aca="false">D201*$J$5</f>
        <v>3.78947368421053</v>
      </c>
      <c r="F201" s="22" t="n">
        <f aca="false">E201-C201</f>
        <v>3.78947368421053</v>
      </c>
      <c r="G201" s="10" t="str">
        <f aca="false">IF(AND(C201=0,E201=0),0,IF(C201=0,"New",(E201-C201)/C201))</f>
        <v>New</v>
      </c>
      <c r="H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11" t="n">
        <f aca="false">I201*$J$5</f>
        <v>394.105263157895</v>
      </c>
      <c r="K201" s="11" t="n">
        <f aca="false">J201-H201</f>
        <v>394.105263157895</v>
      </c>
      <c r="L201" s="10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262</v>
      </c>
      <c r="B202" s="8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2" t="n">
        <f aca="false">D202*$J$5</f>
        <v>2.52631578947368</v>
      </c>
      <c r="F202" s="22" t="n">
        <f aca="false">E202-C202</f>
        <v>-1.47368421052632</v>
      </c>
      <c r="G202" s="10" t="n">
        <f aca="false">IF(AND(C202=0,E202=0),0,IF(C202=0,"New",(E202-C202)/C202))</f>
        <v>-0.368421052631579</v>
      </c>
      <c r="H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11" t="n">
        <f aca="false">I202*$J$5</f>
        <v>319.705263157895</v>
      </c>
      <c r="K202" s="11" t="n">
        <f aca="false">J202-H202</f>
        <v>-242.494736842105</v>
      </c>
      <c r="L202" s="10" t="n">
        <f aca="false">IF(AND(H202=0,J202=0),0,IF(H202=0,"New",(J202-H202)/H202))</f>
        <v>-0.431331798011571</v>
      </c>
    </row>
    <row r="203" customFormat="false" ht="15" hidden="false" customHeight="true" outlineLevel="0" collapsed="false">
      <c r="A203" s="8" t="s">
        <v>263</v>
      </c>
      <c r="B203" s="8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2" t="n">
        <f aca="false">D203*$J$5</f>
        <v>60.6315789473684</v>
      </c>
      <c r="F203" s="22" t="n">
        <f aca="false">E203-C203</f>
        <v>-9.36842105263158</v>
      </c>
      <c r="G203" s="10" t="n">
        <f aca="false">IF(AND(C203=0,E203=0),0,IF(C203=0,"New",(E203-C203)/C203))</f>
        <v>-0.133834586466165</v>
      </c>
      <c r="H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11" t="n">
        <f aca="false">I203*$J$5</f>
        <v>996.126315789474</v>
      </c>
      <c r="K203" s="11" t="n">
        <f aca="false">J203-H203</f>
        <v>-93.3736842105263</v>
      </c>
      <c r="L203" s="10" t="n">
        <f aca="false">IF(AND(H203=0,J203=0),0,IF(H203=0,"New",(J203-H203)/H203))</f>
        <v>-0.085703243882998</v>
      </c>
    </row>
    <row r="204" customFormat="false" ht="15" hidden="false" customHeight="true" outlineLevel="0" collapsed="false">
      <c r="A204" s="8" t="s">
        <v>264</v>
      </c>
      <c r="B204" s="8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2" t="n">
        <f aca="false">D204*$J$5</f>
        <v>0</v>
      </c>
      <c r="F204" s="22" t="n">
        <f aca="false">E204-C204</f>
        <v>-3</v>
      </c>
      <c r="G204" s="10" t="n">
        <f aca="false">IF(AND(C204=0,E204=0),0,IF(C204=0,"New",(E204-C204)/C204))</f>
        <v>-1</v>
      </c>
      <c r="H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11" t="n">
        <f aca="false">I204*$J$5</f>
        <v>0</v>
      </c>
      <c r="K204" s="11" t="n">
        <f aca="false">J204-H204</f>
        <v>-288.7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265</v>
      </c>
      <c r="B205" s="8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2" t="n">
        <f aca="false">D205*$J$5</f>
        <v>6.31578947368421</v>
      </c>
      <c r="F205" s="22" t="n">
        <f aca="false">E205-C205</f>
        <v>-6.68421052631579</v>
      </c>
      <c r="G205" s="10" t="n">
        <f aca="false">IF(AND(C205=0,E205=0),0,IF(C205=0,"New",(E205-C205)/C205))</f>
        <v>-0.51417004048583</v>
      </c>
      <c r="H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11" t="n">
        <f aca="false">I205*$J$5</f>
        <v>233.431578947368</v>
      </c>
      <c r="K205" s="11" t="n">
        <f aca="false">J205-H205</f>
        <v>-235.968421052632</v>
      </c>
      <c r="L205" s="10" t="n">
        <f aca="false">IF(AND(H205=0,J205=0),0,IF(H205=0,"New",(J205-H205)/H205))</f>
        <v>-0.50270221783688</v>
      </c>
    </row>
    <row r="206" customFormat="false" ht="15" hidden="false" customHeight="true" outlineLevel="0" collapsed="false">
      <c r="A206" s="8" t="s">
        <v>266</v>
      </c>
      <c r="B206" s="8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2" t="n">
        <f aca="false">D206*$J$5</f>
        <v>5.05263157894737</v>
      </c>
      <c r="F206" s="22" t="n">
        <f aca="false">E206-C206</f>
        <v>-1.94736842105263</v>
      </c>
      <c r="G206" s="10" t="n">
        <f aca="false">IF(AND(C206=0,E206=0),0,IF(C206=0,"New",(E206-C206)/C206))</f>
        <v>-0.278195488721805</v>
      </c>
      <c r="H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11" t="n">
        <f aca="false">I206*$J$5</f>
        <v>478.105263157895</v>
      </c>
      <c r="K206" s="11" t="n">
        <f aca="false">J206-H206</f>
        <v>-183.894736842105</v>
      </c>
      <c r="L206" s="10" t="n">
        <f aca="false">IF(AND(H206=0,J206=0),0,IF(H206=0,"New",(J206-H206)/H206))</f>
        <v>-0.277786611543966</v>
      </c>
    </row>
    <row r="207" customFormat="false" ht="15" hidden="false" customHeight="true" outlineLevel="0" collapsed="false">
      <c r="A207" s="8" t="s">
        <v>267</v>
      </c>
      <c r="B207" s="8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2" t="n">
        <f aca="false">D207*$J$5</f>
        <v>-2.52631578947368</v>
      </c>
      <c r="F207" s="22" t="n">
        <f aca="false">E207-C207</f>
        <v>-2.52631578947368</v>
      </c>
      <c r="G207" s="10" t="str">
        <f aca="false">IF(AND(C207=0,E207=0),0,IF(C207=0,"New",(E207-C207)/C207))</f>
        <v>New</v>
      </c>
      <c r="H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11" t="n">
        <f aca="false">I207*$J$5</f>
        <v>-358.105263157895</v>
      </c>
      <c r="K207" s="11" t="n">
        <f aca="false">J207-H207</f>
        <v>-358.105263157895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268</v>
      </c>
      <c r="B208" s="8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2" t="n">
        <f aca="false">D208*$J$5</f>
        <v>7.57894736842105</v>
      </c>
      <c r="F208" s="22" t="n">
        <f aca="false">E208-C208</f>
        <v>-0.421052631578948</v>
      </c>
      <c r="G208" s="10" t="n">
        <f aca="false">IF(AND(C208=0,E208=0),0,IF(C208=0,"New",(E208-C208)/C208))</f>
        <v>-0.0526315789473685</v>
      </c>
      <c r="H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11" t="n">
        <f aca="false">I208*$J$5</f>
        <v>1006.98947368421</v>
      </c>
      <c r="K208" s="11" t="n">
        <f aca="false">J208-H208</f>
        <v>-71.0105263157894</v>
      </c>
      <c r="L208" s="10" t="n">
        <f aca="false">IF(AND(H208=0,J208=0),0,IF(H208=0,"New",(J208-H208)/H208))</f>
        <v>-0.0658724733912704</v>
      </c>
    </row>
    <row r="209" customFormat="false" ht="15" hidden="false" customHeight="true" outlineLevel="0" collapsed="false">
      <c r="A209" s="8" t="s">
        <v>269</v>
      </c>
      <c r="B209" s="8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-4.26315789473684</v>
      </c>
      <c r="G209" s="10" t="n">
        <f aca="false">IF(AND(C209=0,E209=0),0,IF(C209=0,"New",(E209-C209)/C209))</f>
        <v>-1.42105263157895</v>
      </c>
      <c r="H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11" t="n">
        <f aca="false">I209*$J$5</f>
        <v>-67.2</v>
      </c>
      <c r="K209" s="11" t="n">
        <f aca="false">J209-H209</f>
        <v>-289</v>
      </c>
      <c r="L209" s="10" t="n">
        <f aca="false">IF(AND(H209=0,J209=0),0,IF(H209=0,"New",(J209-H209)/H209))</f>
        <v>-1.30297565374211</v>
      </c>
    </row>
    <row r="210" customFormat="false" ht="15" hidden="false" customHeight="true" outlineLevel="0" collapsed="false">
      <c r="A210" s="8" t="s">
        <v>270</v>
      </c>
      <c r="B210" s="8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2" t="n">
        <f aca="false">D210*$J$5</f>
        <v>11.3684210526316</v>
      </c>
      <c r="F210" s="22" t="n">
        <f aca="false">E210-C210</f>
        <v>1.36842105263158</v>
      </c>
      <c r="G210" s="10" t="n">
        <f aca="false">IF(AND(C210=0,E210=0),0,IF(C210=0,"New",(E210-C210)/C210))</f>
        <v>0.136842105263158</v>
      </c>
      <c r="H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11" t="n">
        <f aca="false">I210*$J$5</f>
        <v>1383.03157894737</v>
      </c>
      <c r="K210" s="11" t="n">
        <f aca="false">J210-H210</f>
        <v>20.2315789473685</v>
      </c>
      <c r="L210" s="10" t="n">
        <f aca="false">IF(AND(H210=0,J210=0),0,IF(H210=0,"New",(J210-H210)/H210))</f>
        <v>0.0148455965272736</v>
      </c>
    </row>
    <row r="211" customFormat="false" ht="15" hidden="false" customHeight="true" outlineLevel="0" collapsed="false">
      <c r="A211" s="8" t="s">
        <v>271</v>
      </c>
      <c r="B211" s="8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2" t="n">
        <f aca="false">D211*$J$5</f>
        <v>73.2631578947368</v>
      </c>
      <c r="F211" s="22" t="n">
        <f aca="false">E211-C211</f>
        <v>10.2631578947368</v>
      </c>
      <c r="G211" s="10" t="n">
        <f aca="false">IF(AND(C211=0,E211=0),0,IF(C211=0,"New",(E211-C211)/C211))</f>
        <v>0.162907268170426</v>
      </c>
      <c r="H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11" t="n">
        <f aca="false">I211*$J$5</f>
        <v>3345.34736842105</v>
      </c>
      <c r="K211" s="11" t="n">
        <f aca="false">J211-H211</f>
        <v>430.247368421053</v>
      </c>
      <c r="L211" s="10" t="n">
        <f aca="false">IF(AND(H211=0,J211=0),0,IF(H211=0,"New",(J211-H211)/H211))</f>
        <v>0.147592661802701</v>
      </c>
    </row>
    <row r="212" customFormat="false" ht="15" hidden="false" customHeight="true" outlineLevel="0" collapsed="false">
      <c r="A212" s="8" t="s">
        <v>272</v>
      </c>
      <c r="B212" s="8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2" t="n">
        <f aca="false">D212*$J$5</f>
        <v>0</v>
      </c>
      <c r="F212" s="22" t="n">
        <f aca="false">E212-C212</f>
        <v>-2</v>
      </c>
      <c r="G212" s="10" t="n">
        <f aca="false">IF(AND(C212=0,E212=0),0,IF(C212=0,"New",(E212-C212)/C212))</f>
        <v>-1</v>
      </c>
      <c r="H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11" t="n">
        <f aca="false">I212*$J$5</f>
        <v>0</v>
      </c>
      <c r="K212" s="11" t="n">
        <f aca="false">J212-H212</f>
        <v>-255.5</v>
      </c>
      <c r="L212" s="10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273</v>
      </c>
      <c r="B213" s="8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2" t="n">
        <f aca="false">D213*$J$5</f>
        <v>2.52631578947368</v>
      </c>
      <c r="F213" s="22" t="n">
        <f aca="false">E213-C213</f>
        <v>4.52631578947368</v>
      </c>
      <c r="G213" s="10" t="n">
        <f aca="false">IF(AND(C213=0,E213=0),0,IF(C213=0,"New",(E213-C213)/C213))</f>
        <v>-2.26315789473684</v>
      </c>
      <c r="H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11" t="n">
        <f aca="false">I213*$J$5</f>
        <v>185.052631578947</v>
      </c>
      <c r="K213" s="11" t="n">
        <f aca="false">J213-H213</f>
        <v>292.252631578947</v>
      </c>
      <c r="L213" s="10" t="n">
        <f aca="false">IF(AND(H213=0,J213=0),0,IF(H213=0,"New",(J213-H213)/H213))</f>
        <v>-2.72623723487824</v>
      </c>
    </row>
    <row r="214" customFormat="false" ht="15" hidden="false" customHeight="true" outlineLevel="0" collapsed="false">
      <c r="A214" s="8" t="s">
        <v>274</v>
      </c>
      <c r="B214" s="8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2" t="n">
        <f aca="false">D214*$J$5</f>
        <v>2.52631578947368</v>
      </c>
      <c r="F214" s="22" t="n">
        <f aca="false">E214-C214</f>
        <v>2.52631578947368</v>
      </c>
      <c r="G214" s="10" t="str">
        <f aca="false">IF(AND(C214=0,E214=0),0,IF(C214=0,"New",(E214-C214)/C214))</f>
        <v>New</v>
      </c>
      <c r="H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11" t="n">
        <f aca="false">I214*$J$5</f>
        <v>295.957894736842</v>
      </c>
      <c r="K214" s="11" t="n">
        <f aca="false">J214-H214</f>
        <v>295.957894736842</v>
      </c>
      <c r="L214" s="10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275</v>
      </c>
      <c r="B215" s="8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2" t="n">
        <f aca="false">D215*$J$5</f>
        <v>2.52631578947368</v>
      </c>
      <c r="F215" s="22" t="n">
        <f aca="false">E215-C215</f>
        <v>2.52631578947368</v>
      </c>
      <c r="G215" s="10" t="str">
        <f aca="false">IF(AND(C215=0,E215=0),0,IF(C215=0,"New",(E215-C215)/C215))</f>
        <v>New</v>
      </c>
      <c r="H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11" t="n">
        <f aca="false">I215*$J$5</f>
        <v>295.831578947368</v>
      </c>
      <c r="K215" s="11" t="n">
        <f aca="false">J215-H215</f>
        <v>295.831578947368</v>
      </c>
      <c r="L215" s="10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276</v>
      </c>
      <c r="B216" s="8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2" t="n">
        <f aca="false">D216*$J$5</f>
        <v>51.7894736842105</v>
      </c>
      <c r="F216" s="22" t="n">
        <f aca="false">E216-C216</f>
        <v>5.78947368421052</v>
      </c>
      <c r="G216" s="10" t="n">
        <f aca="false">IF(AND(C216=0,E216=0),0,IF(C216=0,"New",(E216-C216)/C216))</f>
        <v>0.125858123569794</v>
      </c>
      <c r="H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11" t="n">
        <f aca="false">I216*$J$5</f>
        <v>2657.05263157895</v>
      </c>
      <c r="K216" s="11" t="n">
        <f aca="false">J216-H216</f>
        <v>321.752631578947</v>
      </c>
      <c r="L216" s="10" t="n">
        <f aca="false">IF(AND(H216=0,J216=0),0,IF(H216=0,"New",(J216-H216)/H216))</f>
        <v>0.137777857910738</v>
      </c>
    </row>
    <row r="217" customFormat="false" ht="15" hidden="false" customHeight="true" outlineLevel="0" collapsed="false">
      <c r="A217" s="8" t="s">
        <v>277</v>
      </c>
      <c r="B217" s="8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2" t="n">
        <f aca="false">D217*$J$5</f>
        <v>17.6842105263158</v>
      </c>
      <c r="F217" s="22" t="n">
        <f aca="false">E217-C217</f>
        <v>0.684210526315788</v>
      </c>
      <c r="G217" s="10" t="n">
        <f aca="false">IF(AND(C217=0,E217=0),0,IF(C217=0,"New",(E217-C217)/C217))</f>
        <v>0.0402476780185757</v>
      </c>
      <c r="H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11" t="n">
        <f aca="false">I217*$J$5</f>
        <v>1732.16842105263</v>
      </c>
      <c r="K217" s="11" t="n">
        <f aca="false">J217-H217</f>
        <v>129.268421052631</v>
      </c>
      <c r="L217" s="10" t="n">
        <f aca="false">IF(AND(H217=0,J217=0),0,IF(H217=0,"New",(J217-H217)/H217))</f>
        <v>0.0806465912113241</v>
      </c>
    </row>
    <row r="218" customFormat="false" ht="15" hidden="false" customHeight="true" outlineLevel="0" collapsed="false">
      <c r="A218" s="8" t="s">
        <v>278</v>
      </c>
      <c r="B218" s="8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2" t="n">
        <f aca="false">D218*$J$5</f>
        <v>0</v>
      </c>
      <c r="F218" s="22" t="n">
        <f aca="false">E218-C218</f>
        <v>-1</v>
      </c>
      <c r="G218" s="10" t="n">
        <f aca="false">IF(AND(C218=0,E218=0),0,IF(C218=0,"New",(E218-C218)/C218))</f>
        <v>-1</v>
      </c>
      <c r="H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11" t="n">
        <f aca="false">I218*$J$5</f>
        <v>0</v>
      </c>
      <c r="K218" s="11" t="n">
        <f aca="false">J218-H218</f>
        <v>-231.6</v>
      </c>
      <c r="L218" s="10" t="n">
        <f aca="false">IF(AND(H218=0,J218=0),0,IF(H218=0,"New",(J218-H218)/H218))</f>
        <v>-1</v>
      </c>
    </row>
    <row r="219" customFormat="false" ht="15" hidden="false" customHeight="true" outlineLevel="0" collapsed="false">
      <c r="A219" s="8" t="s">
        <v>279</v>
      </c>
      <c r="B219" s="8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2" t="n">
        <f aca="false">D219*$J$5</f>
        <v>2.52631578947368</v>
      </c>
      <c r="F219" s="22" t="n">
        <f aca="false">E219-C219</f>
        <v>1.52631578947368</v>
      </c>
      <c r="G219" s="10" t="n">
        <f aca="false">IF(AND(C219=0,E219=0),0,IF(C219=0,"New",(E219-C219)/C219))</f>
        <v>1.52631578947368</v>
      </c>
      <c r="H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11" t="n">
        <f aca="false">I219*$J$5</f>
        <v>537.473684210526</v>
      </c>
      <c r="K219" s="11" t="n">
        <f aca="false">J219-H219</f>
        <v>338.873684210526</v>
      </c>
      <c r="L219" s="10" t="n">
        <f aca="false">IF(AND(H219=0,J219=0),0,IF(H219=0,"New",(J219-H219)/H219))</f>
        <v>1.70631260931786</v>
      </c>
    </row>
    <row r="220" customFormat="false" ht="15" hidden="false" customHeight="true" outlineLevel="0" collapsed="false">
      <c r="A220" s="8" t="s">
        <v>280</v>
      </c>
      <c r="B220" s="8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2" t="n">
        <f aca="false">D220*$J$5</f>
        <v>3.78947368421053</v>
      </c>
      <c r="F220" s="22" t="n">
        <f aca="false">E220-C220</f>
        <v>3.78947368421053</v>
      </c>
      <c r="G220" s="10" t="str">
        <f aca="false">IF(AND(C220=0,E220=0),0,IF(C220=0,"New",(E220-C220)/C220))</f>
        <v>New</v>
      </c>
      <c r="H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11" t="n">
        <f aca="false">I220*$J$5</f>
        <v>264.884210526316</v>
      </c>
      <c r="K220" s="11" t="n">
        <f aca="false">J220-H220</f>
        <v>277.884210526316</v>
      </c>
      <c r="L220" s="10" t="n">
        <f aca="false">IF(AND(H220=0,J220=0),0,IF(H220=0,"New",(J220-H220)/H220))</f>
        <v>-21.3757085020243</v>
      </c>
    </row>
    <row r="221" customFormat="false" ht="15" hidden="false" customHeight="true" outlineLevel="0" collapsed="false">
      <c r="A221" s="8" t="s">
        <v>281</v>
      </c>
      <c r="B221" s="8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2" t="n">
        <f aca="false">D221*$J$5</f>
        <v>0</v>
      </c>
      <c r="F221" s="22" t="n">
        <f aca="false">E221-C221</f>
        <v>-2</v>
      </c>
      <c r="G221" s="10" t="n">
        <f aca="false">IF(AND(C221=0,E221=0),0,IF(C221=0,"New",(E221-C221)/C221))</f>
        <v>-1</v>
      </c>
      <c r="H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11" t="n">
        <f aca="false">I221*$J$5</f>
        <v>0</v>
      </c>
      <c r="K221" s="11" t="n">
        <f aca="false">J221-H221</f>
        <v>-217.4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282</v>
      </c>
      <c r="B222" s="8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2" t="n">
        <f aca="false">D222*$J$5</f>
        <v>0</v>
      </c>
      <c r="F222" s="22" t="n">
        <f aca="false">E222-C222</f>
        <v>-2</v>
      </c>
      <c r="G222" s="10" t="n">
        <f aca="false">IF(AND(C222=0,E222=0),0,IF(C222=0,"New",(E222-C222)/C222))</f>
        <v>-1</v>
      </c>
      <c r="H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11" t="n">
        <f aca="false">I222*$J$5</f>
        <v>0</v>
      </c>
      <c r="K222" s="11" t="n">
        <f aca="false">J222-H222</f>
        <v>-217.4</v>
      </c>
      <c r="L222" s="10" t="n">
        <f aca="false">IF(AND(H222=0,J222=0),0,IF(H222=0,"New",(J222-H222)/H222))</f>
        <v>-1</v>
      </c>
    </row>
    <row r="223" customFormat="false" ht="15" hidden="false" customHeight="true" outlineLevel="0" collapsed="false">
      <c r="A223" s="8" t="s">
        <v>283</v>
      </c>
      <c r="B223" s="8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2" t="n">
        <f aca="false">D223*$J$5</f>
        <v>0</v>
      </c>
      <c r="F223" s="22" t="n">
        <f aca="false">E223-C223</f>
        <v>-2</v>
      </c>
      <c r="G223" s="10" t="n">
        <f aca="false">IF(AND(C223=0,E223=0),0,IF(C223=0,"New",(E223-C223)/C223))</f>
        <v>-1</v>
      </c>
      <c r="H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11" t="n">
        <f aca="false">I223*$J$5</f>
        <v>0</v>
      </c>
      <c r="K223" s="11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284</v>
      </c>
      <c r="B224" s="8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2" t="n">
        <f aca="false">D224*$J$5</f>
        <v>0</v>
      </c>
      <c r="F224" s="22" t="n">
        <f aca="false">E224-C224</f>
        <v>-2</v>
      </c>
      <c r="G224" s="10" t="n">
        <f aca="false">IF(AND(C224=0,E224=0),0,IF(C224=0,"New",(E224-C224)/C224))</f>
        <v>-1</v>
      </c>
      <c r="H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11" t="n">
        <f aca="false">I224*$J$5</f>
        <v>0</v>
      </c>
      <c r="K224" s="11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285</v>
      </c>
      <c r="B225" s="8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2" t="n">
        <f aca="false">D225*$J$5</f>
        <v>0</v>
      </c>
      <c r="F225" s="22" t="n">
        <f aca="false">E225-C225</f>
        <v>-1</v>
      </c>
      <c r="G225" s="10" t="n">
        <f aca="false">IF(AND(C225=0,E225=0),0,IF(C225=0,"New",(E225-C225)/C225))</f>
        <v>-1</v>
      </c>
      <c r="H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11" t="n">
        <f aca="false">I225*$J$5</f>
        <v>0</v>
      </c>
      <c r="K225" s="11" t="n">
        <f aca="false">J225-H225</f>
        <v>-213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286</v>
      </c>
      <c r="B226" s="8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2" t="n">
        <f aca="false">D226*$J$5</f>
        <v>1.26315789473684</v>
      </c>
      <c r="F226" s="22" t="n">
        <f aca="false">E226-C226</f>
        <v>2.26315789473684</v>
      </c>
      <c r="G226" s="10" t="n">
        <f aca="false">IF(AND(C226=0,E226=0),0,IF(C226=0,"New",(E226-C226)/C226))</f>
        <v>-2.26315789473684</v>
      </c>
      <c r="H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11" t="n">
        <f aca="false">I226*$J$5</f>
        <v>93.3473684210526</v>
      </c>
      <c r="K226" s="11" t="n">
        <f aca="false">J226-H226</f>
        <v>226.647368421053</v>
      </c>
      <c r="L226" s="10" t="n">
        <f aca="false">IF(AND(H226=0,J226=0),0,IF(H226=0,"New",(J226-H226)/H226))</f>
        <v>-1.70028033324121</v>
      </c>
    </row>
    <row r="227" customFormat="false" ht="15" hidden="false" customHeight="true" outlineLevel="0" collapsed="false">
      <c r="A227" s="8" t="s">
        <v>287</v>
      </c>
      <c r="B227" s="8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2" t="n">
        <f aca="false">D227*$J$5</f>
        <v>3.78947368421053</v>
      </c>
      <c r="F227" s="22" t="n">
        <f aca="false">E227-C227</f>
        <v>-4.21052631578947</v>
      </c>
      <c r="G227" s="10" t="n">
        <f aca="false">IF(AND(C227=0,E227=0),0,IF(C227=0,"New",(E227-C227)/C227))</f>
        <v>-0.526315789473684</v>
      </c>
      <c r="H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11" t="n">
        <f aca="false">I227*$J$5</f>
        <v>245.810526315789</v>
      </c>
      <c r="K227" s="11" t="n">
        <f aca="false">J227-H227</f>
        <v>-155.189473684211</v>
      </c>
      <c r="L227" s="10" t="n">
        <f aca="false">IF(AND(H227=0,J227=0),0,IF(H227=0,"New",(J227-H227)/H227))</f>
        <v>-0.387006168788555</v>
      </c>
    </row>
    <row r="228" customFormat="false" ht="15" hidden="false" customHeight="true" outlineLevel="0" collapsed="false">
      <c r="A228" s="8" t="s">
        <v>288</v>
      </c>
      <c r="B228" s="8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2" t="n">
        <f aca="false">D228*$J$5</f>
        <v>0</v>
      </c>
      <c r="F228" s="22" t="n">
        <f aca="false">E228-C228</f>
        <v>-2</v>
      </c>
      <c r="G228" s="10" t="n">
        <f aca="false">IF(AND(C228=0,E228=0),0,IF(C228=0,"New",(E228-C228)/C228))</f>
        <v>-1</v>
      </c>
      <c r="H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11" t="n">
        <f aca="false">I228*$J$5</f>
        <v>0</v>
      </c>
      <c r="K228" s="11" t="n">
        <f aca="false">J228-H228</f>
        <v>-206.1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289</v>
      </c>
      <c r="B229" s="8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2" t="n">
        <f aca="false">D229*$J$5</f>
        <v>-1.26315789473684</v>
      </c>
      <c r="F229" s="22" t="n">
        <f aca="false">E229-C229</f>
        <v>-8.26315789473684</v>
      </c>
      <c r="G229" s="10" t="n">
        <f aca="false">IF(AND(C229=0,E229=0),0,IF(C229=0,"New",(E229-C229)/C229))</f>
        <v>-1.18045112781955</v>
      </c>
      <c r="H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11" t="n">
        <f aca="false">I229*$J$5</f>
        <v>-27.6631578947368</v>
      </c>
      <c r="K229" s="11" t="n">
        <f aca="false">J229-H229</f>
        <v>-208.563157894737</v>
      </c>
      <c r="L229" s="10" t="n">
        <f aca="false">IF(AND(H229=0,J229=0),0,IF(H229=0,"New",(J229-H229)/H229))</f>
        <v>-1.152919612464</v>
      </c>
    </row>
    <row r="230" customFormat="false" ht="15" hidden="false" customHeight="true" outlineLevel="0" collapsed="false">
      <c r="A230" s="8" t="s">
        <v>290</v>
      </c>
      <c r="B230" s="8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2" t="n">
        <f aca="false">D230*$J$5</f>
        <v>0</v>
      </c>
      <c r="F230" s="22" t="n">
        <f aca="false">E230-C230</f>
        <v>-2</v>
      </c>
      <c r="G230" s="10" t="n">
        <f aca="false">IF(AND(C230=0,E230=0),0,IF(C230=0,"New",(E230-C230)/C230))</f>
        <v>-1</v>
      </c>
      <c r="H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11" t="n">
        <f aca="false">I230*$J$5</f>
        <v>0</v>
      </c>
      <c r="K230" s="11" t="n">
        <f aca="false">J230-H230</f>
        <v>-199.3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291</v>
      </c>
      <c r="B231" s="8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2" t="n">
        <f aca="false">D231*$J$5</f>
        <v>8.84210526315789</v>
      </c>
      <c r="F231" s="22" t="n">
        <f aca="false">E231-C231</f>
        <v>2.84210526315789</v>
      </c>
      <c r="G231" s="10" t="n">
        <f aca="false">IF(AND(C231=0,E231=0),0,IF(C231=0,"New",(E231-C231)/C231))</f>
        <v>0.473684210526316</v>
      </c>
      <c r="H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11" t="n">
        <f aca="false">I231*$J$5</f>
        <v>1625.68421052632</v>
      </c>
      <c r="K231" s="11" t="n">
        <f aca="false">J231-H231</f>
        <v>535.384210526316</v>
      </c>
      <c r="L231" s="10" t="n">
        <f aca="false">IF(AND(H231=0,J231=0),0,IF(H231=0,"New",(J231-H231)/H231))</f>
        <v>0.49104302533827</v>
      </c>
    </row>
    <row r="232" customFormat="false" ht="15" hidden="false" customHeight="true" outlineLevel="0" collapsed="false">
      <c r="A232" s="8" t="s">
        <v>292</v>
      </c>
      <c r="B232" s="8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2" t="n">
        <f aca="false">D232*$J$5</f>
        <v>-1.26315789473684</v>
      </c>
      <c r="F232" s="22" t="n">
        <f aca="false">E232-C232</f>
        <v>-2.26315789473684</v>
      </c>
      <c r="G232" s="10" t="n">
        <f aca="false">IF(AND(C232=0,E232=0),0,IF(C232=0,"New",(E232-C232)/C232))</f>
        <v>-2.26315789473684</v>
      </c>
      <c r="H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11" t="n">
        <f aca="false">I232*$J$5</f>
        <v>-117.221052631579</v>
      </c>
      <c r="K232" s="11" t="n">
        <f aca="false">J232-H232</f>
        <v>-220.321052631579</v>
      </c>
      <c r="L232" s="10" t="n">
        <f aca="false">IF(AND(H232=0,J232=0),0,IF(H232=0,"New",(J232-H232)/H232))</f>
        <v>-2.13696462300271</v>
      </c>
    </row>
    <row r="233" customFormat="false" ht="15" hidden="false" customHeight="true" outlineLevel="0" collapsed="false">
      <c r="A233" s="8" t="s">
        <v>293</v>
      </c>
      <c r="B233" s="8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2" t="n">
        <f aca="false">D233*$J$5</f>
        <v>48</v>
      </c>
      <c r="F233" s="22" t="n">
        <f aca="false">E233-C233</f>
        <v>-2</v>
      </c>
      <c r="G233" s="10" t="n">
        <f aca="false">IF(AND(C233=0,E233=0),0,IF(C233=0,"New",(E233-C233)/C233))</f>
        <v>-0.04</v>
      </c>
      <c r="H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11" t="n">
        <f aca="false">I233*$J$5</f>
        <v>1655.62105263158</v>
      </c>
      <c r="K233" s="11" t="n">
        <f aca="false">J233-H233</f>
        <v>149.621052631579</v>
      </c>
      <c r="L233" s="10" t="n">
        <f aca="false">IF(AND(H233=0,J233=0),0,IF(H233=0,"New",(J233-H233)/H233))</f>
        <v>0.0993499685468652</v>
      </c>
    </row>
    <row r="234" customFormat="false" ht="15" hidden="false" customHeight="true" outlineLevel="0" collapsed="false">
      <c r="A234" s="8" t="s">
        <v>294</v>
      </c>
      <c r="B234" s="8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2" t="n">
        <f aca="false">D234*$J$5</f>
        <v>2.52631578947368</v>
      </c>
      <c r="F234" s="22" t="n">
        <f aca="false">E234-C234</f>
        <v>2.52631578947368</v>
      </c>
      <c r="G234" s="10" t="str">
        <f aca="false">IF(AND(C234=0,E234=0),0,IF(C234=0,"New",(E234-C234)/C234))</f>
        <v>New</v>
      </c>
      <c r="H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11" t="n">
        <f aca="false">I234*$J$5</f>
        <v>224.842105263158</v>
      </c>
      <c r="K234" s="11" t="n">
        <f aca="false">J234-H234</f>
        <v>224.842105263158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295</v>
      </c>
      <c r="B235" s="8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2" t="n">
        <f aca="false">D235*$J$5</f>
        <v>68.2105263157895</v>
      </c>
      <c r="F235" s="22" t="n">
        <f aca="false">E235-C235</f>
        <v>9.21052631578947</v>
      </c>
      <c r="G235" s="10" t="n">
        <f aca="false">IF(AND(C235=0,E235=0),0,IF(C235=0,"New",(E235-C235)/C235))</f>
        <v>0.156110615521855</v>
      </c>
      <c r="H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11" t="n">
        <f aca="false">I235*$J$5</f>
        <v>1949.93684210526</v>
      </c>
      <c r="K235" s="11" t="n">
        <f aca="false">J235-H235</f>
        <v>230.336842105263</v>
      </c>
      <c r="L235" s="10" t="n">
        <f aca="false">IF(AND(H235=0,J235=0),0,IF(H235=0,"New",(J235-H235)/H235))</f>
        <v>0.133947919344768</v>
      </c>
    </row>
    <row r="236" customFormat="false" ht="15" hidden="false" customHeight="true" outlineLevel="0" collapsed="false">
      <c r="A236" s="8" t="s">
        <v>296</v>
      </c>
      <c r="B236" s="8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2" t="n">
        <f aca="false">D236*$J$5</f>
        <v>0</v>
      </c>
      <c r="F236" s="22" t="n">
        <f aca="false">E236-C236</f>
        <v>6</v>
      </c>
      <c r="G236" s="10" t="n">
        <f aca="false">IF(AND(C236=0,E236=0),0,IF(C236=0,"New",(E236-C236)/C236))</f>
        <v>-1</v>
      </c>
      <c r="H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11" t="n">
        <f aca="false">I236*$J$5</f>
        <v>0</v>
      </c>
      <c r="K236" s="11" t="n">
        <f aca="false">J236-H236</f>
        <v>173.3</v>
      </c>
      <c r="L236" s="10" t="n">
        <f aca="false">IF(AND(H236=0,J236=0),0,IF(H236=0,"New",(J236-H236)/H236))</f>
        <v>-1</v>
      </c>
    </row>
    <row r="237" customFormat="false" ht="15" hidden="false" customHeight="true" outlineLevel="0" collapsed="false">
      <c r="A237" s="8" t="s">
        <v>297</v>
      </c>
      <c r="B237" s="8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2" t="n">
        <f aca="false">D237*$J$5</f>
        <v>1.26315789473684</v>
      </c>
      <c r="F237" s="22" t="n">
        <f aca="false">E237-C237</f>
        <v>1.26315789473684</v>
      </c>
      <c r="G237" s="10" t="str">
        <f aca="false">IF(AND(C237=0,E237=0),0,IF(C237=0,"New",(E237-C237)/C237))</f>
        <v>New</v>
      </c>
      <c r="H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11" t="n">
        <f aca="false">I237*$J$5</f>
        <v>212.842105263158</v>
      </c>
      <c r="K237" s="11" t="n">
        <f aca="false">J237-H237</f>
        <v>212.842105263158</v>
      </c>
      <c r="L237" s="10" t="str">
        <f aca="false">IF(AND(H237=0,J237=0),0,IF(H237=0,"New",(J237-H237)/H237))</f>
        <v>New</v>
      </c>
    </row>
    <row r="238" customFormat="false" ht="15" hidden="false" customHeight="true" outlineLevel="0" collapsed="false">
      <c r="A238" s="8" t="s">
        <v>298</v>
      </c>
      <c r="B238" s="8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2" t="n">
        <f aca="false">D238*$J$5</f>
        <v>0</v>
      </c>
      <c r="F238" s="22" t="n">
        <f aca="false">E238-C238</f>
        <v>5</v>
      </c>
      <c r="G238" s="10" t="n">
        <f aca="false">IF(AND(C238=0,E238=0),0,IF(C238=0,"New",(E238-C238)/C238))</f>
        <v>-1</v>
      </c>
      <c r="H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11" t="n">
        <f aca="false">I238*$J$5</f>
        <v>0</v>
      </c>
      <c r="K238" s="11" t="n">
        <f aca="false">J238-H238</f>
        <v>165.6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299</v>
      </c>
      <c r="B239" s="8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2" t="n">
        <f aca="false">D239*$J$5</f>
        <v>0</v>
      </c>
      <c r="F239" s="22" t="n">
        <f aca="false">E239-C239</f>
        <v>1</v>
      </c>
      <c r="G239" s="10" t="n">
        <f aca="false">IF(AND(C239=0,E239=0),0,IF(C239=0,"New",(E239-C239)/C239))</f>
        <v>-1</v>
      </c>
      <c r="H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11" t="n">
        <f aca="false">I239*$J$5</f>
        <v>0</v>
      </c>
      <c r="K239" s="11" t="n">
        <f aca="false">J239-H239</f>
        <v>165.4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300</v>
      </c>
      <c r="B240" s="8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2" t="n">
        <f aca="false">D240*$J$5</f>
        <v>10.1052631578947</v>
      </c>
      <c r="F240" s="22" t="n">
        <f aca="false">E240-C240</f>
        <v>-1.89473684210526</v>
      </c>
      <c r="G240" s="10" t="n">
        <f aca="false">IF(AND(C240=0,E240=0),0,IF(C240=0,"New",(E240-C240)/C240))</f>
        <v>-0.157894736842105</v>
      </c>
      <c r="H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11" t="n">
        <f aca="false">I240*$J$5</f>
        <v>992.336842105263</v>
      </c>
      <c r="K240" s="11" t="n">
        <f aca="false">J240-H240</f>
        <v>43.4368421052632</v>
      </c>
      <c r="L240" s="10" t="n">
        <f aca="false">IF(AND(H240=0,J240=0),0,IF(H240=0,"New",(J240-H240)/H240))</f>
        <v>0.0457759954739837</v>
      </c>
    </row>
    <row r="241" customFormat="false" ht="15" hidden="false" customHeight="true" outlineLevel="0" collapsed="false">
      <c r="A241" s="8" t="s">
        <v>301</v>
      </c>
      <c r="B241" s="8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2" t="n">
        <f aca="false">D241*$J$5</f>
        <v>8.84210526315789</v>
      </c>
      <c r="F241" s="22" t="n">
        <f aca="false">E241-C241</f>
        <v>-2.15789473684211</v>
      </c>
      <c r="G241" s="10" t="n">
        <f aca="false">IF(AND(C241=0,E241=0),0,IF(C241=0,"New",(E241-C241)/C241))</f>
        <v>-0.196172248803828</v>
      </c>
      <c r="H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11" t="n">
        <f aca="false">I241*$J$5</f>
        <v>370.610526315789</v>
      </c>
      <c r="K241" s="11" t="n">
        <f aca="false">J241-H241</f>
        <v>-80.2894736842106</v>
      </c>
      <c r="L241" s="10" t="n">
        <f aca="false">IF(AND(H241=0,J241=0),0,IF(H241=0,"New",(J241-H241)/H241))</f>
        <v>-0.178064922786007</v>
      </c>
    </row>
    <row r="242" customFormat="false" ht="15" hidden="false" customHeight="true" outlineLevel="0" collapsed="false">
      <c r="A242" s="8" t="s">
        <v>302</v>
      </c>
      <c r="B242" s="8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2" t="n">
        <f aca="false">D242*$J$5</f>
        <v>3.78947368421053</v>
      </c>
      <c r="F242" s="22" t="n">
        <f aca="false">E242-C242</f>
        <v>-1.21052631578947</v>
      </c>
      <c r="G242" s="10" t="n">
        <f aca="false">IF(AND(C242=0,E242=0),0,IF(C242=0,"New",(E242-C242)/C242))</f>
        <v>-0.242105263157895</v>
      </c>
      <c r="H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11" t="n">
        <f aca="false">I242*$J$5</f>
        <v>310.357894736842</v>
      </c>
      <c r="K242" s="11" t="n">
        <f aca="false">J242-H242</f>
        <v>-91.9421052631579</v>
      </c>
      <c r="L242" s="10" t="n">
        <f aca="false">IF(AND(H242=0,J242=0),0,IF(H242=0,"New",(J242-H242)/H242))</f>
        <v>-0.22854115153656</v>
      </c>
    </row>
    <row r="243" customFormat="false" ht="15" hidden="false" customHeight="true" outlineLevel="0" collapsed="false">
      <c r="A243" s="8" t="s">
        <v>303</v>
      </c>
      <c r="B243" s="8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2" t="n">
        <f aca="false">D243*$J$5</f>
        <v>48</v>
      </c>
      <c r="F243" s="22" t="n">
        <f aca="false">E243-C243</f>
        <v>4</v>
      </c>
      <c r="G243" s="10" t="n">
        <f aca="false">IF(AND(C243=0,E243=0),0,IF(C243=0,"New",(E243-C243)/C243))</f>
        <v>0.0909090909090909</v>
      </c>
      <c r="H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11" t="n">
        <f aca="false">I243*$J$5</f>
        <v>1442.27368421053</v>
      </c>
      <c r="K243" s="11" t="n">
        <f aca="false">J243-H243</f>
        <v>144.373684210526</v>
      </c>
      <c r="L243" s="10" t="n">
        <f aca="false">IF(AND(H243=0,J243=0),0,IF(H243=0,"New",(J243-H243)/H243))</f>
        <v>0.111236369682199</v>
      </c>
    </row>
    <row r="244" customFormat="false" ht="15" hidden="false" customHeight="true" outlineLevel="0" collapsed="false">
      <c r="A244" s="8" t="s">
        <v>304</v>
      </c>
      <c r="B244" s="8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2" t="n">
        <f aca="false">D244*$J$5</f>
        <v>0</v>
      </c>
      <c r="F244" s="22" t="n">
        <f aca="false">E244-C244</f>
        <v>-1</v>
      </c>
      <c r="G244" s="10" t="n">
        <f aca="false">IF(AND(C244=0,E244=0),0,IF(C244=0,"New",(E244-C244)/C244))</f>
        <v>-1</v>
      </c>
      <c r="H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11" t="n">
        <f aca="false">I244*$J$5</f>
        <v>0</v>
      </c>
      <c r="K244" s="11" t="n">
        <f aca="false">J244-H244</f>
        <v>-154.4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305</v>
      </c>
      <c r="B245" s="8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2" t="n">
        <f aca="false">D245*$J$5</f>
        <v>0</v>
      </c>
      <c r="F245" s="22" t="n">
        <f aca="false">E245-C245</f>
        <v>2</v>
      </c>
      <c r="G245" s="10" t="n">
        <f aca="false">IF(AND(C245=0,E245=0),0,IF(C245=0,"New",(E245-C245)/C245))</f>
        <v>-1</v>
      </c>
      <c r="H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11" t="n">
        <f aca="false">I245*$J$5</f>
        <v>0</v>
      </c>
      <c r="K245" s="11" t="n">
        <f aca="false">J245-H245</f>
        <v>152.1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306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2" t="n">
        <f aca="false">D246*$J$5</f>
        <v>2.52631578947368</v>
      </c>
      <c r="F246" s="22" t="n">
        <f aca="false">E246-C246</f>
        <v>1.52631578947368</v>
      </c>
      <c r="G246" s="10" t="n">
        <f aca="false">IF(AND(C246=0,E246=0),0,IF(C246=0,"New",(E246-C246)/C246))</f>
        <v>1.52631578947368</v>
      </c>
      <c r="H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11" t="n">
        <f aca="false">I246*$J$5</f>
        <v>358.610526315789</v>
      </c>
      <c r="K246" s="11" t="n">
        <f aca="false">J246-H246</f>
        <v>216.810526315789</v>
      </c>
      <c r="L246" s="10" t="n">
        <f aca="false">IF(AND(H246=0,J246=0),0,IF(H246=0,"New",(J246-H246)/H246))</f>
        <v>1.52898819686734</v>
      </c>
    </row>
    <row r="247" customFormat="false" ht="15" hidden="false" customHeight="true" outlineLevel="0" collapsed="false">
      <c r="A247" s="8" t="s">
        <v>307</v>
      </c>
      <c r="B247" s="8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2" t="n">
        <f aca="false">D247*$J$5</f>
        <v>1.26315789473684</v>
      </c>
      <c r="F247" s="22" t="n">
        <f aca="false">E247-C247</f>
        <v>1.26315789473684</v>
      </c>
      <c r="G247" s="10" t="str">
        <f aca="false">IF(AND(C247=0,E247=0),0,IF(C247=0,"New",(E247-C247)/C247))</f>
        <v>New</v>
      </c>
      <c r="H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11" t="n">
        <f aca="false">I247*$J$5</f>
        <v>179.368421052632</v>
      </c>
      <c r="K247" s="11" t="n">
        <f aca="false">J247-H247</f>
        <v>179.368421052632</v>
      </c>
      <c r="L247" s="10" t="str">
        <f aca="false">IF(AND(H247=0,J247=0),0,IF(H247=0,"New",(J247-H247)/H247))</f>
        <v>New</v>
      </c>
    </row>
    <row r="248" customFormat="false" ht="15" hidden="false" customHeight="true" outlineLevel="0" collapsed="false">
      <c r="A248" s="8" t="s">
        <v>308</v>
      </c>
      <c r="B248" s="8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2" t="n">
        <f aca="false">D248*$J$5</f>
        <v>0</v>
      </c>
      <c r="F248" s="22" t="n">
        <f aca="false">E248-C248</f>
        <v>-1</v>
      </c>
      <c r="G248" s="10" t="n">
        <f aca="false">IF(AND(C248=0,E248=0),0,IF(C248=0,"New",(E248-C248)/C248))</f>
        <v>-1</v>
      </c>
      <c r="H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11" t="n">
        <f aca="false">I248*$J$5</f>
        <v>0</v>
      </c>
      <c r="K248" s="11" t="n">
        <f aca="false">J248-H248</f>
        <v>-142</v>
      </c>
      <c r="L248" s="10" t="n">
        <f aca="false">IF(AND(H248=0,J248=0),0,IF(H248=0,"New",(J248-H248)/H248))</f>
        <v>-1</v>
      </c>
    </row>
    <row r="249" customFormat="false" ht="15" hidden="false" customHeight="true" outlineLevel="0" collapsed="false">
      <c r="A249" s="8" t="s">
        <v>309</v>
      </c>
      <c r="B249" s="8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2" t="n">
        <f aca="false">D249*$J$5</f>
        <v>0</v>
      </c>
      <c r="F249" s="22" t="n">
        <f aca="false">E249-C249</f>
        <v>-1</v>
      </c>
      <c r="G249" s="10" t="n">
        <f aca="false">IF(AND(C249=0,E249=0),0,IF(C249=0,"New",(E249-C249)/C249))</f>
        <v>-1</v>
      </c>
      <c r="H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11" t="n">
        <f aca="false">I249*$J$5</f>
        <v>0</v>
      </c>
      <c r="K249" s="11" t="n">
        <f aca="false">J249-H249</f>
        <v>-140.6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310</v>
      </c>
      <c r="B250" s="8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2" t="n">
        <f aca="false">D250*$J$5</f>
        <v>27.7894736842105</v>
      </c>
      <c r="F250" s="22" t="n">
        <f aca="false">E250-C250</f>
        <v>6.78947368421052</v>
      </c>
      <c r="G250" s="10" t="n">
        <f aca="false">IF(AND(C250=0,E250=0),0,IF(C250=0,"New",(E250-C250)/C250))</f>
        <v>0.323308270676692</v>
      </c>
      <c r="H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11" t="n">
        <f aca="false">I250*$J$5</f>
        <v>1686.69473684211</v>
      </c>
      <c r="K250" s="11" t="n">
        <f aca="false">J250-H250</f>
        <v>485.294736842105</v>
      </c>
      <c r="L250" s="10" t="n">
        <f aca="false">IF(AND(H250=0,J250=0),0,IF(H250=0,"New",(J250-H250)/H250))</f>
        <v>0.403941016182874</v>
      </c>
    </row>
    <row r="251" customFormat="false" ht="15" hidden="false" customHeight="true" outlineLevel="0" collapsed="false">
      <c r="A251" s="8" t="s">
        <v>311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2" t="n">
        <f aca="false">D251*$J$5</f>
        <v>0</v>
      </c>
      <c r="F251" s="22" t="n">
        <f aca="false">E251-C251</f>
        <v>-1</v>
      </c>
      <c r="G251" s="10" t="n">
        <f aca="false">IF(AND(C251=0,E251=0),0,IF(C251=0,"New",(E251-C251)/C251))</f>
        <v>-1</v>
      </c>
      <c r="H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11" t="n">
        <f aca="false">I251*$J$5</f>
        <v>0</v>
      </c>
      <c r="K251" s="11" t="n">
        <f aca="false">J251-H251</f>
        <v>-127.9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312</v>
      </c>
      <c r="B252" s="8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2" t="n">
        <f aca="false">D252*$J$5</f>
        <v>2.52631578947368</v>
      </c>
      <c r="F252" s="22" t="n">
        <f aca="false">E252-C252</f>
        <v>1.52631578947368</v>
      </c>
      <c r="G252" s="10" t="n">
        <f aca="false">IF(AND(C252=0,E252=0),0,IF(C252=0,"New",(E252-C252)/C252))</f>
        <v>1.52631578947368</v>
      </c>
      <c r="H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11" t="n">
        <f aca="false">I252*$J$5</f>
        <v>323.115789473684</v>
      </c>
      <c r="K252" s="11" t="n">
        <f aca="false">J252-H252</f>
        <v>195.215789473684</v>
      </c>
      <c r="L252" s="10" t="n">
        <f aca="false">IF(AND(H252=0,J252=0),0,IF(H252=0,"New",(J252-H252)/H252))</f>
        <v>1.52631578947368</v>
      </c>
    </row>
    <row r="253" customFormat="false" ht="15" hidden="false" customHeight="true" outlineLevel="0" collapsed="false">
      <c r="A253" s="8" t="s">
        <v>313</v>
      </c>
      <c r="B253" s="8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2" t="n">
        <f aca="false">D253*$J$5</f>
        <v>0</v>
      </c>
      <c r="F253" s="22" t="n">
        <f aca="false">E253-C253</f>
        <v>-1</v>
      </c>
      <c r="G253" s="10" t="n">
        <f aca="false">IF(AND(C253=0,E253=0),0,IF(C253=0,"New",(E253-C253)/C253))</f>
        <v>-1</v>
      </c>
      <c r="H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11" t="n">
        <f aca="false">I253*$J$5</f>
        <v>0</v>
      </c>
      <c r="K253" s="11" t="n">
        <f aca="false">J253-H253</f>
        <v>-127.6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314</v>
      </c>
      <c r="B254" s="8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2" t="n">
        <f aca="false">D254*$J$5</f>
        <v>1.26315789473684</v>
      </c>
      <c r="F254" s="22" t="n">
        <f aca="false">E254-C254</f>
        <v>1.26315789473684</v>
      </c>
      <c r="G254" s="10" t="str">
        <f aca="false">IF(AND(C254=0,E254=0),0,IF(C254=0,"New",(E254-C254)/C254))</f>
        <v>New</v>
      </c>
      <c r="H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11" t="n">
        <f aca="false">I254*$J$5</f>
        <v>149.810526315789</v>
      </c>
      <c r="K254" s="11" t="n">
        <f aca="false">J254-H254</f>
        <v>149.810526315789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315</v>
      </c>
      <c r="B255" s="8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2" t="n">
        <f aca="false">D255*$J$5</f>
        <v>3.78947368421053</v>
      </c>
      <c r="F255" s="22" t="n">
        <f aca="false">E255-C255</f>
        <v>3.78947368421053</v>
      </c>
      <c r="G255" s="10" t="str">
        <f aca="false">IF(AND(C255=0,E255=0),0,IF(C255=0,"New",(E255-C255)/C255))</f>
        <v>New</v>
      </c>
      <c r="H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11" t="n">
        <f aca="false">I255*$J$5</f>
        <v>133.010526315789</v>
      </c>
      <c r="K255" s="11" t="n">
        <f aca="false">J255-H255</f>
        <v>133.010526315789</v>
      </c>
      <c r="L255" s="10" t="str">
        <f aca="false">IF(AND(H255=0,J255=0),0,IF(H255=0,"New",(J255-H255)/H255))</f>
        <v>New</v>
      </c>
    </row>
    <row r="256" customFormat="false" ht="15" hidden="false" customHeight="true" outlineLevel="0" collapsed="false">
      <c r="A256" s="8" t="s">
        <v>316</v>
      </c>
      <c r="B256" s="8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2" t="n">
        <f aca="false">D256*$J$5</f>
        <v>0</v>
      </c>
      <c r="F256" s="22" t="n">
        <f aca="false">E256-C256</f>
        <v>-1</v>
      </c>
      <c r="G256" s="10" t="n">
        <f aca="false">IF(AND(C256=0,E256=0),0,IF(C256=0,"New",(E256-C256)/C256))</f>
        <v>-1</v>
      </c>
      <c r="H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11" t="n">
        <f aca="false">I256*$J$5</f>
        <v>0</v>
      </c>
      <c r="K256" s="11" t="n">
        <f aca="false">J256-H256</f>
        <v>-103.1</v>
      </c>
      <c r="L256" s="10" t="n">
        <f aca="false">IF(AND(H256=0,J256=0),0,IF(H256=0,"New",(J256-H256)/H256))</f>
        <v>-1</v>
      </c>
    </row>
    <row r="257" customFormat="false" ht="15" hidden="false" customHeight="true" outlineLevel="0" collapsed="false">
      <c r="A257" s="8" t="s">
        <v>317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2" t="n">
        <f aca="false">D257*$J$5</f>
        <v>1.26315789473684</v>
      </c>
      <c r="F257" s="22" t="n">
        <f aca="false">E257-C257</f>
        <v>-2.73684210526316</v>
      </c>
      <c r="G257" s="10" t="n">
        <f aca="false">IF(AND(C257=0,E257=0),0,IF(C257=0,"New",(E257-C257)/C257))</f>
        <v>-0.68421052631579</v>
      </c>
      <c r="H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11" t="n">
        <f aca="false">I257*$J$5</f>
        <v>44.3368421052632</v>
      </c>
      <c r="K257" s="11" t="n">
        <f aca="false">J257-H257</f>
        <v>-89.2631578947368</v>
      </c>
      <c r="L257" s="10" t="n">
        <f aca="false">IF(AND(H257=0,J257=0),0,IF(H257=0,"New",(J257-H257)/H257))</f>
        <v>-0.668137409391743</v>
      </c>
    </row>
    <row r="258" customFormat="false" ht="15" hidden="false" customHeight="true" outlineLevel="0" collapsed="false">
      <c r="A258" s="8" t="s">
        <v>318</v>
      </c>
      <c r="B258" s="8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2" t="n">
        <f aca="false">D258*$J$5</f>
        <v>0</v>
      </c>
      <c r="F258" s="22" t="n">
        <f aca="false">E258-C258</f>
        <v>1</v>
      </c>
      <c r="G258" s="10" t="n">
        <f aca="false">IF(AND(C258=0,E258=0),0,IF(C258=0,"New",(E258-C258)/C258))</f>
        <v>-1</v>
      </c>
      <c r="H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11" t="n">
        <f aca="false">I258*$J$5</f>
        <v>0</v>
      </c>
      <c r="K258" s="11" t="n">
        <f aca="false">J258-H258</f>
        <v>98.3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319</v>
      </c>
      <c r="B259" s="8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2" t="n">
        <f aca="false">D259*$J$5</f>
        <v>0</v>
      </c>
      <c r="F259" s="22" t="n">
        <f aca="false">E259-C259</f>
        <v>-1</v>
      </c>
      <c r="G259" s="10" t="n">
        <f aca="false">IF(AND(C259=0,E259=0),0,IF(C259=0,"New",(E259-C259)/C259))</f>
        <v>-1</v>
      </c>
      <c r="H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11" t="n">
        <f aca="false">I259*$J$5</f>
        <v>0</v>
      </c>
      <c r="K259" s="11" t="n">
        <f aca="false">J259-H259</f>
        <v>-94.5</v>
      </c>
      <c r="L259" s="10" t="n">
        <f aca="false">IF(AND(H259=0,J259=0),0,IF(H259=0,"New",(J259-H259)/H259))</f>
        <v>-1</v>
      </c>
    </row>
    <row r="260" customFormat="false" ht="15" hidden="false" customHeight="true" outlineLevel="0" collapsed="false">
      <c r="A260" s="8" t="s">
        <v>320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2" t="n">
        <f aca="false">D260*$J$5</f>
        <v>1.26315789473684</v>
      </c>
      <c r="F260" s="22" t="n">
        <f aca="false">E260-C260</f>
        <v>1.26315789473684</v>
      </c>
      <c r="G260" s="10" t="str">
        <f aca="false">IF(AND(C260=0,E260=0),0,IF(C260=0,"New",(E260-C260)/C260))</f>
        <v>New</v>
      </c>
      <c r="H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11" t="n">
        <f aca="false">I260*$J$5</f>
        <v>119.368421052632</v>
      </c>
      <c r="K260" s="11" t="n">
        <f aca="false">J260-H260</f>
        <v>119.368421052632</v>
      </c>
      <c r="L260" s="10" t="str">
        <f aca="false">IF(AND(H260=0,J260=0),0,IF(H260=0,"New",(J260-H260)/H260))</f>
        <v>New</v>
      </c>
    </row>
    <row r="261" customFormat="false" ht="15" hidden="false" customHeight="true" outlineLevel="0" collapsed="false">
      <c r="A261" s="8" t="s">
        <v>321</v>
      </c>
      <c r="B261" s="8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2" t="n">
        <f aca="false">D261*$J$5</f>
        <v>0</v>
      </c>
      <c r="F261" s="22" t="n">
        <f aca="false">E261-C261</f>
        <v>-1</v>
      </c>
      <c r="G261" s="10" t="n">
        <f aca="false">IF(AND(C261=0,E261=0),0,IF(C261=0,"New",(E261-C261)/C261))</f>
        <v>-1</v>
      </c>
      <c r="H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11" t="n">
        <f aca="false">I261*$J$5</f>
        <v>0</v>
      </c>
      <c r="K261" s="11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322</v>
      </c>
      <c r="B262" s="8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2" t="n">
        <f aca="false">D262*$J$5</f>
        <v>2.52631578947368</v>
      </c>
      <c r="F262" s="22" t="n">
        <f aca="false">E262-C262</f>
        <v>1.52631578947368</v>
      </c>
      <c r="G262" s="10" t="n">
        <f aca="false">IF(AND(C262=0,E262=0),0,IF(C262=0,"New",(E262-C262)/C262))</f>
        <v>1.52631578947368</v>
      </c>
      <c r="H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11" t="n">
        <f aca="false">I262*$J$5</f>
        <v>233.178947368421</v>
      </c>
      <c r="K262" s="11" t="n">
        <f aca="false">J262-H262</f>
        <v>141.078947368421</v>
      </c>
      <c r="L262" s="10" t="n">
        <f aca="false">IF(AND(H262=0,J262=0),0,IF(H262=0,"New",(J262-H262)/H262))</f>
        <v>1.5318018172467</v>
      </c>
    </row>
    <row r="263" customFormat="false" ht="15" hidden="false" customHeight="true" outlineLevel="0" collapsed="false">
      <c r="A263" s="8" t="s">
        <v>323</v>
      </c>
      <c r="B263" s="8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2" t="n">
        <f aca="false">D263*$J$5</f>
        <v>1.26315789473684</v>
      </c>
      <c r="F263" s="22" t="n">
        <f aca="false">E263-C263</f>
        <v>1.26315789473684</v>
      </c>
      <c r="G263" s="10" t="str">
        <f aca="false">IF(AND(C263=0,E263=0),0,IF(C263=0,"New",(E263-C263)/C263))</f>
        <v>New</v>
      </c>
      <c r="H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11" t="n">
        <f aca="false">I263*$J$5</f>
        <v>116.589473684211</v>
      </c>
      <c r="K263" s="11" t="n">
        <f aca="false">J263-H263</f>
        <v>116.589473684211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324</v>
      </c>
      <c r="B264" s="8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2" t="n">
        <f aca="false">D264*$J$5</f>
        <v>18.9473684210526</v>
      </c>
      <c r="F264" s="22" t="n">
        <f aca="false">E264-C264</f>
        <v>0.94736842105263</v>
      </c>
      <c r="G264" s="10" t="n">
        <f aca="false">IF(AND(C264=0,E264=0),0,IF(C264=0,"New",(E264-C264)/C264))</f>
        <v>0.0526315789473683</v>
      </c>
      <c r="H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11" t="n">
        <f aca="false">I264*$J$5</f>
        <v>653.305263157895</v>
      </c>
      <c r="K264" s="11" t="n">
        <f aca="false">J264-H264</f>
        <v>52.8052631578947</v>
      </c>
      <c r="L264" s="10" t="n">
        <f aca="false">IF(AND(H264=0,J264=0),0,IF(H264=0,"New",(J264-H264)/H264))</f>
        <v>0.0879354923528638</v>
      </c>
    </row>
    <row r="265" customFormat="false" ht="15" hidden="false" customHeight="true" outlineLevel="0" collapsed="false">
      <c r="A265" s="8" t="s">
        <v>325</v>
      </c>
      <c r="B265" s="8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2" t="n">
        <f aca="false">D265*$J$5</f>
        <v>1.26315789473684</v>
      </c>
      <c r="F265" s="22" t="n">
        <f aca="false">E265-C265</f>
        <v>2.26315789473684</v>
      </c>
      <c r="G265" s="10" t="n">
        <f aca="false">IF(AND(C265=0,E265=0),0,IF(C265=0,"New",(E265-C265)/C265))</f>
        <v>-2.26315789473684</v>
      </c>
      <c r="H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11" t="n">
        <f aca="false">I265*$J$5</f>
        <v>44.3368421052632</v>
      </c>
      <c r="K265" s="11" t="n">
        <f aca="false">J265-H265</f>
        <v>87.5368421052632</v>
      </c>
      <c r="L265" s="10" t="n">
        <f aca="false">IF(AND(H265=0,J265=0),0,IF(H265=0,"New",(J265-H265)/H265))</f>
        <v>-2.02631578947368</v>
      </c>
    </row>
    <row r="266" customFormat="false" ht="15" hidden="false" customHeight="true" outlineLevel="0" collapsed="false">
      <c r="A266" s="8" t="s">
        <v>326</v>
      </c>
      <c r="B266" s="8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2" t="n">
        <f aca="false">D266*$J$5</f>
        <v>6.31578947368421</v>
      </c>
      <c r="F266" s="22" t="n">
        <f aca="false">E266-C266</f>
        <v>2.31578947368421</v>
      </c>
      <c r="G266" s="10" t="n">
        <f aca="false">IF(AND(C266=0,E266=0),0,IF(C266=0,"New",(E266-C266)/C266))</f>
        <v>0.578947368421053</v>
      </c>
      <c r="H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11" t="n">
        <f aca="false">I266*$J$5</f>
        <v>495.284210526316</v>
      </c>
      <c r="K266" s="11" t="n">
        <f aca="false">J266-H266</f>
        <v>179.984210526316</v>
      </c>
      <c r="L266" s="10" t="n">
        <f aca="false">IF(AND(H266=0,J266=0),0,IF(H266=0,"New",(J266-H266)/H266))</f>
        <v>0.570834793930592</v>
      </c>
    </row>
    <row r="267" customFormat="false" ht="15" hidden="false" customHeight="true" outlineLevel="0" collapsed="false">
      <c r="A267" s="8" t="s">
        <v>327</v>
      </c>
      <c r="B267" s="8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2" t="n">
        <f aca="false">D267*$J$5</f>
        <v>0</v>
      </c>
      <c r="F267" s="22" t="n">
        <f aca="false">E267-C267</f>
        <v>1</v>
      </c>
      <c r="G267" s="10" t="n">
        <f aca="false">IF(AND(C267=0,E267=0),0,IF(C267=0,"New",(E267-C267)/C267))</f>
        <v>-1</v>
      </c>
      <c r="H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11" t="n">
        <f aca="false">I267*$J$5</f>
        <v>0</v>
      </c>
      <c r="K267" s="11" t="n">
        <f aca="false">J267-H267</f>
        <v>75.6</v>
      </c>
      <c r="L267" s="10" t="n">
        <f aca="false">IF(AND(H267=0,J267=0),0,IF(H267=0,"New",(J267-H267)/H267))</f>
        <v>-1</v>
      </c>
    </row>
    <row r="268" customFormat="false" ht="15" hidden="false" customHeight="true" outlineLevel="0" collapsed="false">
      <c r="A268" s="8" t="s">
        <v>328</v>
      </c>
      <c r="B268" s="8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2" t="n">
        <f aca="false">D268*$J$5</f>
        <v>0</v>
      </c>
      <c r="F268" s="22" t="n">
        <f aca="false">E268-C268</f>
        <v>1</v>
      </c>
      <c r="G268" s="10" t="n">
        <f aca="false">IF(AND(C268=0,E268=0),0,IF(C268=0,"New",(E268-C268)/C268))</f>
        <v>-1</v>
      </c>
      <c r="H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11" t="n">
        <f aca="false">I268*$J$5</f>
        <v>0</v>
      </c>
      <c r="K268" s="11" t="n">
        <f aca="false">J268-H268</f>
        <v>74</v>
      </c>
      <c r="L268" s="10" t="n">
        <f aca="false">IF(AND(H268=0,J268=0),0,IF(H268=0,"New",(J268-H268)/H268))</f>
        <v>-1</v>
      </c>
    </row>
    <row r="269" customFormat="false" ht="15" hidden="false" customHeight="true" outlineLevel="0" collapsed="false">
      <c r="A269" s="8" t="s">
        <v>329</v>
      </c>
      <c r="B269" s="8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2" t="n">
        <f aca="false">D269*$J$5</f>
        <v>0</v>
      </c>
      <c r="F269" s="22" t="n">
        <f aca="false">E269-C269</f>
        <v>4</v>
      </c>
      <c r="G269" s="10" t="n">
        <f aca="false">IF(AND(C269=0,E269=0),0,IF(C269=0,"New",(E269-C269)/C269))</f>
        <v>-1</v>
      </c>
      <c r="H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11" t="n">
        <f aca="false">I269*$J$5</f>
        <v>0</v>
      </c>
      <c r="K269" s="11" t="n">
        <f aca="false">J269-H269</f>
        <v>55.3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330</v>
      </c>
      <c r="B270" s="8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2" t="n">
        <f aca="false">D270*$J$5</f>
        <v>51.7894736842105</v>
      </c>
      <c r="F270" s="22" t="n">
        <f aca="false">E270-C270</f>
        <v>4.78947368421052</v>
      </c>
      <c r="G270" s="10" t="n">
        <f aca="false">IF(AND(C270=0,E270=0),0,IF(C270=0,"New",(E270-C270)/C270))</f>
        <v>0.101903695408734</v>
      </c>
      <c r="H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11" t="n">
        <f aca="false">I270*$J$5</f>
        <v>840.252631578947</v>
      </c>
      <c r="K270" s="11" t="n">
        <f aca="false">J270-H270</f>
        <v>121.152631578947</v>
      </c>
      <c r="L270" s="10" t="n">
        <f aca="false">IF(AND(H270=0,J270=0),0,IF(H270=0,"New",(J270-H270)/H270))</f>
        <v>0.16847814153657</v>
      </c>
    </row>
    <row r="271" customFormat="false" ht="15" hidden="false" customHeight="true" outlineLevel="0" collapsed="false">
      <c r="A271" s="8" t="s">
        <v>331</v>
      </c>
      <c r="B271" s="8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2" t="n">
        <f aca="false">D271*$J$5</f>
        <v>0</v>
      </c>
      <c r="F271" s="22" t="n">
        <f aca="false">E271-C271</f>
        <v>4</v>
      </c>
      <c r="G271" s="10" t="n">
        <f aca="false">IF(AND(C271=0,E271=0),0,IF(C271=0,"New",(E271-C271)/C271))</f>
        <v>-1</v>
      </c>
      <c r="H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11" t="n">
        <f aca="false">I271*$J$5</f>
        <v>0</v>
      </c>
      <c r="K271" s="11" t="n">
        <f aca="false">J271-H271</f>
        <v>53.5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332</v>
      </c>
      <c r="B272" s="8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2" t="n">
        <f aca="false">D272*$J$5</f>
        <v>156.631578947368</v>
      </c>
      <c r="F272" s="22" t="n">
        <f aca="false">E272-C272</f>
        <v>27.6315789473684</v>
      </c>
      <c r="G272" s="10" t="n">
        <f aca="false">IF(AND(C272=0,E272=0),0,IF(C272=0,"New",(E272-C272)/C272))</f>
        <v>0.214198286413709</v>
      </c>
      <c r="H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11" t="n">
        <f aca="false">I272*$J$5</f>
        <v>3319.2</v>
      </c>
      <c r="K272" s="11" t="n">
        <f aca="false">J272-H272</f>
        <v>644.8</v>
      </c>
      <c r="L272" s="10" t="n">
        <f aca="false">IF(AND(H272=0,J272=0),0,IF(H272=0,"New",(J272-H272)/H272))</f>
        <v>0.241100807657792</v>
      </c>
    </row>
    <row r="273" customFormat="false" ht="15" hidden="false" customHeight="true" outlineLevel="0" collapsed="false">
      <c r="A273" s="8" t="s">
        <v>333</v>
      </c>
      <c r="B273" s="8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2" t="n">
        <f aca="false">D273*$J$5</f>
        <v>26.5263157894737</v>
      </c>
      <c r="F273" s="22" t="n">
        <f aca="false">E273-C273</f>
        <v>6.52631578947368</v>
      </c>
      <c r="G273" s="10" t="n">
        <f aca="false">IF(AND(C273=0,E273=0),0,IF(C273=0,"New",(E273-C273)/C273))</f>
        <v>0.326315789473684</v>
      </c>
      <c r="H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11" t="n">
        <f aca="false">I273*$J$5</f>
        <v>452.968421052632</v>
      </c>
      <c r="K273" s="11" t="n">
        <f aca="false">J273-H273</f>
        <v>134.268421052632</v>
      </c>
      <c r="L273" s="10" t="n">
        <f aca="false">IF(AND(H273=0,J273=0),0,IF(H273=0,"New",(J273-H273)/H273))</f>
        <v>0.421300348455072</v>
      </c>
    </row>
    <row r="274" customFormat="false" ht="15" hidden="false" customHeight="true" outlineLevel="0" collapsed="false">
      <c r="A274" s="8" t="s">
        <v>334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2" t="n">
        <f aca="false">D274*$J$5</f>
        <v>0</v>
      </c>
      <c r="F274" s="22" t="n">
        <f aca="false">E274-C274</f>
        <v>1</v>
      </c>
      <c r="G274" s="10" t="n">
        <f aca="false">IF(AND(C274=0,E274=0),0,IF(C274=0,"New",(E274-C274)/C274))</f>
        <v>-1</v>
      </c>
      <c r="H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11" t="n">
        <f aca="false">I274*$J$5</f>
        <v>0</v>
      </c>
      <c r="K274" s="11" t="n">
        <f aca="false">J274-H274</f>
        <v>37.8</v>
      </c>
      <c r="L274" s="10" t="n">
        <f aca="false">IF(AND(H274=0,J274=0),0,IF(H274=0,"New",(J274-H274)/H274))</f>
        <v>-1</v>
      </c>
    </row>
    <row r="275" customFormat="false" ht="15" hidden="false" customHeight="true" outlineLevel="0" collapsed="false">
      <c r="A275" s="8" t="s">
        <v>335</v>
      </c>
      <c r="B275" s="8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2" t="n">
        <f aca="false">D275*$J$5</f>
        <v>3.78947368421053</v>
      </c>
      <c r="F275" s="22" t="n">
        <f aca="false">E275-C275</f>
        <v>1.78947368421053</v>
      </c>
      <c r="G275" s="10" t="n">
        <f aca="false">IF(AND(C275=0,E275=0),0,IF(C275=0,"New",(E275-C275)/C275))</f>
        <v>0.894736842105263</v>
      </c>
      <c r="H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11" t="n">
        <f aca="false">I275*$J$5</f>
        <v>143.115789473684</v>
      </c>
      <c r="K275" s="11" t="n">
        <f aca="false">J275-H275</f>
        <v>67.6157894736842</v>
      </c>
      <c r="L275" s="10" t="n">
        <f aca="false">IF(AND(H275=0,J275=0),0,IF(H275=0,"New",(J275-H275)/H275))</f>
        <v>0.895573370512374</v>
      </c>
    </row>
    <row r="276" customFormat="false" ht="15" hidden="false" customHeight="true" outlineLevel="0" collapsed="false">
      <c r="A276" s="8" t="s">
        <v>336</v>
      </c>
      <c r="B276" s="8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2" t="n">
        <f aca="false">D276*$J$5</f>
        <v>0</v>
      </c>
      <c r="F276" s="22" t="n">
        <f aca="false">E276-C276</f>
        <v>1</v>
      </c>
      <c r="G276" s="10" t="n">
        <f aca="false">IF(AND(C276=0,E276=0),0,IF(C276=0,"New",(E276-C276)/C276))</f>
        <v>-1</v>
      </c>
      <c r="H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11" t="n">
        <f aca="false">I276*$J$5</f>
        <v>0</v>
      </c>
      <c r="K276" s="11" t="n">
        <f aca="false">J276-H276</f>
        <v>36.5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337</v>
      </c>
      <c r="B277" s="8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2" t="n">
        <f aca="false">D277*$J$5</f>
        <v>0</v>
      </c>
      <c r="F277" s="22" t="n">
        <f aca="false">E277-C277</f>
        <v>4</v>
      </c>
      <c r="G277" s="10" t="n">
        <f aca="false">IF(AND(C277=0,E277=0),0,IF(C277=0,"New",(E277-C277)/C277))</f>
        <v>-1</v>
      </c>
      <c r="H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11" t="n">
        <f aca="false">I277*$J$5</f>
        <v>0</v>
      </c>
      <c r="K277" s="11" t="n">
        <f aca="false">J277-H277</f>
        <v>32.5</v>
      </c>
      <c r="L277" s="10" t="n">
        <f aca="false">IF(AND(H277=0,J277=0),0,IF(H277=0,"New",(J277-H277)/H277))</f>
        <v>-1</v>
      </c>
    </row>
    <row r="278" customFormat="false" ht="15" hidden="false" customHeight="true" outlineLevel="0" collapsed="false">
      <c r="A278" s="8" t="s">
        <v>338</v>
      </c>
      <c r="B278" s="8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2" t="n">
        <f aca="false">D278*$J$5</f>
        <v>34.1052631578947</v>
      </c>
      <c r="F278" s="22" t="n">
        <f aca="false">E278-C278</f>
        <v>7.10526315789473</v>
      </c>
      <c r="G278" s="10" t="n">
        <f aca="false">IF(AND(C278=0,E278=0),0,IF(C278=0,"New",(E278-C278)/C278))</f>
        <v>0.263157894736842</v>
      </c>
      <c r="H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11" t="n">
        <f aca="false">I278*$J$5</f>
        <v>3801.34736842105</v>
      </c>
      <c r="K278" s="11" t="n">
        <f aca="false">J278-H278</f>
        <v>823.647368421053</v>
      </c>
      <c r="L278" s="10" t="n">
        <f aca="false">IF(AND(H278=0,J278=0),0,IF(H278=0,"New",(J278-H278)/H278))</f>
        <v>0.276605221621068</v>
      </c>
    </row>
    <row r="279" customFormat="false" ht="15" hidden="false" customHeight="true" outlineLevel="0" collapsed="false">
      <c r="A279" s="8" t="s">
        <v>339</v>
      </c>
      <c r="B279" s="8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2" t="n">
        <f aca="false">D279*$J$5</f>
        <v>0</v>
      </c>
      <c r="F279" s="22" t="n">
        <f aca="false">E279-C279</f>
        <v>1</v>
      </c>
      <c r="G279" s="10" t="n">
        <f aca="false">IF(AND(C279=0,E279=0),0,IF(C279=0,"New",(E279-C279)/C279))</f>
        <v>-1</v>
      </c>
      <c r="H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11" t="n">
        <f aca="false">I279*$J$5</f>
        <v>0</v>
      </c>
      <c r="K279" s="11" t="n">
        <f aca="false">J279-H279</f>
        <v>29.7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340</v>
      </c>
      <c r="B280" s="8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2" t="n">
        <f aca="false">D280*$J$5</f>
        <v>0</v>
      </c>
      <c r="F280" s="22" t="n">
        <f aca="false">E280-C280</f>
        <v>1</v>
      </c>
      <c r="G280" s="10" t="n">
        <f aca="false">IF(AND(C280=0,E280=0),0,IF(C280=0,"New",(E280-C280)/C280))</f>
        <v>-1</v>
      </c>
      <c r="H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11" t="n">
        <f aca="false">I280*$J$5</f>
        <v>0</v>
      </c>
      <c r="K280" s="11" t="n">
        <f aca="false">J280-H280</f>
        <v>29.7</v>
      </c>
      <c r="L280" s="10" t="n">
        <f aca="false">IF(AND(H280=0,J280=0),0,IF(H280=0,"New",(J280-H280)/H280))</f>
        <v>-1</v>
      </c>
    </row>
    <row r="281" customFormat="false" ht="15" hidden="false" customHeight="true" outlineLevel="0" collapsed="false">
      <c r="A281" s="8" t="s">
        <v>341</v>
      </c>
      <c r="B281" s="8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2" t="n">
        <f aca="false">D281*$J$5</f>
        <v>2.52631578947368</v>
      </c>
      <c r="F281" s="22" t="n">
        <f aca="false">E281-C281</f>
        <v>0.526315789473684</v>
      </c>
      <c r="G281" s="10" t="n">
        <f aca="false">IF(AND(C281=0,E281=0),0,IF(C281=0,"New",(E281-C281)/C281))</f>
        <v>0.263157894736842</v>
      </c>
      <c r="H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11" t="n">
        <f aca="false">I281*$J$5</f>
        <v>513.852631578947</v>
      </c>
      <c r="K281" s="11" t="n">
        <f aca="false">J281-H281</f>
        <v>134.152631578947</v>
      </c>
      <c r="L281" s="10" t="n">
        <f aca="false">IF(AND(H281=0,J281=0),0,IF(H281=0,"New",(J281-H281)/H281))</f>
        <v>0.353312171659066</v>
      </c>
    </row>
    <row r="282" customFormat="false" ht="15" hidden="false" customHeight="true" outlineLevel="0" collapsed="false">
      <c r="A282" s="8" t="s">
        <v>342</v>
      </c>
      <c r="B282" s="8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2" t="n">
        <f aca="false">D282*$J$5</f>
        <v>6.31578947368421</v>
      </c>
      <c r="F282" s="22" t="n">
        <f aca="false">E282-C282</f>
        <v>1.31578947368421</v>
      </c>
      <c r="G282" s="10" t="n">
        <f aca="false">IF(AND(C282=0,E282=0),0,IF(C282=0,"New",(E282-C282)/C282))</f>
        <v>0.263157894736842</v>
      </c>
      <c r="H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11" t="n">
        <f aca="false">I282*$J$5</f>
        <v>700.294736842105</v>
      </c>
      <c r="K282" s="11" t="n">
        <f aca="false">J282-H282</f>
        <v>122.494736842105</v>
      </c>
      <c r="L282" s="10" t="n">
        <f aca="false">IF(AND(H282=0,J282=0),0,IF(H282=0,"New",(J282-H282)/H282))</f>
        <v>0.212001967535662</v>
      </c>
    </row>
    <row r="283" customFormat="false" ht="15" hidden="false" customHeight="true" outlineLevel="0" collapsed="false">
      <c r="A283" s="8" t="s">
        <v>343</v>
      </c>
      <c r="B283" s="8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2" t="n">
        <f aca="false">D283*$J$5</f>
        <v>10.1052631578947</v>
      </c>
      <c r="F283" s="22" t="n">
        <f aca="false">E283-C283</f>
        <v>0.105263157894736</v>
      </c>
      <c r="G283" s="10" t="n">
        <f aca="false">IF(AND(C283=0,E283=0),0,IF(C283=0,"New",(E283-C283)/C283))</f>
        <v>0.0105263157894736</v>
      </c>
      <c r="H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11" t="n">
        <f aca="false">I283*$J$5</f>
        <v>171.915789473684</v>
      </c>
      <c r="K283" s="11" t="n">
        <f aca="false">J283-H283</f>
        <v>12.8157894736842</v>
      </c>
      <c r="L283" s="10" t="n">
        <f aca="false">IF(AND(H283=0,J283=0),0,IF(H283=0,"New",(J283-H283)/H283))</f>
        <v>0.0805517880181282</v>
      </c>
    </row>
    <row r="284" customFormat="false" ht="15" hidden="false" customHeight="true" outlineLevel="0" collapsed="false">
      <c r="A284" s="8" t="s">
        <v>344</v>
      </c>
      <c r="B284" s="8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2" t="n">
        <f aca="false">D284*$J$5</f>
        <v>24</v>
      </c>
      <c r="F284" s="22" t="n">
        <f aca="false">E284-C284</f>
        <v>5</v>
      </c>
      <c r="G284" s="10" t="n">
        <f aca="false">IF(AND(C284=0,E284=0),0,IF(C284=0,"New",(E284-C284)/C284))</f>
        <v>0.263157894736842</v>
      </c>
      <c r="H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11" t="n">
        <f aca="false">I284*$J$5</f>
        <v>403.452631578947</v>
      </c>
      <c r="K284" s="11" t="n">
        <f aca="false">J284-H284</f>
        <v>102.052631578947</v>
      </c>
      <c r="L284" s="10" t="n">
        <f aca="false">IF(AND(H284=0,J284=0),0,IF(H284=0,"New",(J284-H284)/H284))</f>
        <v>0.338595327070164</v>
      </c>
    </row>
    <row r="285" customFormat="false" ht="15" hidden="false" customHeight="true" outlineLevel="0" collapsed="false">
      <c r="A285" s="8" t="s">
        <v>345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2" t="n">
        <f aca="false">D285*$J$5</f>
        <v>44.2105263157895</v>
      </c>
      <c r="F285" s="22" t="n">
        <f aca="false">E285-C285</f>
        <v>3.21052631578947</v>
      </c>
      <c r="G285" s="10" t="n">
        <f aca="false">IF(AND(C285=0,E285=0),0,IF(C285=0,"New",(E285-C285)/C285))</f>
        <v>0.0783055198973042</v>
      </c>
      <c r="H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11" t="n">
        <f aca="false">I285*$J$5</f>
        <v>758.778947368421</v>
      </c>
      <c r="K285" s="11" t="n">
        <f aca="false">J285-H285</f>
        <v>145.178947368421</v>
      </c>
      <c r="L285" s="10" t="n">
        <f aca="false">IF(AND(H285=0,J285=0),0,IF(H285=0,"New",(J285-H285)/H285))</f>
        <v>0.236601935085432</v>
      </c>
    </row>
    <row r="286" customFormat="false" ht="15" hidden="false" customHeight="true" outlineLevel="0" collapsed="false">
      <c r="A286" s="8" t="s">
        <v>346</v>
      </c>
      <c r="B286" s="8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2" t="n">
        <f aca="false">D286*$J$5</f>
        <v>0</v>
      </c>
      <c r="F286" s="22" t="n">
        <f aca="false">E286-C286</f>
        <v>1</v>
      </c>
      <c r="G286" s="10" t="n">
        <f aca="false">IF(AND(C286=0,E286=0),0,IF(C286=0,"New",(E286-C286)/C286))</f>
        <v>-1</v>
      </c>
      <c r="H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11" t="n">
        <f aca="false">I286*$J$5</f>
        <v>0</v>
      </c>
      <c r="K286" s="11" t="n">
        <f aca="false">J286-H286</f>
        <v>9</v>
      </c>
      <c r="L286" s="10" t="n">
        <f aca="false">IF(AND(H286=0,J286=0),0,IF(H286=0,"New",(J286-H286)/H286))</f>
        <v>-1</v>
      </c>
    </row>
    <row r="287" customFormat="false" ht="15" hidden="false" customHeight="true" outlineLevel="0" collapsed="false">
      <c r="A287" s="8" t="s">
        <v>347</v>
      </c>
      <c r="B287" s="8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2" t="n">
        <f aca="false">D287*$J$5</f>
        <v>98.5263157894737</v>
      </c>
      <c r="F287" s="22" t="n">
        <f aca="false">E287-C287</f>
        <v>17.5263157894737</v>
      </c>
      <c r="G287" s="10" t="n">
        <f aca="false">IF(AND(C287=0,E287=0),0,IF(C287=0,"New",(E287-C287)/C287))</f>
        <v>0.216374269005848</v>
      </c>
      <c r="H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11" t="n">
        <f aca="false">I287*$J$5</f>
        <v>2248.29473684211</v>
      </c>
      <c r="K287" s="11" t="n">
        <f aca="false">J287-H287</f>
        <v>465.494736842105</v>
      </c>
      <c r="L287" s="10" t="n">
        <f aca="false">IF(AND(H287=0,J287=0),0,IF(H287=0,"New",(J287-H287)/H287))</f>
        <v>0.261103173009931</v>
      </c>
    </row>
    <row r="288" customFormat="false" ht="15" hidden="false" customHeight="true" outlineLevel="0" collapsed="false">
      <c r="A288" s="8" t="s">
        <v>348</v>
      </c>
      <c r="B288" s="8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2" t="n">
        <f aca="false">D288*$J$5</f>
        <v>1.26315789473684</v>
      </c>
      <c r="F288" s="22" t="n">
        <f aca="false">E288-C288</f>
        <v>0.263157894736842</v>
      </c>
      <c r="G288" s="10" t="n">
        <f aca="false">IF(AND(C288=0,E288=0),0,IF(C288=0,"New",(E288-C288)/C288))</f>
        <v>0.263157894736842</v>
      </c>
      <c r="H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11" t="n">
        <f aca="false">I288*$J$5</f>
        <v>44.3368421052632</v>
      </c>
      <c r="K288" s="11" t="n">
        <f aca="false">J288-H288</f>
        <v>11.3368421052632</v>
      </c>
      <c r="L288" s="10" t="n">
        <f aca="false">IF(AND(H288=0,J288=0),0,IF(H288=0,"New",(J288-H288)/H288))</f>
        <v>0.343540669856459</v>
      </c>
    </row>
    <row r="289" customFormat="false" ht="15" hidden="false" customHeight="true" outlineLevel="0" collapsed="false">
      <c r="A289" s="8" t="s">
        <v>349</v>
      </c>
      <c r="B289" s="8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2" t="n">
        <f aca="false">D289*$J$5</f>
        <v>1.26315789473684</v>
      </c>
      <c r="F289" s="22" t="n">
        <f aca="false">E289-C289</f>
        <v>0.263157894736842</v>
      </c>
      <c r="G289" s="10" t="n">
        <f aca="false">IF(AND(C289=0,E289=0),0,IF(C289=0,"New",(E289-C289)/C289))</f>
        <v>0.263157894736842</v>
      </c>
      <c r="H289" s="11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11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11" t="n">
        <f aca="false">I289*$J$5</f>
        <v>84</v>
      </c>
      <c r="K289" s="11" t="n">
        <f aca="false">J289-H289</f>
        <v>17.5</v>
      </c>
      <c r="L289" s="10" t="n">
        <f aca="false">IF(AND(H289=0,J289=0),0,IF(H289=0,"New",(J289-H289)/H289))</f>
        <v>0.263157894736842</v>
      </c>
    </row>
    <row r="291" customFormat="false" ht="15" hidden="false" customHeight="true" outlineLevel="0" collapsed="false">
      <c r="A291" s="23"/>
      <c r="B291" s="24" t="s">
        <v>350</v>
      </c>
      <c r="C291" s="25" t="n">
        <f aca="false">SUM(C7:C289)</f>
        <v>54177</v>
      </c>
      <c r="D291" s="25" t="n">
        <f aca="false">SUM(D7:D289)</f>
        <v>33487</v>
      </c>
      <c r="E291" s="25" t="n">
        <f aca="false">SUM(E7:E289)</f>
        <v>42299.3684210526</v>
      </c>
      <c r="F291" s="25" t="n">
        <f aca="false">SUM(F7:F289)</f>
        <v>-11877.6315789474</v>
      </c>
      <c r="G291" s="26" t="n">
        <f aca="false">IF(C291=0,"N/A",F291/C291)</f>
        <v>-0.219237528452062</v>
      </c>
      <c r="H291" s="27" t="n">
        <f aca="false">SUM(H7:H289)</f>
        <v>1967633.7</v>
      </c>
      <c r="I291" s="27" t="n">
        <f aca="false">SUM(I7:I289)</f>
        <v>1293807.8</v>
      </c>
      <c r="J291" s="27" t="n">
        <f aca="false">SUM(J7:J289)</f>
        <v>1634283.53684211</v>
      </c>
      <c r="K291" s="27" t="n">
        <f aca="false">SUM(K7:K289)</f>
        <v>-333350.163157895</v>
      </c>
      <c r="L291" s="26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351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6" t="s">
        <v>54</v>
      </c>
      <c r="J4" s="17" t="n">
        <v>12</v>
      </c>
      <c r="K4" s="18" t="s">
        <v>55</v>
      </c>
      <c r="L4" s="17" t="n">
        <v>9.5</v>
      </c>
    </row>
    <row r="5" customFormat="false" ht="21.75" hidden="false" customHeight="true" outlineLevel="0" collapsed="false">
      <c r="I5" s="19" t="s">
        <v>56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1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1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68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2" t="n">
        <f aca="false">D7*$J$5</f>
        <v>1.26315789473684</v>
      </c>
      <c r="F7" s="22" t="n">
        <f aca="false">E7-C7</f>
        <v>-535.736842105263</v>
      </c>
      <c r="G7" s="10" t="n">
        <f aca="false">IF(AND(C7=0,E7=0),0,IF(C7=0,"New",(E7-C7)/C7))</f>
        <v>-0.99764775066157</v>
      </c>
      <c r="H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11" t="n">
        <f aca="false">I7*$J$5</f>
        <v>71.621052631579</v>
      </c>
      <c r="K7" s="11" t="n">
        <f aca="false">J7-H7</f>
        <v>-30459.4789473684</v>
      </c>
      <c r="L7" s="10" t="n">
        <f aca="false">IF(AND(H7=0,J7=0),0,IF(H7=0,"New",(J7-H7)/H7))</f>
        <v>-0.997654160753082</v>
      </c>
    </row>
    <row r="8" customFormat="false" ht="15" hidden="false" customHeight="true" outlineLevel="0" collapsed="false">
      <c r="A8" s="8" t="s">
        <v>80</v>
      </c>
      <c r="B8" s="8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2" t="n">
        <f aca="false">D8*$J$5</f>
        <v>646.736842105263</v>
      </c>
      <c r="F8" s="22" t="n">
        <f aca="false">E8-C8</f>
        <v>-142.263157894737</v>
      </c>
      <c r="G8" s="10" t="n">
        <f aca="false">IF(AND(C8=0,E8=0),0,IF(C8=0,"New",(E8-C8)/C8))</f>
        <v>-0.180308184910947</v>
      </c>
      <c r="H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11" t="n">
        <f aca="false">I8*$J$5</f>
        <v>33990.8210526316</v>
      </c>
      <c r="K8" s="11" t="n">
        <f aca="false">J8-H8</f>
        <v>-7418.37894736842</v>
      </c>
      <c r="L8" s="10" t="n">
        <f aca="false">IF(AND(H8=0,J8=0),0,IF(H8=0,"New",(J8-H8)/H8))</f>
        <v>-0.179148086593521</v>
      </c>
    </row>
    <row r="9" customFormat="false" ht="15" hidden="false" customHeight="true" outlineLevel="0" collapsed="false">
      <c r="A9" s="8" t="s">
        <v>82</v>
      </c>
      <c r="B9" s="8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2" t="n">
        <f aca="false">D9*$J$5</f>
        <v>509.052631578947</v>
      </c>
      <c r="F9" s="22" t="n">
        <f aca="false">E9-C9</f>
        <v>-179.947368421053</v>
      </c>
      <c r="G9" s="10" t="n">
        <f aca="false">IF(AND(C9=0,E9=0),0,IF(C9=0,"New",(E9-C9)/C9))</f>
        <v>-0.261171797418074</v>
      </c>
      <c r="H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11" t="n">
        <f aca="false">I9*$J$5</f>
        <v>20656.6736842105</v>
      </c>
      <c r="K9" s="11" t="n">
        <f aca="false">J9-H9</f>
        <v>-7259.42631578947</v>
      </c>
      <c r="L9" s="10" t="n">
        <f aca="false">IF(AND(H9=0,J9=0),0,IF(H9=0,"New",(J9-H9)/H9))</f>
        <v>-0.260044430124175</v>
      </c>
    </row>
    <row r="10" customFormat="false" ht="15" hidden="false" customHeight="true" outlineLevel="0" collapsed="false">
      <c r="A10" s="8" t="s">
        <v>95</v>
      </c>
      <c r="B10" s="8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2" t="n">
        <f aca="false">D10*$J$5</f>
        <v>928.421052631579</v>
      </c>
      <c r="F10" s="22" t="n">
        <f aca="false">E10-C10</f>
        <v>-412.578947368421</v>
      </c>
      <c r="G10" s="10" t="n">
        <f aca="false">IF(AND(C10=0,E10=0),0,IF(C10=0,"New",(E10-C10)/C10))</f>
        <v>-0.307665135994348</v>
      </c>
      <c r="H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11" t="n">
        <f aca="false">I10*$J$5</f>
        <v>15981.7263157895</v>
      </c>
      <c r="K10" s="11" t="n">
        <f aca="false">J10-H10</f>
        <v>-7480.17368421052</v>
      </c>
      <c r="L10" s="10" t="n">
        <f aca="false">IF(AND(H10=0,J10=0),0,IF(H10=0,"New",(J10-H10)/H10))</f>
        <v>-0.318822162067459</v>
      </c>
    </row>
    <row r="11" customFormat="false" ht="15" hidden="false" customHeight="true" outlineLevel="0" collapsed="false">
      <c r="A11" s="8" t="s">
        <v>76</v>
      </c>
      <c r="B11" s="8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2" t="n">
        <f aca="false">D11*$J$5</f>
        <v>852.631578947368</v>
      </c>
      <c r="F11" s="22" t="n">
        <f aca="false">E11-C11</f>
        <v>-180.368421052632</v>
      </c>
      <c r="G11" s="10" t="n">
        <f aca="false">IF(AND(C11=0,E11=0),0,IF(C11=0,"New",(E11-C11)/C11))</f>
        <v>-0.174606409537882</v>
      </c>
      <c r="H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11" t="n">
        <f aca="false">I11*$J$5</f>
        <v>23699.1157894737</v>
      </c>
      <c r="K11" s="11" t="n">
        <f aca="false">J11-H11</f>
        <v>-5040.28421052632</v>
      </c>
      <c r="L11" s="10" t="n">
        <f aca="false">IF(AND(H11=0,J11=0),0,IF(H11=0,"New",(J11-H11)/H11))</f>
        <v>-0.175378894845624</v>
      </c>
    </row>
    <row r="12" customFormat="false" ht="15" hidden="false" customHeight="true" outlineLevel="0" collapsed="false">
      <c r="A12" s="8" t="s">
        <v>88</v>
      </c>
      <c r="B12" s="8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2" t="n">
        <f aca="false">D12*$J$5</f>
        <v>751.578947368421</v>
      </c>
      <c r="F12" s="22" t="n">
        <f aca="false">E12-C12</f>
        <v>-148.421052631579</v>
      </c>
      <c r="G12" s="10" t="n">
        <f aca="false">IF(AND(C12=0,E12=0),0,IF(C12=0,"New",(E12-C12)/C12))</f>
        <v>-0.164912280701754</v>
      </c>
      <c r="H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11" t="n">
        <f aca="false">I12*$J$5</f>
        <v>20881.0105263158</v>
      </c>
      <c r="K12" s="11" t="n">
        <f aca="false">J12-H12</f>
        <v>-4124.58947368421</v>
      </c>
      <c r="L12" s="10" t="n">
        <f aca="false">IF(AND(H12=0,J12=0),0,IF(H12=0,"New",(J12-H12)/H12))</f>
        <v>-0.164946630902046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2" t="n">
        <f aca="false">D13*$J$5</f>
        <v>655.578947368421</v>
      </c>
      <c r="F13" s="22" t="n">
        <f aca="false">E13-C13</f>
        <v>-151.421052631579</v>
      </c>
      <c r="G13" s="10" t="n">
        <f aca="false">IF(AND(C13=0,E13=0),0,IF(C13=0,"New",(E13-C13)/C13))</f>
        <v>-0.187634513793778</v>
      </c>
      <c r="H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11" t="n">
        <f aca="false">I13*$J$5</f>
        <v>18236.4631578947</v>
      </c>
      <c r="K13" s="11" t="n">
        <f aca="false">J13-H13</f>
        <v>-4203.33684210526</v>
      </c>
      <c r="L13" s="10" t="n">
        <f aca="false">IF(AND(H13=0,J13=0),0,IF(H13=0,"New",(J13-H13)/H13))</f>
        <v>-0.187316145514009</v>
      </c>
    </row>
    <row r="14" customFormat="false" ht="15" hidden="false" customHeight="true" outlineLevel="0" collapsed="false">
      <c r="A14" s="8" t="s">
        <v>67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2" t="n">
        <f aca="false">D14*$J$5</f>
        <v>675.789473684211</v>
      </c>
      <c r="F14" s="22" t="n">
        <f aca="false">E14-C14</f>
        <v>-81.2105263157895</v>
      </c>
      <c r="G14" s="10" t="n">
        <f aca="false">IF(AND(C14=0,E14=0),0,IF(C14=0,"New",(E14-C14)/C14))</f>
        <v>-0.107279427101439</v>
      </c>
      <c r="H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11" t="n">
        <f aca="false">I14*$J$5</f>
        <v>23840.9684210526</v>
      </c>
      <c r="K14" s="11" t="n">
        <f aca="false">J14-H14</f>
        <v>-2871.13157894737</v>
      </c>
      <c r="L14" s="10" t="n">
        <f aca="false">IF(AND(H14=0,J14=0),0,IF(H14=0,"New",(J14-H14)/H14))</f>
        <v>-0.107484307821076</v>
      </c>
    </row>
    <row r="15" customFormat="false" ht="15" hidden="false" customHeight="true" outlineLevel="0" collapsed="false">
      <c r="A15" s="8" t="s">
        <v>215</v>
      </c>
      <c r="B15" s="8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2" t="n">
        <f aca="false">D15*$J$5</f>
        <v>290.526315789474</v>
      </c>
      <c r="F15" s="22" t="n">
        <f aca="false">E15-C15</f>
        <v>106.526315789474</v>
      </c>
      <c r="G15" s="10" t="n">
        <f aca="false">IF(AND(C15=0,E15=0),0,IF(C15=0,"New",(E15-C15)/C15))</f>
        <v>0.578947368421052</v>
      </c>
      <c r="H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11" t="n">
        <f aca="false">I15*$J$5</f>
        <v>42289.2631578947</v>
      </c>
      <c r="K15" s="11" t="n">
        <f aca="false">J15-H15</f>
        <v>16005.3631578947</v>
      </c>
      <c r="L15" s="10" t="n">
        <f aca="false">IF(AND(H15=0,J15=0),0,IF(H15=0,"New",(J15-H15)/H15))</f>
        <v>0.608941715570929</v>
      </c>
    </row>
    <row r="16" customFormat="false" ht="15" hidden="false" customHeight="true" outlineLevel="0" collapsed="false">
      <c r="A16" s="8" t="s">
        <v>103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2" t="n">
        <f aca="false">D16*$J$5</f>
        <v>819.789473684211</v>
      </c>
      <c r="F16" s="22" t="n">
        <f aca="false">E16-C16</f>
        <v>-33.2105263157895</v>
      </c>
      <c r="G16" s="10" t="n">
        <f aca="false">IF(AND(C16=0,E16=0),0,IF(C16=0,"New",(E16-C16)/C16))</f>
        <v>-0.0389337940396125</v>
      </c>
      <c r="H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11" t="n">
        <f aca="false">I16*$J$5</f>
        <v>27484.8</v>
      </c>
      <c r="K16" s="11" t="n">
        <f aca="false">J16-H16</f>
        <v>-1151.1</v>
      </c>
      <c r="L16" s="10" t="n">
        <f aca="false">IF(AND(H16=0,J16=0),0,IF(H16=0,"New",(J16-H16)/H16))</f>
        <v>-0.0401977936785644</v>
      </c>
    </row>
    <row r="17" customFormat="false" ht="15" hidden="false" customHeight="true" outlineLevel="0" collapsed="false">
      <c r="A17" s="8" t="s">
        <v>139</v>
      </c>
      <c r="B17" s="8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2" t="n">
        <f aca="false">D17*$J$5</f>
        <v>69.4736842105263</v>
      </c>
      <c r="F17" s="22" t="n">
        <f aca="false">E17-C17</f>
        <v>55.4736842105263</v>
      </c>
      <c r="G17" s="10" t="n">
        <f aca="false">IF(AND(C17=0,E17=0),0,IF(C17=0,"New",(E17-C17)/C17))</f>
        <v>3.96240601503759</v>
      </c>
      <c r="H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11" t="n">
        <f aca="false">I17*$J$5</f>
        <v>9431.87368421053</v>
      </c>
      <c r="K17" s="11" t="n">
        <f aca="false">J17-H17</f>
        <v>7860.17368421053</v>
      </c>
      <c r="L17" s="10" t="n">
        <f aca="false">IF(AND(H17=0,J17=0),0,IF(H17=0,"New",(J17-H17)/H17))</f>
        <v>5.00106488783517</v>
      </c>
    </row>
    <row r="18" customFormat="false" ht="15" hidden="false" customHeight="true" outlineLevel="0" collapsed="false">
      <c r="A18" s="8" t="s">
        <v>118</v>
      </c>
      <c r="B18" s="8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2" t="n">
        <f aca="false">D18*$J$5</f>
        <v>357.473684210526</v>
      </c>
      <c r="F18" s="22" t="n">
        <f aca="false">E18-C18</f>
        <v>-439.526315789474</v>
      </c>
      <c r="G18" s="10" t="n">
        <f aca="false">IF(AND(C18=0,E18=0),0,IF(C18=0,"New",(E18-C18)/C18))</f>
        <v>-0.551475929472364</v>
      </c>
      <c r="H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11" t="n">
        <f aca="false">I18*$J$5</f>
        <v>3925.01052631579</v>
      </c>
      <c r="K18" s="11" t="n">
        <f aca="false">J18-H18</f>
        <v>-4833.18947368421</v>
      </c>
      <c r="L18" s="10" t="n">
        <f aca="false">IF(AND(H18=0,J18=0),0,IF(H18=0,"New",(J18-H18)/H18))</f>
        <v>-0.551847351474528</v>
      </c>
    </row>
    <row r="19" customFormat="false" ht="15" hidden="false" customHeight="true" outlineLevel="0" collapsed="false">
      <c r="A19" s="8" t="s">
        <v>104</v>
      </c>
      <c r="B19" s="8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2" t="n">
        <f aca="false">D19*$J$5</f>
        <v>649.263157894737</v>
      </c>
      <c r="F19" s="22" t="n">
        <f aca="false">E19-C19</f>
        <v>-278.736842105263</v>
      </c>
      <c r="G19" s="10" t="n">
        <f aca="false">IF(AND(C19=0,E19=0),0,IF(C19=0,"New",(E19-C19)/C19))</f>
        <v>-0.300362976406534</v>
      </c>
      <c r="H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11" t="n">
        <f aca="false">I19*$J$5</f>
        <v>8539.2</v>
      </c>
      <c r="K19" s="11" t="n">
        <f aca="false">J19-H19</f>
        <v>-3665.9</v>
      </c>
      <c r="L19" s="10" t="n">
        <f aca="false">IF(AND(H19=0,J19=0),0,IF(H19=0,"New",(J19-H19)/H19))</f>
        <v>-0.300358047045907</v>
      </c>
    </row>
    <row r="20" customFormat="false" ht="15" hidden="false" customHeight="true" outlineLevel="0" collapsed="false">
      <c r="A20" s="8" t="s">
        <v>83</v>
      </c>
      <c r="B20" s="8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2" t="n">
        <f aca="false">D20*$J$5</f>
        <v>923.368421052632</v>
      </c>
      <c r="F20" s="22" t="n">
        <f aca="false">E20-C20</f>
        <v>-0.631578947368439</v>
      </c>
      <c r="G20" s="10" t="n">
        <f aca="false">IF(AND(C20=0,E20=0),0,IF(C20=0,"New",(E20-C20)/C20))</f>
        <v>-0.000683526999316493</v>
      </c>
      <c r="H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11" t="n">
        <f aca="false">I20*$J$5</f>
        <v>25675.2</v>
      </c>
      <c r="K20" s="11" t="n">
        <f aca="false">J20-H20</f>
        <v>-10.7000000000044</v>
      </c>
      <c r="L20" s="10" t="n">
        <f aca="false">IF(AND(H20=0,J20=0),0,IF(H20=0,"New",(J20-H20)/H20))</f>
        <v>-0.000416570959164536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2" t="n">
        <f aca="false">D21*$J$5</f>
        <v>324.631578947368</v>
      </c>
      <c r="F21" s="22" t="n">
        <f aca="false">E21-C21</f>
        <v>-61.3684210526316</v>
      </c>
      <c r="G21" s="10" t="n">
        <f aca="false">IF(AND(C21=0,E21=0),0,IF(C21=0,"New",(E21-C21)/C21))</f>
        <v>-0.158985546768476</v>
      </c>
      <c r="H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11" t="n">
        <f aca="false">I21*$J$5</f>
        <v>12903.6631578947</v>
      </c>
      <c r="K21" s="11" t="n">
        <f aca="false">J21-H21</f>
        <v>-2436.23684210526</v>
      </c>
      <c r="L21" s="10" t="n">
        <f aca="false">IF(AND(H21=0,J21=0),0,IF(H21=0,"New",(J21-H21)/H21))</f>
        <v>-0.158816996336695</v>
      </c>
    </row>
    <row r="22" customFormat="false" ht="15" hidden="false" customHeight="true" outlineLevel="0" collapsed="false">
      <c r="A22" s="8" t="s">
        <v>86</v>
      </c>
      <c r="B22" s="8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2" t="n">
        <f aca="false">D22*$J$5</f>
        <v>779.368421052632</v>
      </c>
      <c r="F22" s="22" t="n">
        <f aca="false">E22-C22</f>
        <v>-105.631578947368</v>
      </c>
      <c r="G22" s="10" t="n">
        <f aca="false">IF(AND(C22=0,E22=0),0,IF(C22=0,"New",(E22-C22)/C22))</f>
        <v>-0.11935771632471</v>
      </c>
      <c r="H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11" t="n">
        <f aca="false">I22*$J$5</f>
        <v>13124.8421052632</v>
      </c>
      <c r="K22" s="11" t="n">
        <f aca="false">J22-H22</f>
        <v>-1794.05789473684</v>
      </c>
      <c r="L22" s="10" t="n">
        <f aca="false">IF(AND(H22=0,J22=0),0,IF(H22=0,"New",(J22-H22)/H22))</f>
        <v>-0.120254033121533</v>
      </c>
    </row>
    <row r="23" customFormat="false" ht="15" hidden="false" customHeight="true" outlineLevel="0" collapsed="false">
      <c r="A23" s="8" t="s">
        <v>75</v>
      </c>
      <c r="B23" s="8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2" t="n">
        <f aca="false">D23*$J$5</f>
        <v>332.21052631579</v>
      </c>
      <c r="F23" s="22" t="n">
        <f aca="false">E23-C23</f>
        <v>-54.7894736842105</v>
      </c>
      <c r="G23" s="10" t="n">
        <f aca="false">IF(AND(C23=0,E23=0),0,IF(C23=0,"New",(E23-C23)/C23))</f>
        <v>-0.141574867401061</v>
      </c>
      <c r="H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11" t="n">
        <f aca="false">I23*$J$5</f>
        <v>10742.4</v>
      </c>
      <c r="K23" s="11" t="n">
        <f aca="false">J23-H23</f>
        <v>-1615.4</v>
      </c>
      <c r="L23" s="10" t="n">
        <f aca="false">IF(AND(H23=0,J23=0),0,IF(H23=0,"New",(J23-H23)/H23))</f>
        <v>-0.130719060026866</v>
      </c>
    </row>
    <row r="24" customFormat="false" ht="15" hidden="false" customHeight="true" outlineLevel="0" collapsed="false">
      <c r="A24" s="8" t="s">
        <v>70</v>
      </c>
      <c r="B24" s="8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2" t="n">
        <f aca="false">D24*$J$5</f>
        <v>282.947368421053</v>
      </c>
      <c r="F24" s="22" t="n">
        <f aca="false">E24-C24</f>
        <v>-3.0526315789474</v>
      </c>
      <c r="G24" s="10" t="n">
        <f aca="false">IF(AND(C24=0,E24=0),0,IF(C24=0,"New",(E24-C24)/C24))</f>
        <v>-0.0106735369893266</v>
      </c>
      <c r="H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11" t="n">
        <f aca="false">I24*$J$5</f>
        <v>18495.7894736842</v>
      </c>
      <c r="K24" s="11" t="n">
        <f aca="false">J24-H24</f>
        <v>43.3894736842121</v>
      </c>
      <c r="L24" s="10" t="n">
        <f aca="false">IF(AND(H24=0,J24=0),0,IF(H24=0,"New",(J24-H24)/H24))</f>
        <v>0.00235142711431641</v>
      </c>
    </row>
    <row r="25" customFormat="false" ht="15" hidden="false" customHeight="true" outlineLevel="0" collapsed="false">
      <c r="A25" s="8" t="s">
        <v>106</v>
      </c>
      <c r="B25" s="8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2" t="n">
        <f aca="false">D25*$J$5</f>
        <v>218.526315789474</v>
      </c>
      <c r="F25" s="22" t="n">
        <f aca="false">E25-C25</f>
        <v>-37.4736842105263</v>
      </c>
      <c r="G25" s="10" t="n">
        <f aca="false">IF(AND(C25=0,E25=0),0,IF(C25=0,"New",(E25-C25)/C25))</f>
        <v>-0.146381578947368</v>
      </c>
      <c r="H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11" t="n">
        <f aca="false">I25*$J$5</f>
        <v>9632.58947368421</v>
      </c>
      <c r="K25" s="11" t="n">
        <f aca="false">J25-H25</f>
        <v>-1651.81052631579</v>
      </c>
      <c r="L25" s="10" t="n">
        <f aca="false">IF(AND(H25=0,J25=0),0,IF(H25=0,"New",(J25-H25)/H25))</f>
        <v>-0.146380004813352</v>
      </c>
    </row>
    <row r="26" customFormat="false" ht="15" hidden="false" customHeight="true" outlineLevel="0" collapsed="false">
      <c r="A26" s="8" t="s">
        <v>100</v>
      </c>
      <c r="B26" s="8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2" t="n">
        <f aca="false">D26*$J$5</f>
        <v>49.2631578947368</v>
      </c>
      <c r="F26" s="22" t="n">
        <f aca="false">E26-C26</f>
        <v>-33.7368421052632</v>
      </c>
      <c r="G26" s="10" t="n">
        <f aca="false">IF(AND(C26=0,E26=0),0,IF(C26=0,"New",(E26-C26)/C26))</f>
        <v>-0.406467977171845</v>
      </c>
      <c r="H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11" t="n">
        <f aca="false">I26*$J$5</f>
        <v>3376.67368421053</v>
      </c>
      <c r="K26" s="11" t="n">
        <f aca="false">J26-H26</f>
        <v>-2374.02631578947</v>
      </c>
      <c r="L26" s="10" t="n">
        <f aca="false">IF(AND(H26=0,J26=0),0,IF(H26=0,"New",(J26-H26)/H26))</f>
        <v>-0.412823885055641</v>
      </c>
    </row>
    <row r="27" customFormat="false" ht="15" hidden="false" customHeight="true" outlineLevel="0" collapsed="false">
      <c r="A27" s="8" t="s">
        <v>147</v>
      </c>
      <c r="B27" s="8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2" t="n">
        <f aca="false">D27*$J$5</f>
        <v>-11.3684210526316</v>
      </c>
      <c r="F27" s="22" t="n">
        <f aca="false">E27-C27</f>
        <v>-50.3684210526316</v>
      </c>
      <c r="G27" s="10" t="n">
        <f aca="false">IF(AND(C27=0,E27=0),0,IF(C27=0,"New",(E27-C27)/C27))</f>
        <v>-1.2914979757085</v>
      </c>
      <c r="H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11" t="n">
        <f aca="false">I27*$J$5</f>
        <v>-701.81052631579</v>
      </c>
      <c r="K27" s="11" t="n">
        <f aca="false">J27-H27</f>
        <v>-3007.91052631579</v>
      </c>
      <c r="L27" s="10" t="n">
        <f aca="false">IF(AND(H27=0,J27=0),0,IF(H27=0,"New",(J27-H27)/H27))</f>
        <v>-1.30432788097471</v>
      </c>
    </row>
    <row r="28" customFormat="false" ht="15" hidden="false" customHeight="true" outlineLevel="0" collapsed="false">
      <c r="A28" s="8" t="s">
        <v>97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2" t="n">
        <f aca="false">D28*$J$5</f>
        <v>246.315789473684</v>
      </c>
      <c r="F28" s="22" t="n">
        <f aca="false">E28-C28</f>
        <v>19.3157894736842</v>
      </c>
      <c r="G28" s="10" t="n">
        <f aca="false">IF(AND(C28=0,E28=0),0,IF(C28=0,"New",(E28-C28)/C28))</f>
        <v>0.0850915835845119</v>
      </c>
      <c r="H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11" t="n">
        <f aca="false">I28*$J$5</f>
        <v>23900.0842105263</v>
      </c>
      <c r="K28" s="11" t="n">
        <f aca="false">J28-H28</f>
        <v>2193.08421052631</v>
      </c>
      <c r="L28" s="10" t="n">
        <f aca="false">IF(AND(H28=0,J28=0),0,IF(H28=0,"New",(J28-H28)/H28))</f>
        <v>0.101031197794551</v>
      </c>
    </row>
    <row r="29" customFormat="false" ht="15" hidden="false" customHeight="true" outlineLevel="0" collapsed="false">
      <c r="A29" s="8" t="s">
        <v>197</v>
      </c>
      <c r="B29" s="8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2" t="n">
        <f aca="false">D29*$J$5</f>
        <v>-7.57894736842105</v>
      </c>
      <c r="F29" s="22" t="n">
        <f aca="false">E29-C29</f>
        <v>-38.5789473684211</v>
      </c>
      <c r="G29" s="10" t="n">
        <f aca="false">IF(AND(C29=0,E29=0),0,IF(C29=0,"New",(E29-C29)/C29))</f>
        <v>-1.24448217317487</v>
      </c>
      <c r="H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11" t="n">
        <f aca="false">I29*$J$5</f>
        <v>-568.168421052632</v>
      </c>
      <c r="K29" s="11" t="n">
        <f aca="false">J29-H29</f>
        <v>-2875.86842105263</v>
      </c>
      <c r="L29" s="10" t="n">
        <f aca="false">IF(AND(H29=0,J29=0),0,IF(H29=0,"New",(J29-H29)/H29))</f>
        <v>-1.24620549510449</v>
      </c>
    </row>
    <row r="30" customFormat="false" ht="15" hidden="false" customHeight="true" outlineLevel="0" collapsed="false">
      <c r="A30" s="8" t="s">
        <v>116</v>
      </c>
      <c r="B30" s="8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2" t="n">
        <f aca="false">D30*$J$5</f>
        <v>88.421052631579</v>
      </c>
      <c r="F30" s="22" t="n">
        <f aca="false">E30-C30</f>
        <v>-53.5789473684211</v>
      </c>
      <c r="G30" s="10" t="n">
        <f aca="false">IF(AND(C30=0,E30=0),0,IF(C30=0,"New",(E30-C30)/C30))</f>
        <v>-0.377316530763529</v>
      </c>
      <c r="H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11" t="n">
        <f aca="false">I30*$J$5</f>
        <v>3306.94736842105</v>
      </c>
      <c r="K30" s="11" t="n">
        <f aca="false">J30-H30</f>
        <v>-2019.85263157895</v>
      </c>
      <c r="L30" s="10" t="n">
        <f aca="false">IF(AND(H30=0,J30=0),0,IF(H30=0,"New",(J30-H30)/H30))</f>
        <v>-0.379186872339669</v>
      </c>
    </row>
    <row r="31" customFormat="false" ht="15" hidden="false" customHeight="true" outlineLevel="0" collapsed="false">
      <c r="A31" s="8" t="s">
        <v>77</v>
      </c>
      <c r="B31" s="8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2" t="n">
        <f aca="false">D31*$J$5</f>
        <v>418.105263157895</v>
      </c>
      <c r="F31" s="22" t="n">
        <f aca="false">E31-C31</f>
        <v>51.1052631578947</v>
      </c>
      <c r="G31" s="10" t="n">
        <f aca="false">IF(AND(C31=0,E31=0),0,IF(C31=0,"New",(E31-C31)/C31))</f>
        <v>0.139251398250394</v>
      </c>
      <c r="H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11" t="n">
        <f aca="false">I31*$J$5</f>
        <v>30421.3894736842</v>
      </c>
      <c r="K31" s="11" t="n">
        <f aca="false">J31-H31</f>
        <v>3718.48947368421</v>
      </c>
      <c r="L31" s="10" t="n">
        <f aca="false">IF(AND(H31=0,J31=0),0,IF(H31=0,"New",(J31-H31)/H31))</f>
        <v>0.139254143695412</v>
      </c>
    </row>
    <row r="32" customFormat="false" ht="15" hidden="false" customHeight="true" outlineLevel="0" collapsed="false">
      <c r="A32" s="8" t="s">
        <v>121</v>
      </c>
      <c r="B32" s="8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2" t="n">
        <f aca="false">D32*$J$5</f>
        <v>464.842105263158</v>
      </c>
      <c r="F32" s="22" t="n">
        <f aca="false">E32-C32</f>
        <v>-97.1578947368421</v>
      </c>
      <c r="G32" s="10" t="n">
        <f aca="false">IF(AND(C32=0,E32=0),0,IF(C32=0,"New",(E32-C32)/C32))</f>
        <v>-0.172878816257726</v>
      </c>
      <c r="H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11" t="n">
        <f aca="false">I32*$J$5</f>
        <v>6201.09473684211</v>
      </c>
      <c r="K32" s="11" t="n">
        <f aca="false">J32-H32</f>
        <v>-1296.30526315789</v>
      </c>
      <c r="L32" s="10" t="n">
        <f aca="false">IF(AND(H32=0,J32=0),0,IF(H32=0,"New",(J32-H32)/H32))</f>
        <v>-0.172900640643142</v>
      </c>
    </row>
    <row r="33" customFormat="false" ht="15" hidden="false" customHeight="true" outlineLevel="0" collapsed="false">
      <c r="A33" s="8" t="s">
        <v>120</v>
      </c>
      <c r="B33" s="8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2" t="n">
        <f aca="false">D33*$J$5</f>
        <v>228.631578947368</v>
      </c>
      <c r="F33" s="22" t="n">
        <f aca="false">E33-C33</f>
        <v>-73.3684210526316</v>
      </c>
      <c r="G33" s="10" t="n">
        <f aca="false">IF(AND(C33=0,E33=0),0,IF(C33=0,"New",(E33-C33)/C33))</f>
        <v>-0.242941791565005</v>
      </c>
      <c r="H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11" t="n">
        <f aca="false">I33*$J$5</f>
        <v>4817.55789473684</v>
      </c>
      <c r="K33" s="11" t="n">
        <f aca="false">J33-H33</f>
        <v>-1571.64210526316</v>
      </c>
      <c r="L33" s="10" t="n">
        <f aca="false">IF(AND(H33=0,J33=0),0,IF(H33=0,"New",(J33-H33)/H33))</f>
        <v>-0.245984177246472</v>
      </c>
    </row>
    <row r="34" customFormat="false" ht="15" hidden="false" customHeight="true" outlineLevel="0" collapsed="false">
      <c r="A34" s="8" t="s">
        <v>150</v>
      </c>
      <c r="B34" s="8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2" t="n">
        <f aca="false">D34*$J$5</f>
        <v>31.5789473684211</v>
      </c>
      <c r="F34" s="22" t="n">
        <f aca="false">E34-C34</f>
        <v>-118.421052631579</v>
      </c>
      <c r="G34" s="10" t="n">
        <f aca="false">IF(AND(C34=0,E34=0),0,IF(C34=0,"New",(E34-C34)/C34))</f>
        <v>-0.789473684210526</v>
      </c>
      <c r="H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11" t="n">
        <f aca="false">I34*$J$5</f>
        <v>623.494736842105</v>
      </c>
      <c r="K34" s="11" t="n">
        <f aca="false">J34-H34</f>
        <v>-2346.60526315789</v>
      </c>
      <c r="L34" s="10" t="n">
        <f aca="false">IF(AND(H34=0,J34=0),0,IF(H34=0,"New",(J34-H34)/H34))</f>
        <v>-0.790076180316452</v>
      </c>
    </row>
    <row r="35" customFormat="false" ht="15" hidden="false" customHeight="true" outlineLevel="0" collapsed="false">
      <c r="A35" s="8" t="s">
        <v>255</v>
      </c>
      <c r="B35" s="8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2" t="n">
        <f aca="false">D35*$J$5</f>
        <v>3.78947368421053</v>
      </c>
      <c r="F35" s="22" t="n">
        <f aca="false">E35-C35</f>
        <v>-19.2105263157895</v>
      </c>
      <c r="G35" s="10" t="n">
        <f aca="false">IF(AND(C35=0,E35=0),0,IF(C35=0,"New",(E35-C35)/C35))</f>
        <v>-0.835240274599542</v>
      </c>
      <c r="H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11" t="n">
        <f aca="false">I35*$J$5</f>
        <v>449.557894736842</v>
      </c>
      <c r="K35" s="11" t="n">
        <f aca="false">J35-H35</f>
        <v>-2279.14210526316</v>
      </c>
      <c r="L35" s="10" t="n">
        <f aca="false">IF(AND(H35=0,J35=0),0,IF(H35=0,"New",(J35-H35)/H35))</f>
        <v>-0.835248325306248</v>
      </c>
    </row>
    <row r="36" customFormat="false" ht="15" hidden="false" customHeight="true" outlineLevel="0" collapsed="false">
      <c r="A36" s="8" t="s">
        <v>148</v>
      </c>
      <c r="B36" s="8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2" t="n">
        <f aca="false">D36*$J$5</f>
        <v>222.315789473684</v>
      </c>
      <c r="F36" s="22" t="n">
        <f aca="false">E36-C36</f>
        <v>-136.684210526316</v>
      </c>
      <c r="G36" s="10" t="n">
        <f aca="false">IF(AND(C36=0,E36=0),0,IF(C36=0,"New",(E36-C36)/C36))</f>
        <v>-0.380735962468846</v>
      </c>
      <c r="H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11" t="n">
        <f aca="false">I36*$J$5</f>
        <v>2738.77894736842</v>
      </c>
      <c r="K36" s="11" t="n">
        <f aca="false">J36-H36</f>
        <v>-1765.62105263158</v>
      </c>
      <c r="L36" s="10" t="n">
        <f aca="false">IF(AND(H36=0,J36=0),0,IF(H36=0,"New",(J36-H36)/H36))</f>
        <v>-0.391976967549858</v>
      </c>
    </row>
    <row r="37" customFormat="false" ht="15" hidden="false" customHeight="true" outlineLevel="0" collapsed="false">
      <c r="A37" s="8" t="s">
        <v>176</v>
      </c>
      <c r="B37" s="8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2" t="n">
        <f aca="false">D37*$J$5</f>
        <v>0</v>
      </c>
      <c r="F37" s="22" t="n">
        <f aca="false">E37-C37</f>
        <v>-43</v>
      </c>
      <c r="G37" s="10" t="n">
        <f aca="false">IF(AND(C37=0,E37=0),0,IF(C37=0,"New",(E37-C37)/C37))</f>
        <v>-1</v>
      </c>
      <c r="H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11" t="n">
        <f aca="false">I37*$J$5</f>
        <v>0</v>
      </c>
      <c r="K37" s="11" t="n">
        <f aca="false">J37-H37</f>
        <v>-2251.3</v>
      </c>
      <c r="L37" s="10" t="n">
        <f aca="false">IF(AND(H37=0,J37=0),0,IF(H37=0,"New",(J37-H37)/H37))</f>
        <v>-1</v>
      </c>
    </row>
    <row r="38" customFormat="false" ht="15" hidden="false" customHeight="true" outlineLevel="0" collapsed="false">
      <c r="A38" s="8" t="s">
        <v>78</v>
      </c>
      <c r="B38" s="8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2" t="n">
        <f aca="false">D38*$J$5</f>
        <v>228.631578947368</v>
      </c>
      <c r="F38" s="22" t="n">
        <f aca="false">E38-C38</f>
        <v>21.6315789473684</v>
      </c>
      <c r="G38" s="10" t="n">
        <f aca="false">IF(AND(C38=0,E38=0),0,IF(C38=0,"New",(E38-C38)/C38))</f>
        <v>0.104500381388253</v>
      </c>
      <c r="H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11" t="n">
        <f aca="false">I38*$J$5</f>
        <v>20165.3052631579</v>
      </c>
      <c r="K38" s="11" t="n">
        <f aca="false">J38-H38</f>
        <v>2021.3052631579</v>
      </c>
      <c r="L38" s="10" t="n">
        <f aca="false">IF(AND(H38=0,J38=0),0,IF(H38=0,"New",(J38-H38)/H38))</f>
        <v>0.11140350877193</v>
      </c>
    </row>
    <row r="39" customFormat="false" ht="15" hidden="false" customHeight="true" outlineLevel="0" collapsed="false">
      <c r="A39" s="8" t="s">
        <v>175</v>
      </c>
      <c r="B39" s="8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2" t="n">
        <f aca="false">D39*$J$5</f>
        <v>37.8947368421053</v>
      </c>
      <c r="F39" s="22" t="n">
        <f aca="false">E39-C39</f>
        <v>-60.1052631578947</v>
      </c>
      <c r="G39" s="10" t="n">
        <f aca="false">IF(AND(C39=0,E39=0),0,IF(C39=0,"New",(E39-C39)/C39))</f>
        <v>-0.613319011815253</v>
      </c>
      <c r="H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11" t="n">
        <f aca="false">I39*$J$5</f>
        <v>1107.91578947368</v>
      </c>
      <c r="K39" s="11" t="n">
        <f aca="false">J39-H39</f>
        <v>-1941.78421052632</v>
      </c>
      <c r="L39" s="10" t="n">
        <f aca="false">IF(AND(H39=0,J39=0),0,IF(H39=0,"New",(J39-H39)/H39))</f>
        <v>-0.636713188355024</v>
      </c>
    </row>
    <row r="40" customFormat="false" ht="15" hidden="false" customHeight="true" outlineLevel="0" collapsed="false">
      <c r="A40" s="8" t="s">
        <v>156</v>
      </c>
      <c r="B40" s="8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2" t="n">
        <f aca="false">D40*$J$5</f>
        <v>50.5263157894737</v>
      </c>
      <c r="F40" s="22" t="n">
        <f aca="false">E40-C40</f>
        <v>-97.4736842105263</v>
      </c>
      <c r="G40" s="10" t="n">
        <f aca="false">IF(AND(C40=0,E40=0),0,IF(C40=0,"New",(E40-C40)/C40))</f>
        <v>-0.658605974395448</v>
      </c>
      <c r="H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11" t="n">
        <f aca="false">I40*$J$5</f>
        <v>968.58947368421</v>
      </c>
      <c r="K40" s="11" t="n">
        <f aca="false">J40-H40</f>
        <v>-1868.61052631579</v>
      </c>
      <c r="L40" s="10" t="n">
        <f aca="false">IF(AND(H40=0,J40=0),0,IF(H40=0,"New",(J40-H40)/H40))</f>
        <v>-0.658610787507328</v>
      </c>
    </row>
    <row r="41" customFormat="false" ht="15" hidden="false" customHeight="true" outlineLevel="0" collapsed="false">
      <c r="A41" s="8" t="s">
        <v>169</v>
      </c>
      <c r="B41" s="8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2" t="n">
        <f aca="false">D41*$J$5</f>
        <v>130.105263157895</v>
      </c>
      <c r="F41" s="22" t="n">
        <f aca="false">E41-C41</f>
        <v>-65.8947368421053</v>
      </c>
      <c r="G41" s="10" t="n">
        <f aca="false">IF(AND(C41=0,E41=0),0,IF(C41=0,"New",(E41-C41)/C41))</f>
        <v>-0.336197636949517</v>
      </c>
      <c r="H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11" t="n">
        <f aca="false">I41*$J$5</f>
        <v>2845.89473684211</v>
      </c>
      <c r="K41" s="11" t="n">
        <f aca="false">J41-H41</f>
        <v>-1441.4052631579</v>
      </c>
      <c r="L41" s="10" t="n">
        <f aca="false">IF(AND(H41=0,J41=0),0,IF(H41=0,"New",(J41-H41)/H41))</f>
        <v>-0.336203499442049</v>
      </c>
    </row>
    <row r="42" customFormat="false" ht="15" hidden="false" customHeight="true" outlineLevel="0" collapsed="false">
      <c r="A42" s="8" t="s">
        <v>182</v>
      </c>
      <c r="B42" s="8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2" t="n">
        <f aca="false">D42*$J$5</f>
        <v>593.684210526316</v>
      </c>
      <c r="F42" s="22" t="n">
        <f aca="false">E42-C42</f>
        <v>-2.31578947368428</v>
      </c>
      <c r="G42" s="10" t="n">
        <f aca="false">IF(AND(C42=0,E42=0),0,IF(C42=0,"New",(E42-C42)/C42))</f>
        <v>-0.00388555280819509</v>
      </c>
      <c r="H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11" t="n">
        <f aca="false">I42*$J$5</f>
        <v>9142.73684210526</v>
      </c>
      <c r="K42" s="11" t="n">
        <f aca="false">J42-H42</f>
        <v>-35.6631578947363</v>
      </c>
      <c r="L42" s="10" t="n">
        <f aca="false">IF(AND(H42=0,J42=0),0,IF(H42=0,"New",(J42-H42)/H42))</f>
        <v>-0.00388555280819492</v>
      </c>
    </row>
    <row r="43" customFormat="false" ht="15" hidden="false" customHeight="true" outlineLevel="0" collapsed="false">
      <c r="A43" s="8" t="s">
        <v>338</v>
      </c>
      <c r="B43" s="8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2" t="n">
        <f aca="false">D43*$J$5</f>
        <v>74.5263157894737</v>
      </c>
      <c r="F43" s="22" t="n">
        <f aca="false">E43-C43</f>
        <v>-3.47368421052632</v>
      </c>
      <c r="G43" s="10" t="n">
        <f aca="false">IF(AND(C43=0,E43=0),0,IF(C43=0,"New",(E43-C43)/C43))</f>
        <v>-0.0445344129554656</v>
      </c>
      <c r="H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11" t="n">
        <f aca="false">I43*$J$5</f>
        <v>7395.28421052632</v>
      </c>
      <c r="K43" s="11" t="n">
        <f aca="false">J43-H43</f>
        <v>-344.715789473685</v>
      </c>
      <c r="L43" s="10" t="n">
        <f aca="false">IF(AND(H43=0,J43=0),0,IF(H43=0,"New",(J43-H43)/H43))</f>
        <v>-0.0445369237046104</v>
      </c>
    </row>
    <row r="44" customFormat="false" ht="15" hidden="false" customHeight="true" outlineLevel="0" collapsed="false">
      <c r="A44" s="8" t="s">
        <v>125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2" t="n">
        <f aca="false">D44*$J$5</f>
        <v>337.263157894737</v>
      </c>
      <c r="F44" s="22" t="n">
        <f aca="false">E44-C44</f>
        <v>3.26315789473682</v>
      </c>
      <c r="G44" s="10" t="n">
        <f aca="false">IF(AND(C44=0,E44=0),0,IF(C44=0,"New",(E44-C44)/C44))</f>
        <v>0.00976993381657731</v>
      </c>
      <c r="H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11" t="n">
        <f aca="false">I44*$J$5</f>
        <v>9372.5052631579</v>
      </c>
      <c r="K44" s="11" t="n">
        <f aca="false">J44-H44</f>
        <v>80.8052631578939</v>
      </c>
      <c r="L44" s="10" t="n">
        <f aca="false">IF(AND(H44=0,J44=0),0,IF(H44=0,"New",(J44-H44)/H44))</f>
        <v>0.00869649936587427</v>
      </c>
    </row>
    <row r="45" customFormat="false" ht="15" hidden="false" customHeight="true" outlineLevel="0" collapsed="false">
      <c r="A45" s="8" t="s">
        <v>119</v>
      </c>
      <c r="B45" s="8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2" t="n">
        <f aca="false">D45*$J$5</f>
        <v>660.631578947368</v>
      </c>
      <c r="F45" s="22" t="n">
        <f aca="false">E45-C45</f>
        <v>-1.36842105263156</v>
      </c>
      <c r="G45" s="10" t="n">
        <f aca="false">IF(AND(C45=0,E45=0),0,IF(C45=0,"New",(E45-C45)/C45))</f>
        <v>-0.00206710128796308</v>
      </c>
      <c r="H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11" t="n">
        <f aca="false">I45*$J$5</f>
        <v>8956.67368421053</v>
      </c>
      <c r="K45" s="11" t="n">
        <f aca="false">J45-H45</f>
        <v>-0.626315789473665</v>
      </c>
      <c r="L45" s="10" t="n">
        <f aca="false">IF(AND(H45=0,J45=0),0,IF(H45=0,"New",(J45-H45)/H45))</f>
        <v>-6.99223861513698E-005</v>
      </c>
    </row>
    <row r="46" customFormat="false" ht="15" hidden="false" customHeight="true" outlineLevel="0" collapsed="false">
      <c r="A46" s="8" t="s">
        <v>228</v>
      </c>
      <c r="B46" s="8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2" t="n">
        <f aca="false">D46*$J$5</f>
        <v>24</v>
      </c>
      <c r="F46" s="22" t="n">
        <f aca="false">E46-C46</f>
        <v>28</v>
      </c>
      <c r="G46" s="10" t="n">
        <f aca="false">IF(AND(C46=0,E46=0),0,IF(C46=0,"New",(E46-C46)/C46))</f>
        <v>-7</v>
      </c>
      <c r="H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11" t="n">
        <f aca="false">I46*$J$5</f>
        <v>1788</v>
      </c>
      <c r="K46" s="11" t="n">
        <f aca="false">J46-H46</f>
        <v>2217.5</v>
      </c>
      <c r="L46" s="10" t="n">
        <f aca="false">IF(AND(H46=0,J46=0),0,IF(H46=0,"New",(J46-H46)/H46))</f>
        <v>-5.16298020954598</v>
      </c>
    </row>
    <row r="47" customFormat="false" ht="15" hidden="false" customHeight="true" outlineLevel="0" collapsed="false">
      <c r="A47" s="8" t="s">
        <v>93</v>
      </c>
      <c r="B47" s="8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2" t="n">
        <f aca="false">D47*$J$5</f>
        <v>349.894736842105</v>
      </c>
      <c r="F47" s="22" t="n">
        <f aca="false">E47-C47</f>
        <v>5.89473684210526</v>
      </c>
      <c r="G47" s="10" t="n">
        <f aca="false">IF(AND(C47=0,E47=0),0,IF(C47=0,"New",(E47-C47)/C47))</f>
        <v>0.0171358629130967</v>
      </c>
      <c r="H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11" t="n">
        <f aca="false">I47*$J$5</f>
        <v>9509.93684210526</v>
      </c>
      <c r="K47" s="11" t="n">
        <f aca="false">J47-H47</f>
        <v>166.836842105262</v>
      </c>
      <c r="L47" s="10" t="n">
        <f aca="false">IF(AND(H47=0,J47=0),0,IF(H47=0,"New",(J47-H47)/H47))</f>
        <v>0.0178566901890445</v>
      </c>
    </row>
    <row r="48" customFormat="false" ht="15" hidden="false" customHeight="true" outlineLevel="0" collapsed="false">
      <c r="A48" s="8" t="s">
        <v>170</v>
      </c>
      <c r="B48" s="8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2" t="n">
        <f aca="false">D48*$J$5</f>
        <v>1.26315789473684</v>
      </c>
      <c r="F48" s="22" t="n">
        <f aca="false">E48-C48</f>
        <v>-15.7368421052632</v>
      </c>
      <c r="G48" s="10" t="n">
        <f aca="false">IF(AND(C48=0,E48=0),0,IF(C48=0,"New",(E48-C48)/C48))</f>
        <v>-0.925696594427245</v>
      </c>
      <c r="H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11" t="n">
        <f aca="false">I48*$J$5</f>
        <v>139.578947368421</v>
      </c>
      <c r="K48" s="11" t="n">
        <f aca="false">J48-H48</f>
        <v>-1738.72105263158</v>
      </c>
      <c r="L48" s="10" t="n">
        <f aca="false">IF(AND(H48=0,J48=0),0,IF(H48=0,"New",(J48-H48)/H48))</f>
        <v>-0.925688682655369</v>
      </c>
    </row>
    <row r="49" customFormat="false" ht="15" hidden="false" customHeight="true" outlineLevel="0" collapsed="false">
      <c r="A49" s="8" t="s">
        <v>258</v>
      </c>
      <c r="B49" s="8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2" t="n">
        <f aca="false">D49*$J$5</f>
        <v>212.210526315789</v>
      </c>
      <c r="F49" s="22" t="n">
        <f aca="false">E49-C49</f>
        <v>-69.7894736842106</v>
      </c>
      <c r="G49" s="10" t="n">
        <f aca="false">IF(AND(C49=0,E49=0),0,IF(C49=0,"New",(E49-C49)/C49))</f>
        <v>-0.247480403135498</v>
      </c>
      <c r="H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11" t="n">
        <f aca="false">I49*$J$5</f>
        <v>3268.04210526316</v>
      </c>
      <c r="K49" s="11" t="n">
        <f aca="false">J49-H49</f>
        <v>-1074.75789473684</v>
      </c>
      <c r="L49" s="10" t="n">
        <f aca="false">IF(AND(H49=0,J49=0),0,IF(H49=0,"New",(J49-H49)/H49))</f>
        <v>-0.247480403135498</v>
      </c>
    </row>
    <row r="50" customFormat="false" ht="15" hidden="false" customHeight="true" outlineLevel="0" collapsed="false">
      <c r="A50" s="8" t="s">
        <v>216</v>
      </c>
      <c r="B50" s="8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2" t="n">
        <f aca="false">D50*$J$5</f>
        <v>58.1052631578947</v>
      </c>
      <c r="F50" s="22" t="n">
        <f aca="false">E50-C50</f>
        <v>-52.8947368421053</v>
      </c>
      <c r="G50" s="10" t="n">
        <f aca="false">IF(AND(C50=0,E50=0),0,IF(C50=0,"New",(E50-C50)/C50))</f>
        <v>-0.476529160739687</v>
      </c>
      <c r="H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11" t="n">
        <f aca="false">I50*$J$5</f>
        <v>1550.4</v>
      </c>
      <c r="K50" s="11" t="n">
        <f aca="false">J50-H50</f>
        <v>-1411.3</v>
      </c>
      <c r="L50" s="10" t="n">
        <f aca="false">IF(AND(H50=0,J50=0),0,IF(H50=0,"New",(J50-H50)/H50))</f>
        <v>-0.47651686531384</v>
      </c>
    </row>
    <row r="51" customFormat="false" ht="15" hidden="false" customHeight="true" outlineLevel="0" collapsed="false">
      <c r="A51" s="8" t="s">
        <v>143</v>
      </c>
      <c r="B51" s="8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2" t="n">
        <f aca="false">D51*$J$5</f>
        <v>27.7894736842105</v>
      </c>
      <c r="F51" s="22" t="n">
        <f aca="false">E51-C51</f>
        <v>24.7894736842105</v>
      </c>
      <c r="G51" s="10" t="n">
        <f aca="false">IF(AND(C51=0,E51=0),0,IF(C51=0,"New",(E51-C51)/C51))</f>
        <v>8.26315789473684</v>
      </c>
      <c r="H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11" t="n">
        <f aca="false">I51*$J$5</f>
        <v>2504.33684210526</v>
      </c>
      <c r="K51" s="11" t="n">
        <f aca="false">J51-H51</f>
        <v>2234.03684210526</v>
      </c>
      <c r="L51" s="10" t="n">
        <f aca="false">IF(AND(H51=0,J51=0),0,IF(H51=0,"New",(J51-H51)/H51))</f>
        <v>8.26502716280157</v>
      </c>
    </row>
    <row r="52" customFormat="false" ht="15" hidden="false" customHeight="true" outlineLevel="0" collapsed="false">
      <c r="A52" s="8" t="s">
        <v>112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2" t="n">
        <f aca="false">D52*$J$5</f>
        <v>229.894736842105</v>
      </c>
      <c r="F52" s="22" t="n">
        <f aca="false">E52-C52</f>
        <v>17.8947368421053</v>
      </c>
      <c r="G52" s="10" t="n">
        <f aca="false">IF(AND(C52=0,E52=0),0,IF(C52=0,"New",(E52-C52)/C52))</f>
        <v>0.0844091360476663</v>
      </c>
      <c r="H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11" t="n">
        <f aca="false">I52*$J$5</f>
        <v>12533.9368421053</v>
      </c>
      <c r="K52" s="11" t="n">
        <f aca="false">J52-H52</f>
        <v>952.336842105264</v>
      </c>
      <c r="L52" s="10" t="n">
        <f aca="false">IF(AND(H52=0,J52=0),0,IF(H52=0,"New",(J52-H52)/H52))</f>
        <v>0.0822284349403592</v>
      </c>
    </row>
    <row r="53" customFormat="false" ht="15" hidden="false" customHeight="true" outlineLevel="0" collapsed="false">
      <c r="A53" s="8" t="s">
        <v>172</v>
      </c>
      <c r="B53" s="8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2" t="n">
        <f aca="false">D53*$J$5</f>
        <v>29.0526315789474</v>
      </c>
      <c r="F53" s="22" t="n">
        <f aca="false">E53-C53</f>
        <v>16.0526315789474</v>
      </c>
      <c r="G53" s="10" t="n">
        <f aca="false">IF(AND(C53=0,E53=0),0,IF(C53=0,"New",(E53-C53)/C53))</f>
        <v>1.23481781376518</v>
      </c>
      <c r="H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11" t="n">
        <f aca="false">I53*$J$5</f>
        <v>3943.95789473684</v>
      </c>
      <c r="K53" s="11" t="n">
        <f aca="false">J53-H53</f>
        <v>2460.85789473684</v>
      </c>
      <c r="L53" s="10" t="n">
        <f aca="false">IF(AND(H53=0,J53=0),0,IF(H53=0,"New",(J53-H53)/H53))</f>
        <v>1.65926633048132</v>
      </c>
    </row>
    <row r="54" customFormat="false" ht="15" hidden="false" customHeight="true" outlineLevel="0" collapsed="false">
      <c r="A54" s="8" t="s">
        <v>195</v>
      </c>
      <c r="B54" s="8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2" t="n">
        <f aca="false">D54*$J$5</f>
        <v>274.105263157895</v>
      </c>
      <c r="F54" s="22" t="n">
        <f aca="false">E54-C54</f>
        <v>-61.8947368421053</v>
      </c>
      <c r="G54" s="10" t="n">
        <f aca="false">IF(AND(C54=0,E54=0),0,IF(C54=0,"New",(E54-C54)/C54))</f>
        <v>-0.184210526315789</v>
      </c>
      <c r="H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11" t="n">
        <f aca="false">I54*$J$5</f>
        <v>3718.35789473684</v>
      </c>
      <c r="K54" s="11" t="n">
        <f aca="false">J54-H54</f>
        <v>-830.042105263158</v>
      </c>
      <c r="L54" s="10" t="n">
        <f aca="false">IF(AND(H54=0,J54=0),0,IF(H54=0,"New",(J54-H54)/H54))</f>
        <v>-0.182491008984073</v>
      </c>
    </row>
    <row r="55" customFormat="false" ht="15" hidden="false" customHeight="true" outlineLevel="0" collapsed="false">
      <c r="A55" s="8" t="s">
        <v>128</v>
      </c>
      <c r="B55" s="8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2" t="n">
        <f aca="false">D55*$J$5</f>
        <v>347.368421052632</v>
      </c>
      <c r="F55" s="22" t="n">
        <f aca="false">E55-C55</f>
        <v>44.3684210526316</v>
      </c>
      <c r="G55" s="10" t="n">
        <f aca="false">IF(AND(C55=0,E55=0),0,IF(C55=0,"New",(E55-C55)/C55))</f>
        <v>0.146430432516936</v>
      </c>
      <c r="H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11" t="n">
        <f aca="false">I55*$J$5</f>
        <v>19907.7473684211</v>
      </c>
      <c r="K55" s="11" t="n">
        <f aca="false">J55-H55</f>
        <v>2542.84736842105</v>
      </c>
      <c r="L55" s="10" t="n">
        <f aca="false">IF(AND(H55=0,J55=0),0,IF(H55=0,"New",(J55-H55)/H55))</f>
        <v>0.146436050217453</v>
      </c>
    </row>
    <row r="56" customFormat="false" ht="15" hidden="false" customHeight="true" outlineLevel="0" collapsed="false">
      <c r="A56" s="8" t="s">
        <v>154</v>
      </c>
      <c r="B56" s="8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2" t="n">
        <f aca="false">D56*$J$5</f>
        <v>30.3157894736842</v>
      </c>
      <c r="F56" s="22" t="n">
        <f aca="false">E56-C56</f>
        <v>25.3157894736842</v>
      </c>
      <c r="G56" s="10" t="n">
        <f aca="false">IF(AND(C56=0,E56=0),0,IF(C56=0,"New",(E56-C56)/C56))</f>
        <v>5.06315789473684</v>
      </c>
      <c r="H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11" t="n">
        <f aca="false">I56*$J$5</f>
        <v>2248.29473684211</v>
      </c>
      <c r="K56" s="11" t="n">
        <f aca="false">J56-H56</f>
        <v>2064.09473684211</v>
      </c>
      <c r="L56" s="10" t="n">
        <f aca="false">IF(AND(H56=0,J56=0),0,IF(H56=0,"New",(J56-H56)/H56))</f>
        <v>11.2057260414881</v>
      </c>
    </row>
    <row r="57" customFormat="false" ht="15" hidden="false" customHeight="true" outlineLevel="0" collapsed="false">
      <c r="A57" s="8" t="s">
        <v>268</v>
      </c>
      <c r="B57" s="8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2" t="n">
        <f aca="false">D57*$J$5</f>
        <v>-3.78947368421053</v>
      </c>
      <c r="F57" s="22" t="n">
        <f aca="false">E57-C57</f>
        <v>-12.7894736842105</v>
      </c>
      <c r="G57" s="10" t="n">
        <f aca="false">IF(AND(C57=0,E57=0),0,IF(C57=0,"New",(E57-C57)/C57))</f>
        <v>-1.42105263157895</v>
      </c>
      <c r="H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11" t="n">
        <f aca="false">I57*$J$5</f>
        <v>-552.126315789474</v>
      </c>
      <c r="K57" s="11" t="n">
        <f aca="false">J57-H57</f>
        <v>-1683.42631578947</v>
      </c>
      <c r="L57" s="10" t="n">
        <f aca="false">IF(AND(H57=0,J57=0),0,IF(H57=0,"New",(J57-H57)/H57))</f>
        <v>-1.48804589038228</v>
      </c>
    </row>
    <row r="58" customFormat="false" ht="15" hidden="false" customHeight="true" outlineLevel="0" collapsed="false">
      <c r="A58" s="8" t="s">
        <v>114</v>
      </c>
      <c r="B58" s="8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2" t="n">
        <f aca="false">D58*$J$5</f>
        <v>357.473684210526</v>
      </c>
      <c r="F58" s="22" t="n">
        <f aca="false">E58-C58</f>
        <v>35.4736842105263</v>
      </c>
      <c r="G58" s="10" t="n">
        <f aca="false">IF(AND(C58=0,E58=0),0,IF(C58=0,"New",(E58-C58)/C58))</f>
        <v>0.110166721150703</v>
      </c>
      <c r="H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11" t="n">
        <f aca="false">I58*$J$5</f>
        <v>14206.1052631579</v>
      </c>
      <c r="K58" s="11" t="n">
        <f aca="false">J58-H58</f>
        <v>1427.00526315789</v>
      </c>
      <c r="L58" s="10" t="n">
        <f aca="false">IF(AND(H58=0,J58=0),0,IF(H58=0,"New",(J58-H58)/H58))</f>
        <v>0.111667117649748</v>
      </c>
    </row>
    <row r="59" customFormat="false" ht="15" hidden="false" customHeight="true" outlineLevel="0" collapsed="false">
      <c r="A59" s="8" t="s">
        <v>146</v>
      </c>
      <c r="B59" s="8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2" t="n">
        <f aca="false">D59*$J$5</f>
        <v>169.263157894737</v>
      </c>
      <c r="F59" s="22" t="n">
        <f aca="false">E59-C59</f>
        <v>-103.736842105263</v>
      </c>
      <c r="G59" s="10" t="n">
        <f aca="false">IF(AND(C59=0,E59=0),0,IF(C59=0,"New",(E59-C59)/C59))</f>
        <v>-0.379988432620012</v>
      </c>
      <c r="H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11" t="n">
        <f aca="false">I59*$J$5</f>
        <v>1858.48421052632</v>
      </c>
      <c r="K59" s="11" t="n">
        <f aca="false">J59-H59</f>
        <v>-1139.01578947368</v>
      </c>
      <c r="L59" s="10" t="n">
        <f aca="false">IF(AND(H59=0,J59=0),0,IF(H59=0,"New",(J59-H59)/H59))</f>
        <v>-0.379988586980378</v>
      </c>
    </row>
    <row r="60" customFormat="false" ht="15" hidden="false" customHeight="true" outlineLevel="0" collapsed="false">
      <c r="A60" s="8" t="s">
        <v>206</v>
      </c>
      <c r="B60" s="8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2" t="n">
        <f aca="false">D60*$J$5</f>
        <v>471.157894736842</v>
      </c>
      <c r="F60" s="22" t="n">
        <f aca="false">E60-C60</f>
        <v>1.15789473684208</v>
      </c>
      <c r="G60" s="10" t="n">
        <f aca="false">IF(AND(C60=0,E60=0),0,IF(C60=0,"New",(E60-C60)/C60))</f>
        <v>0.00246360582306826</v>
      </c>
      <c r="H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11" t="n">
        <f aca="false">I60*$J$5</f>
        <v>7255.83157894737</v>
      </c>
      <c r="K60" s="11" t="n">
        <f aca="false">J60-H60</f>
        <v>17.8315789473681</v>
      </c>
      <c r="L60" s="10" t="n">
        <f aca="false">IF(AND(H60=0,J60=0),0,IF(H60=0,"New",(J60-H60)/H60))</f>
        <v>0.00246360582306827</v>
      </c>
    </row>
    <row r="61" customFormat="false" ht="15" hidden="false" customHeight="true" outlineLevel="0" collapsed="false">
      <c r="A61" s="8" t="s">
        <v>126</v>
      </c>
      <c r="B61" s="8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2" t="n">
        <f aca="false">D61*$J$5</f>
        <v>112.421052631579</v>
      </c>
      <c r="F61" s="22" t="n">
        <f aca="false">E61-C61</f>
        <v>38.4210526315789</v>
      </c>
      <c r="G61" s="10" t="n">
        <f aca="false">IF(AND(C61=0,E61=0),0,IF(C61=0,"New",(E61-C61)/C61))</f>
        <v>0.519203413940256</v>
      </c>
      <c r="H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11" t="n">
        <f aca="false">I61*$J$5</f>
        <v>10823.7473684211</v>
      </c>
      <c r="K61" s="11" t="n">
        <f aca="false">J61-H61</f>
        <v>3708.44736842105</v>
      </c>
      <c r="L61" s="10" t="n">
        <f aca="false">IF(AND(H61=0,J61=0),0,IF(H61=0,"New",(J61-H61)/H61))</f>
        <v>0.521193395699556</v>
      </c>
    </row>
    <row r="62" customFormat="false" ht="15" hidden="false" customHeight="true" outlineLevel="0" collapsed="false">
      <c r="A62" s="8" t="s">
        <v>174</v>
      </c>
      <c r="B62" s="8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2" t="n">
        <f aca="false">D62*$J$5</f>
        <v>37.8947368421053</v>
      </c>
      <c r="F62" s="22" t="n">
        <f aca="false">E62-C62</f>
        <v>-5.10526315789474</v>
      </c>
      <c r="G62" s="10" t="n">
        <f aca="false">IF(AND(C62=0,E62=0),0,IF(C62=0,"New",(E62-C62)/C62))</f>
        <v>-0.118727050183599</v>
      </c>
      <c r="H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11" t="n">
        <f aca="false">I62*$J$5</f>
        <v>4178.02105263158</v>
      </c>
      <c r="K62" s="11" t="n">
        <f aca="false">J62-H62</f>
        <v>-562.878947368421</v>
      </c>
      <c r="L62" s="10" t="n">
        <f aca="false">IF(AND(H62=0,J62=0),0,IF(H62=0,"New",(J62-H62)/H62))</f>
        <v>-0.118728289432053</v>
      </c>
    </row>
    <row r="63" customFormat="false" ht="15" hidden="false" customHeight="true" outlineLevel="0" collapsed="false">
      <c r="A63" s="8" t="s">
        <v>165</v>
      </c>
      <c r="B63" s="8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2" t="n">
        <f aca="false">D63*$J$5</f>
        <v>25.2631578947368</v>
      </c>
      <c r="F63" s="22" t="n">
        <f aca="false">E63-C63</f>
        <v>18.2631578947368</v>
      </c>
      <c r="G63" s="10" t="n">
        <f aca="false">IF(AND(C63=0,E63=0),0,IF(C63=0,"New",(E63-C63)/C63))</f>
        <v>2.60902255639098</v>
      </c>
      <c r="H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11" t="n">
        <f aca="false">I63*$J$5</f>
        <v>2751.91578947368</v>
      </c>
      <c r="K63" s="11" t="n">
        <f aca="false">J63-H63</f>
        <v>1989.41578947368</v>
      </c>
      <c r="L63" s="10" t="n">
        <f aca="false">IF(AND(H63=0,J63=0),0,IF(H63=0,"New",(J63-H63)/H63))</f>
        <v>2.60906988783434</v>
      </c>
    </row>
    <row r="64" customFormat="false" ht="15" hidden="false" customHeight="true" outlineLevel="0" collapsed="false">
      <c r="A64" s="8" t="s">
        <v>164</v>
      </c>
      <c r="B64" s="8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2" t="n">
        <f aca="false">D64*$J$5</f>
        <v>58.1052631578947</v>
      </c>
      <c r="F64" s="22" t="n">
        <f aca="false">E64-C64</f>
        <v>-1.89473684210527</v>
      </c>
      <c r="G64" s="10" t="n">
        <f aca="false">IF(AND(C64=0,E64=0),0,IF(C64=0,"New",(E64-C64)/C64))</f>
        <v>-0.0315789473684211</v>
      </c>
      <c r="H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11" t="n">
        <f aca="false">I64*$J$5</f>
        <v>5765.81052631579</v>
      </c>
      <c r="K64" s="11" t="n">
        <f aca="false">J64-H64</f>
        <v>-187.98947368421</v>
      </c>
      <c r="L64" s="10" t="n">
        <f aca="false">IF(AND(H64=0,J64=0),0,IF(H64=0,"New",(J64-H64)/H64))</f>
        <v>-0.0315747041694732</v>
      </c>
    </row>
    <row r="65" customFormat="false" ht="15" hidden="false" customHeight="true" outlineLevel="0" collapsed="false">
      <c r="A65" s="8" t="s">
        <v>196</v>
      </c>
      <c r="B65" s="8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2" t="n">
        <f aca="false">D65*$J$5</f>
        <v>252.631578947368</v>
      </c>
      <c r="F65" s="22" t="n">
        <f aca="false">E65-C65</f>
        <v>-77.3684210526316</v>
      </c>
      <c r="G65" s="10" t="n">
        <f aca="false">IF(AND(C65=0,E65=0),0,IF(C65=0,"New",(E65-C65)/C65))</f>
        <v>-0.23444976076555</v>
      </c>
      <c r="H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11" t="n">
        <f aca="false">I65*$J$5</f>
        <v>2698.23157894737</v>
      </c>
      <c r="K65" s="11" t="n">
        <f aca="false">J65-H65</f>
        <v>-826.068421052632</v>
      </c>
      <c r="L65" s="10" t="n">
        <f aca="false">IF(AND(H65=0,J65=0),0,IF(H65=0,"New",(J65-H65)/H65))</f>
        <v>-0.234392197330713</v>
      </c>
    </row>
    <row r="66" customFormat="false" ht="15" hidden="false" customHeight="true" outlineLevel="0" collapsed="false">
      <c r="A66" s="8" t="s">
        <v>102</v>
      </c>
      <c r="B66" s="8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2" t="n">
        <f aca="false">D66*$J$5</f>
        <v>477.473684210526</v>
      </c>
      <c r="F66" s="22" t="n">
        <f aca="false">E66-C66</f>
        <v>49.4736842105263</v>
      </c>
      <c r="G66" s="10" t="n">
        <f aca="false">IF(AND(C66=0,E66=0),0,IF(C66=0,"New",(E66-C66)/C66))</f>
        <v>0.115592720118052</v>
      </c>
      <c r="H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11" t="n">
        <f aca="false">I66*$J$5</f>
        <v>13262.4</v>
      </c>
      <c r="K66" s="11" t="n">
        <f aca="false">J66-H66</f>
        <v>1389</v>
      </c>
      <c r="L66" s="10" t="n">
        <f aca="false">IF(AND(H66=0,J66=0),0,IF(H66=0,"New",(J66-H66)/H66))</f>
        <v>0.116984183132043</v>
      </c>
    </row>
    <row r="67" customFormat="false" ht="15" hidden="false" customHeight="true" outlineLevel="0" collapsed="false">
      <c r="A67" s="8" t="s">
        <v>194</v>
      </c>
      <c r="B67" s="8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2" t="n">
        <f aca="false">D67*$J$5</f>
        <v>8.84210526315789</v>
      </c>
      <c r="F67" s="22" t="n">
        <f aca="false">E67-C67</f>
        <v>-9.15789473684211</v>
      </c>
      <c r="G67" s="10" t="n">
        <f aca="false">IF(AND(C67=0,E67=0),0,IF(C67=0,"New",(E67-C67)/C67))</f>
        <v>-0.508771929824561</v>
      </c>
      <c r="H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11" t="n">
        <f aca="false">I67*$J$5</f>
        <v>877.389473684211</v>
      </c>
      <c r="K67" s="11" t="n">
        <f aca="false">J67-H67</f>
        <v>-1186.61052631579</v>
      </c>
      <c r="L67" s="10" t="n">
        <f aca="false">IF(AND(H67=0,J67=0),0,IF(H67=0,"New",(J67-H67)/H67))</f>
        <v>-0.574908200734394</v>
      </c>
    </row>
    <row r="68" customFormat="false" ht="15" hidden="false" customHeight="true" outlineLevel="0" collapsed="false">
      <c r="A68" s="8" t="s">
        <v>162</v>
      </c>
      <c r="B68" s="8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2" t="n">
        <f aca="false">D68*$J$5</f>
        <v>138.947368421053</v>
      </c>
      <c r="F68" s="22" t="n">
        <f aca="false">E68-C68</f>
        <v>41.9473684210526</v>
      </c>
      <c r="G68" s="10" t="n">
        <f aca="false">IF(AND(C68=0,E68=0),0,IF(C68=0,"New",(E68-C68)/C68))</f>
        <v>0.432447097124254</v>
      </c>
      <c r="H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11" t="n">
        <f aca="false">I68*$J$5</f>
        <v>13787.7473684211</v>
      </c>
      <c r="K68" s="11" t="n">
        <f aca="false">J68-H68</f>
        <v>4162.44736842105</v>
      </c>
      <c r="L68" s="10" t="n">
        <f aca="false">IF(AND(H68=0,J68=0),0,IF(H68=0,"New",(J68-H68)/H68))</f>
        <v>0.432448585334592</v>
      </c>
    </row>
    <row r="69" customFormat="false" ht="15" hidden="false" customHeight="true" outlineLevel="0" collapsed="false">
      <c r="A69" s="8" t="s">
        <v>130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2" t="n">
        <f aca="false">D69*$J$5</f>
        <v>132.631578947368</v>
      </c>
      <c r="F69" s="22" t="n">
        <f aca="false">E69-C69</f>
        <v>-22.3684210526316</v>
      </c>
      <c r="G69" s="10" t="n">
        <f aca="false">IF(AND(C69=0,E69=0),0,IF(C69=0,"New",(E69-C69)/C69))</f>
        <v>-0.144312393887946</v>
      </c>
      <c r="H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11" t="n">
        <f aca="false">I69*$J$5</f>
        <v>3319.95789473684</v>
      </c>
      <c r="K69" s="11" t="n">
        <f aca="false">J69-H69</f>
        <v>-559.742105263159</v>
      </c>
      <c r="L69" s="10" t="n">
        <f aca="false">IF(AND(H69=0,J69=0),0,IF(H69=0,"New",(J69-H69)/H69))</f>
        <v>-0.14427458444291</v>
      </c>
    </row>
    <row r="70" customFormat="false" ht="15" hidden="false" customHeight="true" outlineLevel="0" collapsed="false">
      <c r="A70" s="8" t="s">
        <v>134</v>
      </c>
      <c r="B70" s="8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2" t="n">
        <f aca="false">D70*$J$5</f>
        <v>618.947368421053</v>
      </c>
      <c r="F70" s="22" t="n">
        <f aca="false">E70-C70</f>
        <v>16.9473684210526</v>
      </c>
      <c r="G70" s="10" t="n">
        <f aca="false">IF(AND(C70=0,E70=0),0,IF(C70=0,"New",(E70-C70)/C70))</f>
        <v>0.0281517747858017</v>
      </c>
      <c r="H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11" t="n">
        <f aca="false">I70*$J$5</f>
        <v>6800.96842105263</v>
      </c>
      <c r="K70" s="11" t="n">
        <f aca="false">J70-H70</f>
        <v>187.068421052632</v>
      </c>
      <c r="L70" s="10" t="n">
        <f aca="false">IF(AND(H70=0,J70=0),0,IF(H70=0,"New",(J70-H70)/H70))</f>
        <v>0.0282841320631749</v>
      </c>
    </row>
    <row r="71" customFormat="false" ht="15" hidden="false" customHeight="true" outlineLevel="0" collapsed="false">
      <c r="A71" s="8" t="s">
        <v>240</v>
      </c>
      <c r="B71" s="8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2" t="n">
        <f aca="false">D71*$J$5</f>
        <v>37.8947368421053</v>
      </c>
      <c r="F71" s="22" t="n">
        <f aca="false">E71-C71</f>
        <v>-4.10526315789474</v>
      </c>
      <c r="G71" s="10" t="n">
        <f aca="false">IF(AND(C71=0,E71=0),0,IF(C71=0,"New",(E71-C71)/C71))</f>
        <v>-0.0977443609022557</v>
      </c>
      <c r="H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11" t="n">
        <f aca="false">I71*$J$5</f>
        <v>3676.92631578947</v>
      </c>
      <c r="K71" s="11" t="n">
        <f aca="false">J71-H71</f>
        <v>-398.373684210527</v>
      </c>
      <c r="L71" s="10" t="n">
        <f aca="false">IF(AND(H71=0,J71=0),0,IF(H71=0,"New",(J71-H71)/H71))</f>
        <v>-0.0977532167473626</v>
      </c>
    </row>
    <row r="72" customFormat="false" ht="15" hidden="false" customHeight="true" outlineLevel="0" collapsed="false">
      <c r="A72" s="8" t="s">
        <v>111</v>
      </c>
      <c r="B72" s="8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2" t="n">
        <f aca="false">D72*$J$5</f>
        <v>150.315789473684</v>
      </c>
      <c r="F72" s="22" t="n">
        <f aca="false">E72-C72</f>
        <v>38.3157894736842</v>
      </c>
      <c r="G72" s="10" t="n">
        <f aca="false">IF(AND(C72=0,E72=0),0,IF(C72=0,"New",(E72-C72)/C72))</f>
        <v>0.342105263157895</v>
      </c>
      <c r="H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11" t="n">
        <f aca="false">I72*$J$5</f>
        <v>21119.2421052632</v>
      </c>
      <c r="K72" s="11" t="n">
        <f aca="false">J72-H72</f>
        <v>5552.24210526316</v>
      </c>
      <c r="L72" s="10" t="n">
        <f aca="false">IF(AND(H72=0,J72=0),0,IF(H72=0,"New",(J72-H72)/H72))</f>
        <v>0.356667444290047</v>
      </c>
    </row>
    <row r="73" customFormat="false" ht="15" hidden="false" customHeight="true" outlineLevel="0" collapsed="false">
      <c r="A73" s="8" t="s">
        <v>184</v>
      </c>
      <c r="B73" s="8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2" t="n">
        <f aca="false">D73*$J$5</f>
        <v>217.263157894737</v>
      </c>
      <c r="F73" s="22" t="n">
        <f aca="false">E73-C73</f>
        <v>27.2631578947368</v>
      </c>
      <c r="G73" s="10" t="n">
        <f aca="false">IF(AND(C73=0,E73=0),0,IF(C73=0,"New",(E73-C73)/C73))</f>
        <v>0.143490304709141</v>
      </c>
      <c r="H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11" t="n">
        <f aca="false">I73*$J$5</f>
        <v>13710.0631578947</v>
      </c>
      <c r="K73" s="11" t="n">
        <f aca="false">J73-H73</f>
        <v>1707.86315789474</v>
      </c>
      <c r="L73" s="10" t="n">
        <f aca="false">IF(AND(H73=0,J73=0),0,IF(H73=0,"New",(J73-H73)/H73))</f>
        <v>0.142295842253482</v>
      </c>
    </row>
    <row r="74" customFormat="false" ht="15" hidden="false" customHeight="true" outlineLevel="0" collapsed="false">
      <c r="A74" s="8" t="s">
        <v>137</v>
      </c>
      <c r="B74" s="8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2" t="n">
        <f aca="false">D74*$J$5</f>
        <v>190.736842105263</v>
      </c>
      <c r="F74" s="22" t="n">
        <f aca="false">E74-C74</f>
        <v>-43.2631578947369</v>
      </c>
      <c r="G74" s="10" t="n">
        <f aca="false">IF(AND(C74=0,E74=0),0,IF(C74=0,"New",(E74-C74)/C74))</f>
        <v>-0.184885290148448</v>
      </c>
      <c r="H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11" t="n">
        <f aca="false">I74*$J$5</f>
        <v>2586.44210526316</v>
      </c>
      <c r="K74" s="11" t="n">
        <f aca="false">J74-H74</f>
        <v>-585.357894736842</v>
      </c>
      <c r="L74" s="10" t="n">
        <f aca="false">IF(AND(H74=0,J74=0),0,IF(H74=0,"New",(J74-H74)/H74))</f>
        <v>-0.184550695105884</v>
      </c>
    </row>
    <row r="75" customFormat="false" ht="15" hidden="false" customHeight="true" outlineLevel="0" collapsed="false">
      <c r="A75" s="8" t="s">
        <v>276</v>
      </c>
      <c r="B75" s="8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2" t="n">
        <f aca="false">D75*$J$5</f>
        <v>41.6842105263158</v>
      </c>
      <c r="F75" s="22" t="n">
        <f aca="false">E75-C75</f>
        <v>-14.3157894736842</v>
      </c>
      <c r="G75" s="10" t="n">
        <f aca="false">IF(AND(C75=0,E75=0),0,IF(C75=0,"New",(E75-C75)/C75))</f>
        <v>-0.255639097744361</v>
      </c>
      <c r="H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11" t="n">
        <f aca="false">I75*$J$5</f>
        <v>2021.30526315789</v>
      </c>
      <c r="K75" s="11" t="n">
        <f aca="false">J75-H75</f>
        <v>-694.194736842105</v>
      </c>
      <c r="L75" s="10" t="n">
        <f aca="false">IF(AND(H75=0,J75=0),0,IF(H75=0,"New",(J75-H75)/H75))</f>
        <v>-0.255641589704329</v>
      </c>
    </row>
    <row r="76" customFormat="false" ht="15" hidden="false" customHeight="true" outlineLevel="0" collapsed="false">
      <c r="A76" s="8" t="s">
        <v>342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2" t="n">
        <f aca="false">D76*$J$5</f>
        <v>34.1052631578947</v>
      </c>
      <c r="F76" s="22" t="n">
        <f aca="false">E76-C76</f>
        <v>16.1052631578947</v>
      </c>
      <c r="G76" s="10" t="n">
        <f aca="false">IF(AND(C76=0,E76=0),0,IF(C76=0,"New",(E76-C76)/C76))</f>
        <v>0.894736842105263</v>
      </c>
      <c r="H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11" t="n">
        <f aca="false">I76*$J$5</f>
        <v>3384.25263157895</v>
      </c>
      <c r="K76" s="11" t="n">
        <f aca="false">J76-H76</f>
        <v>1780.85263157895</v>
      </c>
      <c r="L76" s="10" t="n">
        <f aca="false">IF(AND(H76=0,J76=0),0,IF(H76=0,"New",(J76-H76)/H76))</f>
        <v>1.11067271521701</v>
      </c>
    </row>
    <row r="77" customFormat="false" ht="15" hidden="false" customHeight="true" outlineLevel="0" collapsed="false">
      <c r="A77" s="8" t="s">
        <v>208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2" t="n">
        <f aca="false">D77*$J$5</f>
        <v>59.3684210526316</v>
      </c>
      <c r="F77" s="22" t="n">
        <f aca="false">E77-C77</f>
        <v>-24.6315789473684</v>
      </c>
      <c r="G77" s="10" t="n">
        <f aca="false">IF(AND(C77=0,E77=0),0,IF(C77=0,"New",(E77-C77)/C77))</f>
        <v>-0.293233082706767</v>
      </c>
      <c r="H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11" t="n">
        <f aca="false">I77*$J$5</f>
        <v>1714.23157894737</v>
      </c>
      <c r="K77" s="11" t="n">
        <f aca="false">J77-H77</f>
        <v>-711.068421052632</v>
      </c>
      <c r="L77" s="10" t="n">
        <f aca="false">IF(AND(H77=0,J77=0),0,IF(H77=0,"New",(J77-H77)/H77))</f>
        <v>-0.293187820497518</v>
      </c>
    </row>
    <row r="78" customFormat="false" ht="15" hidden="false" customHeight="true" outlineLevel="0" collapsed="false">
      <c r="A78" s="8" t="s">
        <v>84</v>
      </c>
      <c r="B78" s="8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2" t="n">
        <f aca="false">D78*$J$5</f>
        <v>99.7894736842105</v>
      </c>
      <c r="F78" s="22" t="n">
        <f aca="false">E78-C78</f>
        <v>33.7894736842105</v>
      </c>
      <c r="G78" s="10" t="n">
        <f aca="false">IF(AND(C78=0,E78=0),0,IF(C78=0,"New",(E78-C78)/C78))</f>
        <v>0.511961722488038</v>
      </c>
      <c r="H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11" t="n">
        <f aca="false">I78*$J$5</f>
        <v>7933.26315789474</v>
      </c>
      <c r="K78" s="11" t="n">
        <f aca="false">J78-H78</f>
        <v>2686.26315789474</v>
      </c>
      <c r="L78" s="10" t="n">
        <f aca="false">IF(AND(H78=0,J78=0),0,IF(H78=0,"New",(J78-H78)/H78))</f>
        <v>0.511961722488038</v>
      </c>
    </row>
    <row r="79" customFormat="false" ht="15" hidden="false" customHeight="true" outlineLevel="0" collapsed="false">
      <c r="A79" s="8" t="s">
        <v>253</v>
      </c>
      <c r="B79" s="8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2" t="n">
        <f aca="false">D79*$J$5</f>
        <v>11.3684210526316</v>
      </c>
      <c r="F79" s="22" t="n">
        <f aca="false">E79-C79</f>
        <v>5.36842105263158</v>
      </c>
      <c r="G79" s="10" t="n">
        <f aca="false">IF(AND(C79=0,E79=0),0,IF(C79=0,"New",(E79-C79)/C79))</f>
        <v>0.894736842105263</v>
      </c>
      <c r="H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11" t="n">
        <f aca="false">I79*$J$5</f>
        <v>3429.97894736842</v>
      </c>
      <c r="K79" s="11" t="n">
        <f aca="false">J79-H79</f>
        <v>1619.77894736842</v>
      </c>
      <c r="L79" s="10" t="n">
        <f aca="false">IF(AND(H79=0,J79=0),0,IF(H79=0,"New",(J79-H79)/H79))</f>
        <v>0.894806622123755</v>
      </c>
    </row>
    <row r="80" customFormat="false" ht="15" hidden="false" customHeight="true" outlineLevel="0" collapsed="false">
      <c r="A80" s="8" t="s">
        <v>191</v>
      </c>
      <c r="B80" s="8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2" t="n">
        <f aca="false">D80*$J$5</f>
        <v>127.578947368421</v>
      </c>
      <c r="F80" s="22" t="n">
        <f aca="false">E80-C80</f>
        <v>-40.421052631579</v>
      </c>
      <c r="G80" s="10" t="n">
        <f aca="false">IF(AND(C80=0,E80=0),0,IF(C80=0,"New",(E80-C80)/C80))</f>
        <v>-0.240601503759399</v>
      </c>
      <c r="H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11" t="n">
        <f aca="false">I80*$J$5</f>
        <v>1701.85263157895</v>
      </c>
      <c r="K80" s="11" t="n">
        <f aca="false">J80-H80</f>
        <v>-545.047368421053</v>
      </c>
      <c r="L80" s="10" t="n">
        <f aca="false">IF(AND(H80=0,J80=0),0,IF(H80=0,"New",(J80-H80)/H80))</f>
        <v>-0.242577492732677</v>
      </c>
    </row>
    <row r="81" customFormat="false" ht="15" hidden="false" customHeight="true" outlineLevel="0" collapsed="false">
      <c r="A81" s="8" t="s">
        <v>133</v>
      </c>
      <c r="B81" s="8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2" t="n">
        <f aca="false">D81*$J$5</f>
        <v>54.3157894736842</v>
      </c>
      <c r="F81" s="22" t="n">
        <f aca="false">E81-C81</f>
        <v>-4.6842105263158</v>
      </c>
      <c r="G81" s="10" t="n">
        <f aca="false">IF(AND(C81=0,E81=0),0,IF(C81=0,"New",(E81-C81)/C81))</f>
        <v>-0.0793933987511152</v>
      </c>
      <c r="H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11" t="n">
        <f aca="false">I81*$J$5</f>
        <v>3041.68421052632</v>
      </c>
      <c r="K81" s="11" t="n">
        <f aca="false">J81-H81</f>
        <v>-262.315789473684</v>
      </c>
      <c r="L81" s="10" t="n">
        <f aca="false">IF(AND(H81=0,J81=0),0,IF(H81=0,"New",(J81-H81)/H81))</f>
        <v>-0.0793933987511151</v>
      </c>
    </row>
    <row r="82" customFormat="false" ht="15" hidden="false" customHeight="true" outlineLevel="0" collapsed="false">
      <c r="A82" s="8" t="s">
        <v>238</v>
      </c>
      <c r="B82" s="8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2" t="n">
        <f aca="false">D82*$J$5</f>
        <v>10.1052631578947</v>
      </c>
      <c r="F82" s="22" t="n">
        <f aca="false">E82-C82</f>
        <v>-17.8947368421053</v>
      </c>
      <c r="G82" s="10" t="n">
        <f aca="false">IF(AND(C82=0,E82=0),0,IF(C82=0,"New",(E82-C82)/C82))</f>
        <v>-0.639097744360902</v>
      </c>
      <c r="H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11" t="n">
        <f aca="false">I82*$J$5</f>
        <v>441.6</v>
      </c>
      <c r="K82" s="11" t="n">
        <f aca="false">J82-H82</f>
        <v>-782</v>
      </c>
      <c r="L82" s="10" t="n">
        <f aca="false">IF(AND(H82=0,J82=0),0,IF(H82=0,"New",(J82-H82)/H82))</f>
        <v>-0.639097744360902</v>
      </c>
    </row>
    <row r="83" customFormat="false" ht="15" hidden="false" customHeight="true" outlineLevel="0" collapsed="false">
      <c r="A83" s="8" t="s">
        <v>222</v>
      </c>
      <c r="B83" s="8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2" t="n">
        <f aca="false">D83*$J$5</f>
        <v>-1.26315789473684</v>
      </c>
      <c r="F83" s="22" t="n">
        <f aca="false">E83-C83</f>
        <v>-3.26315789473684</v>
      </c>
      <c r="G83" s="10" t="n">
        <f aca="false">IF(AND(C83=0,E83=0),0,IF(C83=0,"New",(E83-C83)/C83))</f>
        <v>-1.63157894736842</v>
      </c>
      <c r="H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11" t="n">
        <f aca="false">I83*$J$5</f>
        <v>-362.273684210526</v>
      </c>
      <c r="K83" s="11" t="n">
        <f aca="false">J83-H83</f>
        <v>-935.873684210526</v>
      </c>
      <c r="L83" s="10" t="n">
        <f aca="false">IF(AND(H83=0,J83=0),0,IF(H83=0,"New",(J83-H83)/H83))</f>
        <v>-1.63157894736842</v>
      </c>
    </row>
    <row r="84" customFormat="false" ht="15" hidden="false" customHeight="true" outlineLevel="0" collapsed="false">
      <c r="A84" s="8" t="s">
        <v>203</v>
      </c>
      <c r="B84" s="8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2" t="n">
        <f aca="false">D84*$J$5</f>
        <v>60.6315789473684</v>
      </c>
      <c r="F84" s="22" t="n">
        <f aca="false">E84-C84</f>
        <v>-12.3684210526316</v>
      </c>
      <c r="G84" s="10" t="n">
        <f aca="false">IF(AND(C84=0,E84=0),0,IF(C84=0,"New",(E84-C84)/C84))</f>
        <v>-0.169430425378515</v>
      </c>
      <c r="H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11" t="n">
        <f aca="false">I84*$J$5</f>
        <v>2086.86315789474</v>
      </c>
      <c r="K84" s="11" t="n">
        <f aca="false">J84-H84</f>
        <v>-422.136842105263</v>
      </c>
      <c r="L84" s="10" t="n">
        <f aca="false">IF(AND(H84=0,J84=0),0,IF(H84=0,"New",(J84-H84)/H84))</f>
        <v>-0.168249040297036</v>
      </c>
    </row>
    <row r="85" customFormat="false" ht="15" hidden="false" customHeight="true" outlineLevel="0" collapsed="false">
      <c r="A85" s="8" t="s">
        <v>145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2" t="n">
        <f aca="false">D85*$J$5</f>
        <v>349.894736842105</v>
      </c>
      <c r="F85" s="22" t="n">
        <f aca="false">E85-C85</f>
        <v>-5.10526315789474</v>
      </c>
      <c r="G85" s="10" t="n">
        <f aca="false">IF(AND(C85=0,E85=0),0,IF(C85=0,"New",(E85-C85)/C85))</f>
        <v>-0.0143810229799852</v>
      </c>
      <c r="H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11" t="n">
        <f aca="false">I85*$J$5</f>
        <v>3841.89473684211</v>
      </c>
      <c r="K85" s="11" t="n">
        <f aca="false">J85-H85</f>
        <v>-56.0052631578951</v>
      </c>
      <c r="L85" s="10" t="n">
        <f aca="false">IF(AND(H85=0,J85=0),0,IF(H85=0,"New",(J85-H85)/H85))</f>
        <v>-0.01436806053462</v>
      </c>
    </row>
    <row r="86" customFormat="false" ht="15" hidden="false" customHeight="true" outlineLevel="0" collapsed="false">
      <c r="A86" s="8" t="s">
        <v>332</v>
      </c>
      <c r="B86" s="8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2" t="n">
        <f aca="false">D86*$J$5</f>
        <v>109.894736842105</v>
      </c>
      <c r="F86" s="22" t="n">
        <f aca="false">E86-C86</f>
        <v>-24.1052631578947</v>
      </c>
      <c r="G86" s="10" t="n">
        <f aca="false">IF(AND(C86=0,E86=0),0,IF(C86=0,"New",(E86-C86)/C86))</f>
        <v>-0.179890023566379</v>
      </c>
      <c r="H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11" t="n">
        <f aca="false">I86*$J$5</f>
        <v>1926.31578947368</v>
      </c>
      <c r="K86" s="11" t="n">
        <f aca="false">J86-H86</f>
        <v>-437.184210526316</v>
      </c>
      <c r="L86" s="10" t="n">
        <f aca="false">IF(AND(H86=0,J86=0),0,IF(H86=0,"New",(J86-H86)/H86))</f>
        <v>-0.184973222139334</v>
      </c>
    </row>
    <row r="87" customFormat="false" ht="15" hidden="false" customHeight="true" outlineLevel="0" collapsed="false">
      <c r="A87" s="8" t="s">
        <v>248</v>
      </c>
      <c r="B87" s="8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-34.2631578947368</v>
      </c>
      <c r="G87" s="10" t="n">
        <f aca="false">IF(AND(C87=0,E87=0),0,IF(C87=0,"New",(E87-C87)/C87))</f>
        <v>-0.601108033240997</v>
      </c>
      <c r="H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11" t="n">
        <f aca="false">I87*$J$5</f>
        <v>435.157894736842</v>
      </c>
      <c r="K87" s="11" t="n">
        <f aca="false">J87-H87</f>
        <v>-675.642105263158</v>
      </c>
      <c r="L87" s="10" t="n">
        <f aca="false">IF(AND(H87=0,J87=0),0,IF(H87=0,"New",(J87-H87)/H87))</f>
        <v>-0.608248204234028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2" t="n">
        <f aca="false">D88*$J$5</f>
        <v>10.1052631578947</v>
      </c>
      <c r="F88" s="22" t="n">
        <f aca="false">E88-C88</f>
        <v>-21.8947368421053</v>
      </c>
      <c r="G88" s="10" t="n">
        <f aca="false">IF(AND(C88=0,E88=0),0,IF(C88=0,"New",(E88-C88)/C88))</f>
        <v>-0.68421052631579</v>
      </c>
      <c r="H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11" t="n">
        <f aca="false">I88*$J$5</f>
        <v>317.810526315789</v>
      </c>
      <c r="K88" s="11" t="n">
        <f aca="false">J88-H88</f>
        <v>-688.889473684211</v>
      </c>
      <c r="L88" s="10" t="n">
        <f aca="false">IF(AND(H88=0,J88=0),0,IF(H88=0,"New",(J88-H88)/H88))</f>
        <v>-0.684304632645486</v>
      </c>
    </row>
    <row r="89" customFormat="false" ht="15" hidden="false" customHeight="true" outlineLevel="0" collapsed="false">
      <c r="A89" s="8" t="s">
        <v>142</v>
      </c>
      <c r="B89" s="8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2" t="n">
        <f aca="false">D89*$J$5</f>
        <v>0</v>
      </c>
      <c r="F89" s="22" t="n">
        <f aca="false">E89-C89</f>
        <v>-3</v>
      </c>
      <c r="G89" s="10" t="n">
        <f aca="false">IF(AND(C89=0,E89=0),0,IF(C89=0,"New",(E89-C89)/C89))</f>
        <v>-1</v>
      </c>
      <c r="H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11" t="n">
        <f aca="false">I89*$J$5</f>
        <v>0</v>
      </c>
      <c r="K89" s="11" t="n">
        <f aca="false">J89-H89</f>
        <v>-732.6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157</v>
      </c>
      <c r="B90" s="8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2" t="n">
        <f aca="false">D90*$J$5</f>
        <v>50.5263157894737</v>
      </c>
      <c r="F90" s="22" t="n">
        <f aca="false">E90-C90</f>
        <v>-11.4736842105263</v>
      </c>
      <c r="G90" s="10" t="n">
        <f aca="false">IF(AND(C90=0,E90=0),0,IF(C90=0,"New",(E90-C90)/C90))</f>
        <v>-0.185059422750424</v>
      </c>
      <c r="H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11" t="n">
        <f aca="false">I90*$J$5</f>
        <v>1479.28421052632</v>
      </c>
      <c r="K90" s="11" t="n">
        <f aca="false">J90-H90</f>
        <v>-409.215789473685</v>
      </c>
      <c r="L90" s="10" t="n">
        <f aca="false">IF(AND(H90=0,J90=0),0,IF(H90=0,"New",(J90-H90)/H90))</f>
        <v>-0.216688265540738</v>
      </c>
    </row>
    <row r="91" customFormat="false" ht="15" hidden="false" customHeight="true" outlineLevel="0" collapsed="false">
      <c r="A91" s="8" t="s">
        <v>181</v>
      </c>
      <c r="B91" s="8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2" t="n">
        <f aca="false">D91*$J$5</f>
        <v>1.26315789473684</v>
      </c>
      <c r="F91" s="22" t="n">
        <f aca="false">E91-C91</f>
        <v>-3.73684210526316</v>
      </c>
      <c r="G91" s="10" t="n">
        <f aca="false">IF(AND(C91=0,E91=0),0,IF(C91=0,"New",(E91-C91)/C91))</f>
        <v>-0.747368421052632</v>
      </c>
      <c r="H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11" t="n">
        <f aca="false">I91*$J$5</f>
        <v>225.978947368421</v>
      </c>
      <c r="K91" s="11" t="n">
        <f aca="false">J91-H91</f>
        <v>-668.421052631579</v>
      </c>
      <c r="L91" s="10" t="n">
        <f aca="false">IF(AND(H91=0,J91=0),0,IF(H91=0,"New",(J91-H91)/H91))</f>
        <v>-0.747340175124753</v>
      </c>
    </row>
    <row r="92" customFormat="false" ht="15" hidden="false" customHeight="true" outlineLevel="0" collapsed="false">
      <c r="A92" s="8" t="s">
        <v>341</v>
      </c>
      <c r="B92" s="8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2" t="n">
        <f aca="false">D92*$J$5</f>
        <v>-3.78947368421053</v>
      </c>
      <c r="F92" s="22" t="n">
        <f aca="false">E92-C92</f>
        <v>-4.78947368421053</v>
      </c>
      <c r="G92" s="10" t="n">
        <f aca="false">IF(AND(C92=0,E92=0),0,IF(C92=0,"New",(E92-C92)/C92))</f>
        <v>-4.78947368421053</v>
      </c>
      <c r="H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11" t="n">
        <f aca="false">I92*$J$5</f>
        <v>-745.515789473684</v>
      </c>
      <c r="K92" s="11" t="n">
        <f aca="false">J92-H92</f>
        <v>-868.015789473684</v>
      </c>
      <c r="L92" s="10" t="n">
        <f aca="false">IF(AND(H92=0,J92=0),0,IF(H92=0,"New",(J92-H92)/H92))</f>
        <v>-7.08584317937701</v>
      </c>
    </row>
    <row r="93" customFormat="false" ht="15" hidden="false" customHeight="true" outlineLevel="0" collapsed="false">
      <c r="A93" s="8" t="s">
        <v>259</v>
      </c>
      <c r="B93" s="8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3.63157894736842</v>
      </c>
      <c r="G93" s="10" t="n">
        <f aca="false">IF(AND(C93=0,E93=0),0,IF(C93=0,"New",(E93-C93)/C93))</f>
        <v>0.110047846889952</v>
      </c>
      <c r="H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11" t="n">
        <f aca="false">I93*$J$5</f>
        <v>6463.32631578947</v>
      </c>
      <c r="K93" s="11" t="n">
        <f aca="false">J93-H93</f>
        <v>640.626315789474</v>
      </c>
      <c r="L93" s="10" t="n">
        <f aca="false">IF(AND(H93=0,J93=0),0,IF(H93=0,"New",(J93-H93)/H93))</f>
        <v>0.110022208904713</v>
      </c>
    </row>
    <row r="94" customFormat="false" ht="15" hidden="false" customHeight="true" outlineLevel="0" collapsed="false">
      <c r="A94" s="8" t="s">
        <v>231</v>
      </c>
      <c r="B94" s="8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2" t="n">
        <f aca="false">D94*$J$5</f>
        <v>15.1578947368421</v>
      </c>
      <c r="F94" s="22" t="n">
        <f aca="false">E94-C94</f>
        <v>8.1578947368421</v>
      </c>
      <c r="G94" s="10" t="n">
        <f aca="false">IF(AND(C94=0,E94=0),0,IF(C94=0,"New",(E94-C94)/C94))</f>
        <v>1.16541353383459</v>
      </c>
      <c r="H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11" t="n">
        <f aca="false">I94*$J$5</f>
        <v>2139.53684210526</v>
      </c>
      <c r="K94" s="11" t="n">
        <f aca="false">J94-H94</f>
        <v>1151.43684210526</v>
      </c>
      <c r="L94" s="10" t="n">
        <f aca="false">IF(AND(H94=0,J94=0),0,IF(H94=0,"New",(J94-H94)/H94))</f>
        <v>1.16530395921998</v>
      </c>
    </row>
    <row r="95" customFormat="false" ht="15" hidden="false" customHeight="true" outlineLevel="0" collapsed="false">
      <c r="A95" s="8" t="s">
        <v>173</v>
      </c>
      <c r="B95" s="8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2" t="n">
        <f aca="false">D95*$J$5</f>
        <v>-5.05263157894737</v>
      </c>
      <c r="F95" s="22" t="n">
        <f aca="false">E95-C95</f>
        <v>-8.05263157894737</v>
      </c>
      <c r="G95" s="10" t="n">
        <f aca="false">IF(AND(C95=0,E95=0),0,IF(C95=0,"New",(E95-C95)/C95))</f>
        <v>-2.68421052631579</v>
      </c>
      <c r="H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11" t="n">
        <f aca="false">I95*$J$5</f>
        <v>-501.347368421053</v>
      </c>
      <c r="K95" s="11" t="n">
        <f aca="false">J95-H95</f>
        <v>-799.047368421052</v>
      </c>
      <c r="L95" s="10" t="n">
        <f aca="false">IF(AND(H95=0,J95=0),0,IF(H95=0,"New",(J95-H95)/H95))</f>
        <v>-2.68406909110196</v>
      </c>
    </row>
    <row r="96" customFormat="false" ht="15" hidden="false" customHeight="true" outlineLevel="0" collapsed="false">
      <c r="A96" s="8" t="s">
        <v>303</v>
      </c>
      <c r="B96" s="8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2" t="n">
        <f aca="false">D96*$J$5</f>
        <v>37.8947368421053</v>
      </c>
      <c r="F96" s="22" t="n">
        <f aca="false">E96-C96</f>
        <v>24.8947368421053</v>
      </c>
      <c r="G96" s="10" t="n">
        <f aca="false">IF(AND(C96=0,E96=0),0,IF(C96=0,"New",(E96-C96)/C96))</f>
        <v>1.91497975708502</v>
      </c>
      <c r="H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11" t="n">
        <f aca="false">I96*$J$5</f>
        <v>1537.01052631579</v>
      </c>
      <c r="K96" s="11" t="n">
        <f aca="false">J96-H96</f>
        <v>1009.81052631579</v>
      </c>
      <c r="L96" s="10" t="n">
        <f aca="false">IF(AND(H96=0,J96=0),0,IF(H96=0,"New",(J96-H96)/H96))</f>
        <v>1.91542209088731</v>
      </c>
    </row>
    <row r="97" customFormat="false" ht="15" hidden="false" customHeight="true" outlineLevel="0" collapsed="false">
      <c r="A97" s="8" t="s">
        <v>245</v>
      </c>
      <c r="B97" s="8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2" t="n">
        <f aca="false">D97*$J$5</f>
        <v>30.3157894736842</v>
      </c>
      <c r="F97" s="22" t="n">
        <f aca="false">E97-C97</f>
        <v>-22.6842105263158</v>
      </c>
      <c r="G97" s="10" t="n">
        <f aca="false">IF(AND(C97=0,E97=0),0,IF(C97=0,"New",(E97-C97)/C97))</f>
        <v>-0.428003972194638</v>
      </c>
      <c r="H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11" t="n">
        <f aca="false">I97*$J$5</f>
        <v>714.821052631579</v>
      </c>
      <c r="K97" s="11" t="n">
        <f aca="false">J97-H97</f>
        <v>-534.978947368421</v>
      </c>
      <c r="L97" s="10" t="n">
        <f aca="false">IF(AND(H97=0,J97=0),0,IF(H97=0,"New",(J97-H97)/H97))</f>
        <v>-0.428051646158122</v>
      </c>
    </row>
    <row r="98" customFormat="false" ht="15" hidden="false" customHeight="true" outlineLevel="0" collapsed="false">
      <c r="A98" s="8" t="s">
        <v>239</v>
      </c>
      <c r="B98" s="8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2" t="n">
        <f aca="false">D98*$J$5</f>
        <v>673.263157894737</v>
      </c>
      <c r="F98" s="22" t="n">
        <f aca="false">E98-C98</f>
        <v>96.2631578947368</v>
      </c>
      <c r="G98" s="10" t="n">
        <f aca="false">IF(AND(C98=0,E98=0),0,IF(C98=0,"New",(E98-C98)/C98))</f>
        <v>0.166833895831433</v>
      </c>
      <c r="H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11" t="n">
        <f aca="false">I98*$J$5</f>
        <v>10368.2526315789</v>
      </c>
      <c r="K98" s="11" t="n">
        <f aca="false">J98-H98</f>
        <v>1482.45263157895</v>
      </c>
      <c r="L98" s="10" t="n">
        <f aca="false">IF(AND(H98=0,J98=0),0,IF(H98=0,"New",(J98-H98)/H98))</f>
        <v>0.166833895831433</v>
      </c>
    </row>
    <row r="99" customFormat="false" ht="15" hidden="false" customHeight="true" outlineLevel="0" collapsed="false">
      <c r="A99" s="8" t="s">
        <v>79</v>
      </c>
      <c r="B99" s="8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2" t="n">
        <f aca="false">D99*$J$5</f>
        <v>132.631578947368</v>
      </c>
      <c r="F99" s="22" t="n">
        <f aca="false">E99-C99</f>
        <v>3.63157894736841</v>
      </c>
      <c r="G99" s="10" t="n">
        <f aca="false">IF(AND(C99=0,E99=0),0,IF(C99=0,"New",(E99-C99)/C99))</f>
        <v>0.0281517747858016</v>
      </c>
      <c r="H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11" t="n">
        <f aca="false">I99*$J$5</f>
        <v>3680.96842105263</v>
      </c>
      <c r="K99" s="11" t="n">
        <f aca="false">J99-H99</f>
        <v>101.068421052631</v>
      </c>
      <c r="L99" s="10" t="n">
        <f aca="false">IF(AND(H99=0,J99=0),0,IF(H99=0,"New",(J99-H99)/H99))</f>
        <v>0.0282321911373589</v>
      </c>
    </row>
    <row r="100" customFormat="false" ht="15" hidden="false" customHeight="true" outlineLevel="0" collapsed="false">
      <c r="A100" s="8" t="s">
        <v>98</v>
      </c>
      <c r="B100" s="8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2" t="n">
        <f aca="false">D100*$J$5</f>
        <v>207.157894736842</v>
      </c>
      <c r="F100" s="22" t="n">
        <f aca="false">E100-C100</f>
        <v>22.1578947368421</v>
      </c>
      <c r="G100" s="10" t="n">
        <f aca="false">IF(AND(C100=0,E100=0),0,IF(C100=0,"New",(E100-C100)/C100))</f>
        <v>0.11977240398293</v>
      </c>
      <c r="H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11" t="n">
        <f aca="false">I100*$J$5</f>
        <v>6977.43157894737</v>
      </c>
      <c r="K100" s="11" t="n">
        <f aca="false">J100-H100</f>
        <v>790.831578947368</v>
      </c>
      <c r="L100" s="10" t="n">
        <f aca="false">IF(AND(H100=0,J100=0),0,IF(H100=0,"New",(J100-H100)/H100))</f>
        <v>0.127829757693623</v>
      </c>
    </row>
    <row r="101" customFormat="false" ht="15" hidden="false" customHeight="true" outlineLevel="0" collapsed="false">
      <c r="A101" s="8" t="s">
        <v>74</v>
      </c>
      <c r="B101" s="8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2" t="n">
        <f aca="false">D101*$J$5</f>
        <v>238.736842105263</v>
      </c>
      <c r="F101" s="22" t="n">
        <f aca="false">E101-C101</f>
        <v>55.7368421052632</v>
      </c>
      <c r="G101" s="10" t="n">
        <f aca="false">IF(AND(C101=0,E101=0),0,IF(C101=0,"New",(E101-C101)/C101))</f>
        <v>0.304572907679034</v>
      </c>
      <c r="H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11" t="n">
        <f aca="false">I101*$J$5</f>
        <v>21002.4</v>
      </c>
      <c r="K101" s="11" t="n">
        <f aca="false">J101-H101</f>
        <v>5015.8</v>
      </c>
      <c r="L101" s="10" t="n">
        <f aca="false">IF(AND(H101=0,J101=0),0,IF(H101=0,"New",(J101-H101)/H101))</f>
        <v>0.313750265847648</v>
      </c>
    </row>
    <row r="102" customFormat="false" ht="15" hidden="false" customHeight="true" outlineLevel="0" collapsed="false">
      <c r="A102" s="8" t="s">
        <v>290</v>
      </c>
      <c r="B102" s="8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2" t="n">
        <f aca="false">D102*$J$5</f>
        <v>8.84210526315789</v>
      </c>
      <c r="F102" s="22" t="n">
        <f aca="false">E102-C102</f>
        <v>8.84210526315789</v>
      </c>
      <c r="G102" s="10" t="str">
        <f aca="false">IF(AND(C102=0,E102=0),0,IF(C102=0,"New",(E102-C102)/C102))</f>
        <v>New</v>
      </c>
      <c r="H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11" t="n">
        <f aca="false">I102*$J$5</f>
        <v>779.873684210526</v>
      </c>
      <c r="K102" s="11" t="n">
        <f aca="false">J102-H102</f>
        <v>779.873684210526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225</v>
      </c>
      <c r="B103" s="8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2" t="n">
        <f aca="false">D103*$J$5</f>
        <v>0</v>
      </c>
      <c r="F103" s="22" t="n">
        <f aca="false">E103-C103</f>
        <v>-16</v>
      </c>
      <c r="G103" s="10" t="n">
        <f aca="false">IF(AND(C103=0,E103=0),0,IF(C103=0,"New",(E103-C103)/C103))</f>
        <v>-1</v>
      </c>
      <c r="H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11" t="n">
        <f aca="false">I103*$J$5</f>
        <v>0</v>
      </c>
      <c r="K103" s="11" t="n">
        <f aca="false">J103-H103</f>
        <v>-605.5</v>
      </c>
      <c r="L103" s="10" t="n">
        <f aca="false">IF(AND(H103=0,J103=0),0,IF(H103=0,"New",(J103-H103)/H103))</f>
        <v>-1</v>
      </c>
    </row>
    <row r="104" customFormat="false" ht="15" hidden="false" customHeight="true" outlineLevel="0" collapsed="false">
      <c r="A104" s="8" t="s">
        <v>117</v>
      </c>
      <c r="B104" s="8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2" t="n">
        <f aca="false">D104*$J$5</f>
        <v>2.52631578947368</v>
      </c>
      <c r="F104" s="22" t="n">
        <f aca="false">E104-C104</f>
        <v>-22.4736842105263</v>
      </c>
      <c r="G104" s="10" t="n">
        <f aca="false">IF(AND(C104=0,E104=0),0,IF(C104=0,"New",(E104-C104)/C104))</f>
        <v>-0.898947368421053</v>
      </c>
      <c r="H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11" t="n">
        <f aca="false">I104*$J$5</f>
        <v>26.6526315789474</v>
      </c>
      <c r="K104" s="11" t="n">
        <f aca="false">J104-H104</f>
        <v>-573.847368421053</v>
      </c>
      <c r="L104" s="10" t="n">
        <f aca="false">IF(AND(H104=0,J104=0),0,IF(H104=0,"New",(J104-H104)/H104))</f>
        <v>-0.955615934090013</v>
      </c>
    </row>
    <row r="105" customFormat="false" ht="15" hidden="false" customHeight="true" outlineLevel="0" collapsed="false">
      <c r="A105" s="8" t="s">
        <v>109</v>
      </c>
      <c r="B105" s="8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-1.94736842105263</v>
      </c>
      <c r="G105" s="10" t="n">
        <f aca="false">IF(AND(C105=0,E105=0),0,IF(C105=0,"New",(E105-C105)/C105))</f>
        <v>-0.278195488721805</v>
      </c>
      <c r="H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11" t="n">
        <f aca="false">I105*$J$5</f>
        <v>946.357894736842</v>
      </c>
      <c r="K105" s="11" t="n">
        <f aca="false">J105-H105</f>
        <v>-364.742105263158</v>
      </c>
      <c r="L105" s="10" t="n">
        <f aca="false">IF(AND(H105=0,J105=0),0,IF(H105=0,"New",(J105-H105)/H105))</f>
        <v>-0.278195488721804</v>
      </c>
    </row>
    <row r="106" customFormat="false" ht="15" hidden="false" customHeight="true" outlineLevel="0" collapsed="false">
      <c r="A106" s="8" t="s">
        <v>171</v>
      </c>
      <c r="B106" s="8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2" t="n">
        <f aca="false">D106*$J$5</f>
        <v>75.7894736842105</v>
      </c>
      <c r="F106" s="22" t="n">
        <f aca="false">E106-C106</f>
        <v>-3.21052631578948</v>
      </c>
      <c r="G106" s="10" t="n">
        <f aca="false">IF(AND(C106=0,E106=0),0,IF(C106=0,"New",(E106-C106)/C106))</f>
        <v>-0.0406395736175884</v>
      </c>
      <c r="H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11" t="n">
        <f aca="false">I106*$J$5</f>
        <v>2185.01052631579</v>
      </c>
      <c r="K106" s="11" t="n">
        <f aca="false">J106-H106</f>
        <v>-100.48947368421</v>
      </c>
      <c r="L106" s="10" t="n">
        <f aca="false">IF(AND(H106=0,J106=0),0,IF(H106=0,"New",(J106-H106)/H106))</f>
        <v>-0.0439682667618509</v>
      </c>
    </row>
    <row r="107" customFormat="false" ht="15" hidden="false" customHeight="true" outlineLevel="0" collapsed="false">
      <c r="A107" s="8" t="s">
        <v>188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2" t="n">
        <f aca="false">D107*$J$5</f>
        <v>271.578947368421</v>
      </c>
      <c r="F107" s="22" t="n">
        <f aca="false">E107-C107</f>
        <v>22.578947368421</v>
      </c>
      <c r="G107" s="10" t="n">
        <f aca="false">IF(AND(C107=0,E107=0),0,IF(C107=0,"New",(E107-C107)/C107))</f>
        <v>0.0906785034876347</v>
      </c>
      <c r="H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11" t="n">
        <f aca="false">I107*$J$5</f>
        <v>4182.31578947368</v>
      </c>
      <c r="K107" s="11" t="n">
        <f aca="false">J107-H107</f>
        <v>347.715789473684</v>
      </c>
      <c r="L107" s="10" t="n">
        <f aca="false">IF(AND(H107=0,J107=0),0,IF(H107=0,"New",(J107-H107)/H107))</f>
        <v>0.0906785034876346</v>
      </c>
    </row>
    <row r="108" customFormat="false" ht="15" hidden="false" customHeight="true" outlineLevel="0" collapsed="false">
      <c r="A108" s="8" t="s">
        <v>73</v>
      </c>
      <c r="B108" s="8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2" t="n">
        <f aca="false">D108*$J$5</f>
        <v>363.789473684211</v>
      </c>
      <c r="F108" s="22" t="n">
        <f aca="false">E108-C108</f>
        <v>68.7894736842105</v>
      </c>
      <c r="G108" s="10" t="n">
        <f aca="false">IF(AND(C108=0,E108=0),0,IF(C108=0,"New",(E108-C108)/C108))</f>
        <v>0.233184656556646</v>
      </c>
      <c r="H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11" t="n">
        <f aca="false">I108*$J$5</f>
        <v>31884.1263157895</v>
      </c>
      <c r="K108" s="11" t="n">
        <f aca="false">J108-H108</f>
        <v>6129.02631578947</v>
      </c>
      <c r="L108" s="10" t="n">
        <f aca="false">IF(AND(H108=0,J108=0),0,IF(H108=0,"New",(J108-H108)/H108))</f>
        <v>0.237973306870852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2" t="n">
        <f aca="false">D109*$J$5</f>
        <v>2.52631578947368</v>
      </c>
      <c r="F109" s="22" t="n">
        <f aca="false">E109-C109</f>
        <v>2.52631578947368</v>
      </c>
      <c r="G109" s="10" t="str">
        <f aca="false">IF(AND(C109=0,E109=0),0,IF(C109=0,"New",(E109-C109)/C109))</f>
        <v>New</v>
      </c>
      <c r="H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11" t="n">
        <f aca="false">I109*$J$5</f>
        <v>635.242105263158</v>
      </c>
      <c r="K109" s="11" t="n">
        <f aca="false">J109-H109</f>
        <v>635.242105263158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141</v>
      </c>
      <c r="B110" s="8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2" t="n">
        <f aca="false">D110*$J$5</f>
        <v>0</v>
      </c>
      <c r="F110" s="22" t="n">
        <f aca="false">E110-C110</f>
        <v>-3</v>
      </c>
      <c r="G110" s="10" t="n">
        <f aca="false">IF(AND(C110=0,E110=0),0,IF(C110=0,"New",(E110-C110)/C110))</f>
        <v>-1</v>
      </c>
      <c r="H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11" t="n">
        <f aca="false">I110*$J$5</f>
        <v>0</v>
      </c>
      <c r="K110" s="11" t="n">
        <f aca="false">J110-H110</f>
        <v>-489.6</v>
      </c>
      <c r="L110" s="10" t="n">
        <f aca="false">IF(AND(H110=0,J110=0),0,IF(H110=0,"New",(J110-H110)/H110))</f>
        <v>-1</v>
      </c>
    </row>
    <row r="111" customFormat="false" ht="15" hidden="false" customHeight="true" outlineLevel="0" collapsed="false">
      <c r="A111" s="8" t="s">
        <v>300</v>
      </c>
      <c r="B111" s="8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2" t="n">
        <f aca="false">D111*$J$5</f>
        <v>31.5789473684211</v>
      </c>
      <c r="F111" s="22" t="n">
        <f aca="false">E111-C111</f>
        <v>11.5789473684211</v>
      </c>
      <c r="G111" s="10" t="n">
        <f aca="false">IF(AND(C111=0,E111=0),0,IF(C111=0,"New",(E111-C111)/C111))</f>
        <v>0.578947368421053</v>
      </c>
      <c r="H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11" t="n">
        <f aca="false">I111*$J$5</f>
        <v>2352.25263157895</v>
      </c>
      <c r="K111" s="11" t="n">
        <f aca="false">J111-H111</f>
        <v>967.552631578947</v>
      </c>
      <c r="L111" s="10" t="n">
        <f aca="false">IF(AND(H111=0,J111=0),0,IF(H111=0,"New",(J111-H111)/H111))</f>
        <v>0.698745310593592</v>
      </c>
    </row>
    <row r="112" customFormat="false" ht="15" hidden="false" customHeight="true" outlineLevel="0" collapsed="false">
      <c r="A112" s="8" t="s">
        <v>132</v>
      </c>
      <c r="B112" s="8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2" t="n">
        <f aca="false">D112*$J$5</f>
        <v>198.315789473684</v>
      </c>
      <c r="F112" s="22" t="n">
        <f aca="false">E112-C112</f>
        <v>-2.68421052631581</v>
      </c>
      <c r="G112" s="10" t="n">
        <f aca="false">IF(AND(C112=0,E112=0),0,IF(C112=0,"New",(E112-C112)/C112))</f>
        <v>-0.0133542812254518</v>
      </c>
      <c r="H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11" t="n">
        <f aca="false">I112*$J$5</f>
        <v>2169.6</v>
      </c>
      <c r="K112" s="11" t="n">
        <f aca="false">J112-H112</f>
        <v>-13.8000000000002</v>
      </c>
      <c r="L112" s="10" t="n">
        <f aca="false">IF(AND(H112=0,J112=0),0,IF(H112=0,"New",(J112-H112)/H112))</f>
        <v>-0.00632041769716964</v>
      </c>
    </row>
    <row r="113" customFormat="false" ht="15" hidden="false" customHeight="true" outlineLevel="0" collapsed="false">
      <c r="A113" s="8" t="s">
        <v>353</v>
      </c>
      <c r="B113" s="8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2" t="n">
        <f aca="false">D113*$J$5</f>
        <v>0</v>
      </c>
      <c r="F113" s="22" t="n">
        <f aca="false">E113-C113</f>
        <v>7</v>
      </c>
      <c r="G113" s="10" t="n">
        <f aca="false">IF(AND(C113=0,E113=0),0,IF(C113=0,"New",(E113-C113)/C113))</f>
        <v>-1</v>
      </c>
      <c r="H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11" t="n">
        <f aca="false">I113*$J$5</f>
        <v>0</v>
      </c>
      <c r="K113" s="11" t="n">
        <f aca="false">J113-H113</f>
        <v>448.2</v>
      </c>
      <c r="L113" s="10" t="n">
        <f aca="false">IF(AND(H113=0,J113=0),0,IF(H113=0,"New",(J113-H113)/H113))</f>
        <v>-1</v>
      </c>
    </row>
    <row r="114" customFormat="false" ht="15" hidden="false" customHeight="true" outlineLevel="0" collapsed="false">
      <c r="A114" s="8" t="s">
        <v>237</v>
      </c>
      <c r="B114" s="8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2" t="n">
        <f aca="false">D114*$J$5</f>
        <v>238.736842105263</v>
      </c>
      <c r="F114" s="22" t="n">
        <f aca="false">E114-C114</f>
        <v>20.7368421052632</v>
      </c>
      <c r="G114" s="10" t="n">
        <f aca="false">IF(AND(C114=0,E114=0),0,IF(C114=0,"New",(E114-C114)/C114))</f>
        <v>0.0951231289232255</v>
      </c>
      <c r="H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11" t="n">
        <f aca="false">I114*$J$5</f>
        <v>3676.54736842105</v>
      </c>
      <c r="K114" s="11" t="n">
        <f aca="false">J114-H114</f>
        <v>319.347368421053</v>
      </c>
      <c r="L114" s="10" t="n">
        <f aca="false">IF(AND(H114=0,J114=0),0,IF(H114=0,"New",(J114-H114)/H114))</f>
        <v>0.0951231289232255</v>
      </c>
    </row>
    <row r="115" customFormat="false" ht="15" hidden="false" customHeight="true" outlineLevel="0" collapsed="false">
      <c r="A115" s="8" t="s">
        <v>295</v>
      </c>
      <c r="B115" s="8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2" t="n">
        <f aca="false">D115*$J$5</f>
        <v>40.4210526315789</v>
      </c>
      <c r="F115" s="22" t="n">
        <f aca="false">E115-C115</f>
        <v>23.4210526315789</v>
      </c>
      <c r="G115" s="10" t="n">
        <f aca="false">IF(AND(C115=0,E115=0),0,IF(C115=0,"New",(E115-C115)/C115))</f>
        <v>1.37770897832817</v>
      </c>
      <c r="H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11" t="n">
        <f aca="false">I115*$J$5</f>
        <v>1112.46315789474</v>
      </c>
      <c r="K115" s="11" t="n">
        <f aca="false">J115-H115</f>
        <v>644.663157894737</v>
      </c>
      <c r="L115" s="10" t="n">
        <f aca="false">IF(AND(H115=0,J115=0),0,IF(H115=0,"New",(J115-H115)/H115))</f>
        <v>1.37807430075831</v>
      </c>
    </row>
    <row r="116" customFormat="false" ht="15" hidden="false" customHeight="true" outlineLevel="0" collapsed="false">
      <c r="A116" s="8" t="s">
        <v>158</v>
      </c>
      <c r="B116" s="8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2" t="n">
        <f aca="false">D116*$J$5</f>
        <v>102.315789473684</v>
      </c>
      <c r="F116" s="22" t="n">
        <f aca="false">E116-C116</f>
        <v>36.3157894736842</v>
      </c>
      <c r="G116" s="10" t="n">
        <f aca="false">IF(AND(C116=0,E116=0),0,IF(C116=0,"New",(E116-C116)/C116))</f>
        <v>0.550239234449761</v>
      </c>
      <c r="H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11" t="n">
        <f aca="false">I116*$J$5</f>
        <v>2688.25263157895</v>
      </c>
      <c r="K116" s="11" t="n">
        <f aca="false">J116-H116</f>
        <v>960.952631578947</v>
      </c>
      <c r="L116" s="10" t="n">
        <f aca="false">IF(AND(H116=0,J116=0),0,IF(H116=0,"New",(J116-H116)/H116))</f>
        <v>0.556332213037079</v>
      </c>
    </row>
    <row r="117" customFormat="false" ht="15" hidden="false" customHeight="true" outlineLevel="0" collapsed="false">
      <c r="A117" s="8" t="s">
        <v>320</v>
      </c>
      <c r="B117" s="8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2" t="n">
        <f aca="false">D117*$J$5</f>
        <v>0</v>
      </c>
      <c r="F117" s="22" t="n">
        <f aca="false">E117-C117</f>
        <v>4</v>
      </c>
      <c r="G117" s="10" t="n">
        <f aca="false">IF(AND(C117=0,E117=0),0,IF(C117=0,"New",(E117-C117)/C117))</f>
        <v>-1</v>
      </c>
      <c r="H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11" t="n">
        <f aca="false">I117*$J$5</f>
        <v>0</v>
      </c>
      <c r="K117" s="11" t="n">
        <f aca="false">J117-H117</f>
        <v>390.6</v>
      </c>
      <c r="L117" s="10" t="n">
        <f aca="false">IF(AND(H117=0,J117=0),0,IF(H117=0,"New",(J117-H117)/H117))</f>
        <v>-1</v>
      </c>
    </row>
    <row r="118" customFormat="false" ht="15" hidden="false" customHeight="true" outlineLevel="0" collapsed="false">
      <c r="A118" s="8" t="s">
        <v>217</v>
      </c>
      <c r="B118" s="8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2" t="n">
        <f aca="false">D118*$J$5</f>
        <v>29.0526315789474</v>
      </c>
      <c r="F118" s="22" t="n">
        <f aca="false">E118-C118</f>
        <v>-39.9473684210526</v>
      </c>
      <c r="G118" s="10" t="n">
        <f aca="false">IF(AND(C118=0,E118=0),0,IF(C118=0,"New",(E118-C118)/C118))</f>
        <v>-0.578947368421053</v>
      </c>
      <c r="H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11" t="n">
        <f aca="false">I118*$J$5</f>
        <v>237.6</v>
      </c>
      <c r="K118" s="11" t="n">
        <f aca="false">J118-H118</f>
        <v>-326.8</v>
      </c>
      <c r="L118" s="10" t="n">
        <f aca="false">IF(AND(H118=0,J118=0),0,IF(H118=0,"New",(J118-H118)/H118))</f>
        <v>-0.579021970233877</v>
      </c>
    </row>
    <row r="119" customFormat="false" ht="15" hidden="false" customHeight="true" outlineLevel="0" collapsed="false">
      <c r="A119" s="8" t="s">
        <v>113</v>
      </c>
      <c r="B119" s="8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2" t="n">
        <f aca="false">D119*$J$5</f>
        <v>7.57894736842105</v>
      </c>
      <c r="F119" s="22" t="n">
        <f aca="false">E119-C119</f>
        <v>-0.421052631578948</v>
      </c>
      <c r="G119" s="10" t="n">
        <f aca="false">IF(AND(C119=0,E119=0),0,IF(C119=0,"New",(E119-C119)/C119))</f>
        <v>-0.0526315789473685</v>
      </c>
      <c r="H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11" t="n">
        <f aca="false">I119*$J$5</f>
        <v>1223.49473684211</v>
      </c>
      <c r="K119" s="11" t="n">
        <f aca="false">J119-H119</f>
        <v>-120.505263157895</v>
      </c>
      <c r="L119" s="10" t="n">
        <f aca="false">IF(AND(H119=0,J119=0),0,IF(H119=0,"New",(J119-H119)/H119))</f>
        <v>-0.0896616541353383</v>
      </c>
    </row>
    <row r="120" customFormat="false" ht="15" hidden="false" customHeight="true" outlineLevel="0" collapsed="false">
      <c r="A120" s="8" t="s">
        <v>91</v>
      </c>
      <c r="B120" s="8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2" t="n">
        <f aca="false">D120*$J$5</f>
        <v>56.8421052631579</v>
      </c>
      <c r="F120" s="22" t="n">
        <f aca="false">E120-C120</f>
        <v>-3.15789473684211</v>
      </c>
      <c r="G120" s="10" t="n">
        <f aca="false">IF(AND(C120=0,E120=0),0,IF(C120=0,"New",(E120-C120)/C120))</f>
        <v>-0.0526315789473685</v>
      </c>
      <c r="H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11" t="n">
        <f aca="false">I120*$J$5</f>
        <v>1417.13684210526</v>
      </c>
      <c r="K120" s="11" t="n">
        <f aca="false">J120-H120</f>
        <v>-78.6631578947367</v>
      </c>
      <c r="L120" s="10" t="n">
        <f aca="false">IF(AND(H120=0,J120=0),0,IF(H120=0,"New",(J120-H120)/H120))</f>
        <v>-0.0525893554584415</v>
      </c>
    </row>
    <row r="121" customFormat="false" ht="15" hidden="false" customHeight="true" outlineLevel="0" collapsed="false">
      <c r="A121" s="8" t="s">
        <v>223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2" t="n">
        <f aca="false">D121*$J$5</f>
        <v>10.1052631578947</v>
      </c>
      <c r="F121" s="22" t="n">
        <f aca="false">E121-C121</f>
        <v>-1.89473684210526</v>
      </c>
      <c r="G121" s="10" t="n">
        <f aca="false">IF(AND(C121=0,E121=0),0,IF(C121=0,"New",(E121-C121)/C121))</f>
        <v>-0.157894736842105</v>
      </c>
      <c r="H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11" t="n">
        <f aca="false">I121*$J$5</f>
        <v>891.284210526316</v>
      </c>
      <c r="K121" s="11" t="n">
        <f aca="false">J121-H121</f>
        <v>-167.115789473684</v>
      </c>
      <c r="L121" s="10" t="n">
        <f aca="false">IF(AND(H121=0,J121=0),0,IF(H121=0,"New",(J121-H121)/H121))</f>
        <v>-0.157894736842105</v>
      </c>
    </row>
    <row r="122" customFormat="false" ht="15" hidden="false" customHeight="true" outlineLevel="0" collapsed="false">
      <c r="A122" s="8" t="s">
        <v>291</v>
      </c>
      <c r="B122" s="8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2.26315789473684</v>
      </c>
      <c r="G122" s="10" t="n">
        <f aca="false">IF(AND(C122=0,E122=0),0,IF(C122=0,"New",(E122-C122)/C122))</f>
        <v>-2.26315789473684</v>
      </c>
      <c r="H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11" t="n">
        <f aca="false">I122*$J$5</f>
        <v>217.263157894737</v>
      </c>
      <c r="K122" s="11" t="n">
        <f aca="false">J122-H122</f>
        <v>396.163157894737</v>
      </c>
      <c r="L122" s="10" t="n">
        <f aca="false">IF(AND(H122=0,J122=0),0,IF(H122=0,"New",(J122-H122)/H122))</f>
        <v>-2.21443911623665</v>
      </c>
    </row>
    <row r="123" customFormat="false" ht="15" hidden="false" customHeight="true" outlineLevel="0" collapsed="false">
      <c r="A123" s="8" t="s">
        <v>301</v>
      </c>
      <c r="B123" s="8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2" t="n">
        <f aca="false">D123*$J$5</f>
        <v>10.1052631578947</v>
      </c>
      <c r="F123" s="22" t="n">
        <f aca="false">E123-C123</f>
        <v>9.10526315789474</v>
      </c>
      <c r="G123" s="10" t="n">
        <f aca="false">IF(AND(C123=0,E123=0),0,IF(C123=0,"New",(E123-C123)/C123))</f>
        <v>9.10526315789474</v>
      </c>
      <c r="H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11" t="n">
        <f aca="false">I123*$J$5</f>
        <v>392.715789473684</v>
      </c>
      <c r="K123" s="11" t="n">
        <f aca="false">J123-H123</f>
        <v>426.415789473684</v>
      </c>
      <c r="L123" s="10" t="n">
        <f aca="false">IF(AND(H123=0,J123=0),0,IF(H123=0,"New",(J123-H123)/H123))</f>
        <v>-12.6532875214743</v>
      </c>
    </row>
    <row r="124" customFormat="false" ht="15" hidden="false" customHeight="true" outlineLevel="0" collapsed="false">
      <c r="A124" s="8" t="s">
        <v>177</v>
      </c>
      <c r="B124" s="8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2" t="n">
        <f aca="false">D124*$J$5</f>
        <v>138.947368421053</v>
      </c>
      <c r="F124" s="22" t="n">
        <f aca="false">E124-C124</f>
        <v>22.9473684210526</v>
      </c>
      <c r="G124" s="10" t="n">
        <f aca="false">IF(AND(C124=0,E124=0),0,IF(C124=0,"New",(E124-C124)/C124))</f>
        <v>0.197822141560799</v>
      </c>
      <c r="H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11" t="n">
        <f aca="false">I124*$J$5</f>
        <v>7963.07368421053</v>
      </c>
      <c r="K124" s="11" t="n">
        <f aca="false">J124-H124</f>
        <v>1315.17368421052</v>
      </c>
      <c r="L124" s="10" t="n">
        <f aca="false">IF(AND(H124=0,J124=0),0,IF(H124=0,"New",(J124-H124)/H124))</f>
        <v>0.197832952392564</v>
      </c>
    </row>
    <row r="125" customFormat="false" ht="15" hidden="false" customHeight="true" outlineLevel="0" collapsed="false">
      <c r="A125" s="8" t="s">
        <v>354</v>
      </c>
      <c r="B125" s="8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2" t="n">
        <f aca="false">D125*$J$5</f>
        <v>0</v>
      </c>
      <c r="F125" s="22" t="n">
        <f aca="false">E125-C125</f>
        <v>6</v>
      </c>
      <c r="G125" s="10" t="n">
        <f aca="false">IF(AND(C125=0,E125=0),0,IF(C125=0,"New",(E125-C125)/C125))</f>
        <v>-1</v>
      </c>
      <c r="H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11" t="n">
        <f aca="false">I125*$J$5</f>
        <v>0</v>
      </c>
      <c r="K125" s="11" t="n">
        <f aca="false">J125-H125</f>
        <v>317.4</v>
      </c>
      <c r="L125" s="10" t="n">
        <f aca="false">IF(AND(H125=0,J125=0),0,IF(H125=0,"New",(J125-H125)/H125))</f>
        <v>-1</v>
      </c>
    </row>
    <row r="126" customFormat="false" ht="15" hidden="false" customHeight="true" outlineLevel="0" collapsed="false">
      <c r="A126" s="8" t="s">
        <v>219</v>
      </c>
      <c r="B126" s="8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2" t="n">
        <f aca="false">D126*$J$5</f>
        <v>-7.57894736842105</v>
      </c>
      <c r="F126" s="22" t="n">
        <f aca="false">E126-C126</f>
        <v>7.42105263157895</v>
      </c>
      <c r="G126" s="10" t="n">
        <f aca="false">IF(AND(C126=0,E126=0),0,IF(C126=0,"New",(E126-C126)/C126))</f>
        <v>-0.494736842105263</v>
      </c>
      <c r="H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11" t="n">
        <f aca="false">I126*$J$5</f>
        <v>-242.021052631579</v>
      </c>
      <c r="K126" s="11" t="n">
        <f aca="false">J126-H126</f>
        <v>265.878947368421</v>
      </c>
      <c r="L126" s="10" t="n">
        <f aca="false">IF(AND(H126=0,J126=0),0,IF(H126=0,"New",(J126-H126)/H126))</f>
        <v>-0.523486803245562</v>
      </c>
    </row>
    <row r="127" customFormat="false" ht="15" hidden="false" customHeight="true" outlineLevel="0" collapsed="false">
      <c r="A127" s="8" t="s">
        <v>224</v>
      </c>
      <c r="B127" s="8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2" t="n">
        <f aca="false">D127*$J$5</f>
        <v>202.105263157895</v>
      </c>
      <c r="F127" s="22" t="n">
        <f aca="false">E127-C127</f>
        <v>84.1052631578947</v>
      </c>
      <c r="G127" s="10" t="n">
        <f aca="false">IF(AND(C127=0,E127=0),0,IF(C127=0,"New",(E127-C127)/C127))</f>
        <v>0.712756467439786</v>
      </c>
      <c r="H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11" t="n">
        <f aca="false">I127*$J$5</f>
        <v>1459.2</v>
      </c>
      <c r="K127" s="11" t="n">
        <f aca="false">J127-H127</f>
        <v>607.2</v>
      </c>
      <c r="L127" s="10" t="n">
        <f aca="false">IF(AND(H127=0,J127=0),0,IF(H127=0,"New",(J127-H127)/H127))</f>
        <v>0.712676056338028</v>
      </c>
    </row>
    <row r="128" customFormat="false" ht="15" hidden="false" customHeight="true" outlineLevel="0" collapsed="false">
      <c r="A128" s="8" t="s">
        <v>355</v>
      </c>
      <c r="B128" s="8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2" t="n">
        <f aca="false">D128*$J$5</f>
        <v>-1.26315789473684</v>
      </c>
      <c r="F128" s="22" t="n">
        <f aca="false">E128-C128</f>
        <v>2.73684210526316</v>
      </c>
      <c r="G128" s="10" t="n">
        <f aca="false">IF(AND(C128=0,E128=0),0,IF(C128=0,"New",(E128-C128)/C128))</f>
        <v>-0.68421052631579</v>
      </c>
      <c r="H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11" t="n">
        <f aca="false">I128*$J$5</f>
        <v>-122.147368421053</v>
      </c>
      <c r="K128" s="11" t="n">
        <f aca="false">J128-H128</f>
        <v>264.852631578947</v>
      </c>
      <c r="L128" s="10" t="n">
        <f aca="false">IF(AND(H128=0,J128=0),0,IF(H128=0,"New",(J128-H128)/H128))</f>
        <v>-0.6843737250102</v>
      </c>
    </row>
    <row r="129" customFormat="false" ht="15" hidden="false" customHeight="true" outlineLevel="0" collapsed="false">
      <c r="A129" s="8" t="s">
        <v>187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2" t="n">
        <f aca="false">D129*$J$5</f>
        <v>84.6315789473684</v>
      </c>
      <c r="F129" s="22" t="n">
        <f aca="false">E129-C129</f>
        <v>-3.36842105263159</v>
      </c>
      <c r="G129" s="10" t="n">
        <f aca="false">IF(AND(C129=0,E129=0),0,IF(C129=0,"New",(E129-C129)/C129))</f>
        <v>-0.0382775119617226</v>
      </c>
      <c r="H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11" t="n">
        <f aca="false">I129*$J$5</f>
        <v>1125.85263157895</v>
      </c>
      <c r="K129" s="11" t="n">
        <f aca="false">J129-H129</f>
        <v>-23.2473684210527</v>
      </c>
      <c r="L129" s="10" t="n">
        <f aca="false">IF(AND(H129=0,J129=0),0,IF(H129=0,"New",(J129-H129)/H129))</f>
        <v>-0.0202309358811702</v>
      </c>
    </row>
    <row r="130" customFormat="false" ht="15" hidden="false" customHeight="true" outlineLevel="0" collapsed="false">
      <c r="A130" s="8" t="s">
        <v>159</v>
      </c>
      <c r="B130" s="8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2" t="n">
        <f aca="false">D130*$J$5</f>
        <v>-5.05263157894737</v>
      </c>
      <c r="F130" s="22" t="n">
        <f aca="false">E130-C130</f>
        <v>-9.05263157894737</v>
      </c>
      <c r="G130" s="10" t="n">
        <f aca="false">IF(AND(C130=0,E130=0),0,IF(C130=0,"New",(E130-C130)/C130))</f>
        <v>-2.26315789473684</v>
      </c>
      <c r="H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11" t="n">
        <f aca="false">I130*$J$5</f>
        <v>-172.168421052632</v>
      </c>
      <c r="K130" s="11" t="n">
        <f aca="false">J130-H130</f>
        <v>-268.268421052632</v>
      </c>
      <c r="L130" s="10" t="n">
        <f aca="false">IF(AND(H130=0,J130=0),0,IF(H130=0,"New",(J130-H130)/H130))</f>
        <v>-2.79155484966318</v>
      </c>
    </row>
    <row r="131" customFormat="false" ht="15" hidden="false" customHeight="true" outlineLevel="0" collapsed="false">
      <c r="A131" s="8" t="s">
        <v>129</v>
      </c>
      <c r="B131" s="8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2" t="n">
        <f aca="false">D131*$J$5</f>
        <v>2.52631578947368</v>
      </c>
      <c r="F131" s="22" t="n">
        <f aca="false">E131-C131</f>
        <v>3.52631578947368</v>
      </c>
      <c r="G131" s="10" t="n">
        <f aca="false">IF(AND(C131=0,E131=0),0,IF(C131=0,"New",(E131-C131)/C131))</f>
        <v>-3.52631578947368</v>
      </c>
      <c r="H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11" t="n">
        <f aca="false">I131*$J$5</f>
        <v>190.105263157895</v>
      </c>
      <c r="K131" s="11" t="n">
        <f aca="false">J131-H131</f>
        <v>265.405263157895</v>
      </c>
      <c r="L131" s="10" t="n">
        <f aca="false">IF(AND(H131=0,J131=0),0,IF(H131=0,"New",(J131-H131)/H131))</f>
        <v>-3.52463828894947</v>
      </c>
    </row>
    <row r="132" customFormat="false" ht="15" hidden="false" customHeight="true" outlineLevel="0" collapsed="false">
      <c r="A132" s="8" t="s">
        <v>285</v>
      </c>
      <c r="B132" s="8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2" t="n">
        <f aca="false">D132*$J$5</f>
        <v>-1.26315789473684</v>
      </c>
      <c r="F132" s="22" t="n">
        <f aca="false">E132-C132</f>
        <v>-1.26315789473684</v>
      </c>
      <c r="G132" s="10" t="str">
        <f aca="false">IF(AND(C132=0,E132=0),0,IF(C132=0,"New",(E132-C132)/C132))</f>
        <v>New</v>
      </c>
      <c r="H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11" t="n">
        <f aca="false">I132*$J$5</f>
        <v>-281.936842105263</v>
      </c>
      <c r="K132" s="11" t="n">
        <f aca="false">J132-H132</f>
        <v>-281.936842105263</v>
      </c>
      <c r="L132" s="10" t="str">
        <f aca="false">IF(AND(H132=0,J132=0),0,IF(H132=0,"New",(J132-H132)/H132))</f>
        <v>New</v>
      </c>
    </row>
    <row r="133" customFormat="false" ht="15" hidden="false" customHeight="true" outlineLevel="0" collapsed="false">
      <c r="A133" s="8" t="s">
        <v>151</v>
      </c>
      <c r="B133" s="8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2" t="n">
        <f aca="false">D133*$J$5</f>
        <v>146.526315789474</v>
      </c>
      <c r="F133" s="22" t="n">
        <f aca="false">E133-C133</f>
        <v>23.5263157894737</v>
      </c>
      <c r="G133" s="10" t="n">
        <f aca="false">IF(AND(C133=0,E133=0),0,IF(C133=0,"New",(E133-C133)/C133))</f>
        <v>0.191270860077022</v>
      </c>
      <c r="H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11" t="n">
        <f aca="false">I133*$J$5</f>
        <v>4197.47368421053</v>
      </c>
      <c r="K133" s="11" t="n">
        <f aca="false">J133-H133</f>
        <v>658.473684210526</v>
      </c>
      <c r="L133" s="10" t="n">
        <f aca="false">IF(AND(H133=0,J133=0),0,IF(H133=0,"New",(J133-H133)/H133))</f>
        <v>0.186062075221963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2" t="n">
        <f aca="false">D134*$J$5</f>
        <v>42.9473684210526</v>
      </c>
      <c r="F134" s="22" t="n">
        <f aca="false">E134-C134</f>
        <v>-11.0526315789474</v>
      </c>
      <c r="G134" s="10" t="n">
        <f aca="false">IF(AND(C134=0,E134=0),0,IF(C134=0,"New",(E134-C134)/C134))</f>
        <v>-0.204678362573099</v>
      </c>
      <c r="H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11" t="n">
        <f aca="false">I134*$J$5</f>
        <v>458.652631578947</v>
      </c>
      <c r="K134" s="11" t="n">
        <f aca="false">J134-H134</f>
        <v>-118.047368421053</v>
      </c>
      <c r="L134" s="10" t="n">
        <f aca="false">IF(AND(H134=0,J134=0),0,IF(H134=0,"New",(J134-H134)/H134))</f>
        <v>-0.204694587170197</v>
      </c>
    </row>
    <row r="135" customFormat="false" ht="15" hidden="false" customHeight="true" outlineLevel="0" collapsed="false">
      <c r="A135" s="8" t="s">
        <v>247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2" t="n">
        <f aca="false">D135*$J$5</f>
        <v>7.57894736842105</v>
      </c>
      <c r="F135" s="22" t="n">
        <f aca="false">E135-C135</f>
        <v>-2.42105263157895</v>
      </c>
      <c r="G135" s="10" t="n">
        <f aca="false">IF(AND(C135=0,E135=0),0,IF(C135=0,"New",(E135-C135)/C135))</f>
        <v>-0.242105263157895</v>
      </c>
      <c r="H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11" t="n">
        <f aca="false">I135*$J$5</f>
        <v>564.631578947368</v>
      </c>
      <c r="K135" s="11" t="n">
        <f aca="false">J135-H135</f>
        <v>-82.8684210526313</v>
      </c>
      <c r="L135" s="10" t="n">
        <f aca="false">IF(AND(H135=0,J135=0),0,IF(H135=0,"New",(J135-H135)/H135))</f>
        <v>-0.127982117455801</v>
      </c>
    </row>
    <row r="136" customFormat="false" ht="15" hidden="false" customHeight="true" outlineLevel="0" collapsed="false">
      <c r="A136" s="8" t="s">
        <v>179</v>
      </c>
      <c r="B136" s="8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2" t="n">
        <f aca="false">D136*$J$5</f>
        <v>32.8421052631579</v>
      </c>
      <c r="F136" s="22" t="n">
        <f aca="false">E136-C136</f>
        <v>-2.15789473684211</v>
      </c>
      <c r="G136" s="10" t="n">
        <f aca="false">IF(AND(C136=0,E136=0),0,IF(C136=0,"New",(E136-C136)/C136))</f>
        <v>-0.061654135338346</v>
      </c>
      <c r="H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11" t="n">
        <f aca="false">I136*$J$5</f>
        <v>584.842105263158</v>
      </c>
      <c r="K136" s="11" t="n">
        <f aca="false">J136-H136</f>
        <v>-73.357894736842</v>
      </c>
      <c r="L136" s="10" t="n">
        <f aca="false">IF(AND(H136=0,J136=0),0,IF(H136=0,"New",(J136-H136)/H136))</f>
        <v>-0.111452286139231</v>
      </c>
    </row>
    <row r="137" customFormat="false" ht="15" hidden="false" customHeight="true" outlineLevel="0" collapsed="false">
      <c r="A137" s="8" t="s">
        <v>261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2" t="n">
        <f aca="false">D137*$J$5</f>
        <v>2.52631578947368</v>
      </c>
      <c r="F137" s="22" t="n">
        <f aca="false">E137-C137</f>
        <v>2.52631578947368</v>
      </c>
      <c r="G137" s="10" t="str">
        <f aca="false">IF(AND(C137=0,E137=0),0,IF(C137=0,"New",(E137-C137)/C137))</f>
        <v>New</v>
      </c>
      <c r="H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11" t="n">
        <f aca="false">I137*$J$5</f>
        <v>245.178947368421</v>
      </c>
      <c r="K137" s="11" t="n">
        <f aca="false">J137-H137</f>
        <v>245.178947368421</v>
      </c>
      <c r="L137" s="10" t="str">
        <f aca="false">IF(AND(H137=0,J137=0),0,IF(H137=0,"New",(J137-H137)/H137))</f>
        <v>New</v>
      </c>
    </row>
    <row r="138" customFormat="false" ht="15" hidden="false" customHeight="true" outlineLevel="0" collapsed="false">
      <c r="A138" s="8" t="s">
        <v>254</v>
      </c>
      <c r="B138" s="8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2" t="n">
        <f aca="false">D138*$J$5</f>
        <v>0</v>
      </c>
      <c r="F138" s="22" t="n">
        <f aca="false">E138-C138</f>
        <v>2</v>
      </c>
      <c r="G138" s="10" t="n">
        <f aca="false">IF(AND(C138=0,E138=0),0,IF(C138=0,"New",(E138-C138)/C138))</f>
        <v>-1</v>
      </c>
      <c r="H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11" t="n">
        <f aca="false">I138*$J$5</f>
        <v>0</v>
      </c>
      <c r="K138" s="11" t="n">
        <f aca="false">J138-H138</f>
        <v>194.1</v>
      </c>
      <c r="L138" s="10" t="n">
        <f aca="false">IF(AND(H138=0,J138=0),0,IF(H138=0,"New",(J138-H138)/H138))</f>
        <v>-1</v>
      </c>
    </row>
    <row r="139" customFormat="false" ht="15" hidden="false" customHeight="true" outlineLevel="0" collapsed="false">
      <c r="A139" s="8" t="s">
        <v>211</v>
      </c>
      <c r="B139" s="8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2" t="n">
        <f aca="false">D139*$J$5</f>
        <v>0</v>
      </c>
      <c r="F139" s="22" t="n">
        <f aca="false">E139-C139</f>
        <v>-2</v>
      </c>
      <c r="G139" s="10" t="n">
        <f aca="false">IF(AND(C139=0,E139=0),0,IF(C139=0,"New",(E139-C139)/C139))</f>
        <v>-1</v>
      </c>
      <c r="H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11" t="n">
        <f aca="false">I139*$J$5</f>
        <v>0</v>
      </c>
      <c r="K139" s="11" t="n">
        <f aca="false">J139-H139</f>
        <v>-176.4</v>
      </c>
      <c r="L139" s="10" t="n">
        <f aca="false">IF(AND(H139=0,J139=0),0,IF(H139=0,"New",(J139-H139)/H139))</f>
        <v>-1</v>
      </c>
    </row>
    <row r="140" customFormat="false" ht="15" hidden="false" customHeight="true" outlineLevel="0" collapsed="false">
      <c r="A140" s="8" t="s">
        <v>269</v>
      </c>
      <c r="B140" s="8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2" t="n">
        <f aca="false">D140*$J$5</f>
        <v>-1.26315789473684</v>
      </c>
      <c r="F140" s="22" t="n">
        <f aca="false">E140-C140</f>
        <v>1.73684210526316</v>
      </c>
      <c r="G140" s="10" t="n">
        <f aca="false">IF(AND(C140=0,E140=0),0,IF(C140=0,"New",(E140-C140)/C140))</f>
        <v>-0.578947368421053</v>
      </c>
      <c r="H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11" t="n">
        <f aca="false">I140*$J$5</f>
        <v>-86.5263157894737</v>
      </c>
      <c r="K140" s="11" t="n">
        <f aca="false">J140-H140</f>
        <v>155.973684210526</v>
      </c>
      <c r="L140" s="10" t="n">
        <f aca="false">IF(AND(H140=0,J140=0),0,IF(H140=0,"New",(J140-H140)/H140))</f>
        <v>-0.643190450352686</v>
      </c>
    </row>
    <row r="141" customFormat="false" ht="15" hidden="false" customHeight="true" outlineLevel="0" collapsed="false">
      <c r="A141" s="8" t="s">
        <v>190</v>
      </c>
      <c r="B141" s="8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2" t="n">
        <f aca="false">D141*$J$5</f>
        <v>48</v>
      </c>
      <c r="F141" s="22" t="n">
        <f aca="false">E141-C141</f>
        <v>3</v>
      </c>
      <c r="G141" s="10" t="n">
        <f aca="false">IF(AND(C141=0,E141=0),0,IF(C141=0,"New",(E141-C141)/C141))</f>
        <v>0.0666666666666667</v>
      </c>
      <c r="H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11" t="n">
        <f aca="false">I141*$J$5</f>
        <v>1004.21052631579</v>
      </c>
      <c r="K141" s="11" t="n">
        <f aca="false">J141-H141</f>
        <v>43.8105263157892</v>
      </c>
      <c r="L141" s="10" t="n">
        <f aca="false">IF(AND(H141=0,J141=0),0,IF(H141=0,"New",(J141-H141)/H141))</f>
        <v>0.045616957846511</v>
      </c>
    </row>
    <row r="142" customFormat="false" ht="15" hidden="false" customHeight="true" outlineLevel="0" collapsed="false">
      <c r="A142" s="8" t="s">
        <v>356</v>
      </c>
      <c r="B142" s="8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2" t="n">
        <f aca="false">D142*$J$5</f>
        <v>0</v>
      </c>
      <c r="F142" s="22" t="n">
        <f aca="false">E142-C142</f>
        <v>1</v>
      </c>
      <c r="G142" s="10" t="n">
        <f aca="false">IF(AND(C142=0,E142=0),0,IF(C142=0,"New",(E142-C142)/C142))</f>
        <v>-1</v>
      </c>
      <c r="H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11" t="n">
        <f aca="false">I142*$J$5</f>
        <v>0</v>
      </c>
      <c r="K142" s="11" t="n">
        <f aca="false">J142-H142</f>
        <v>158.8</v>
      </c>
      <c r="L142" s="10" t="n">
        <f aca="false">IF(AND(H142=0,J142=0),0,IF(H142=0,"New",(J142-H142)/H142))</f>
        <v>-1</v>
      </c>
    </row>
    <row r="143" customFormat="false" ht="15" hidden="false" customHeight="true" outlineLevel="0" collapsed="false">
      <c r="A143" s="8" t="s">
        <v>293</v>
      </c>
      <c r="B143" s="8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2" t="n">
        <f aca="false">D143*$J$5</f>
        <v>16.4210526315789</v>
      </c>
      <c r="F143" s="22" t="n">
        <f aca="false">E143-C143</f>
        <v>-1.57894736842105</v>
      </c>
      <c r="G143" s="10" t="n">
        <f aca="false">IF(AND(C143=0,E143=0),0,IF(C143=0,"New",(E143-C143)/C143))</f>
        <v>-0.0877192982456142</v>
      </c>
      <c r="H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11" t="n">
        <f aca="false">I143*$J$5</f>
        <v>516.631578947368</v>
      </c>
      <c r="K143" s="11" t="n">
        <f aca="false">J143-H143</f>
        <v>-46.1684210526316</v>
      </c>
      <c r="L143" s="10" t="n">
        <f aca="false">IF(AND(H143=0,J143=0),0,IF(H143=0,"New",(J143-H143)/H143))</f>
        <v>-0.082033441813489</v>
      </c>
    </row>
    <row r="144" customFormat="false" ht="15" hidden="false" customHeight="true" outlineLevel="0" collapsed="false">
      <c r="A144" s="8" t="s">
        <v>280</v>
      </c>
      <c r="B144" s="8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2" t="n">
        <f aca="false">D144*$J$5</f>
        <v>0</v>
      </c>
      <c r="F144" s="22" t="n">
        <f aca="false">E144-C144</f>
        <v>2</v>
      </c>
      <c r="G144" s="10" t="n">
        <f aca="false">IF(AND(C144=0,E144=0),0,IF(C144=0,"New",(E144-C144)/C144))</f>
        <v>-1</v>
      </c>
      <c r="H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11" t="n">
        <f aca="false">I144*$J$5</f>
        <v>0</v>
      </c>
      <c r="K144" s="11" t="n">
        <f aca="false">J144-H144</f>
        <v>132.3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289</v>
      </c>
      <c r="B145" s="8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2" t="n">
        <f aca="false">D145*$J$5</f>
        <v>8.84210526315789</v>
      </c>
      <c r="F145" s="22" t="n">
        <f aca="false">E145-C145</f>
        <v>4.84210526315789</v>
      </c>
      <c r="G145" s="10" t="n">
        <f aca="false">IF(AND(C145=0,E145=0),0,IF(C145=0,"New",(E145-C145)/C145))</f>
        <v>1.21052631578947</v>
      </c>
      <c r="H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11" t="n">
        <f aca="false">I145*$J$5</f>
        <v>216.757894736842</v>
      </c>
      <c r="K145" s="11" t="n">
        <f aca="false">J145-H145</f>
        <v>172.957894736842</v>
      </c>
      <c r="L145" s="10" t="n">
        <f aca="false">IF(AND(H145=0,J145=0),0,IF(H145=0,"New",(J145-H145)/H145))</f>
        <v>3.94881038211968</v>
      </c>
    </row>
    <row r="146" customFormat="false" ht="15" hidden="false" customHeight="true" outlineLevel="0" collapsed="false">
      <c r="A146" s="8" t="s">
        <v>324</v>
      </c>
      <c r="B146" s="8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2" t="n">
        <f aca="false">D146*$J$5</f>
        <v>0</v>
      </c>
      <c r="F146" s="22" t="n">
        <f aca="false">E146-C146</f>
        <v>-4</v>
      </c>
      <c r="G146" s="10" t="n">
        <f aca="false">IF(AND(C146=0,E146=0),0,IF(C146=0,"New",(E146-C146)/C146))</f>
        <v>-1</v>
      </c>
      <c r="H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11" t="n">
        <f aca="false">I146*$J$5</f>
        <v>0</v>
      </c>
      <c r="K146" s="11" t="n">
        <f aca="false">J146-H146</f>
        <v>-125.8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357</v>
      </c>
      <c r="B147" s="8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2" t="n">
        <f aca="false">D147*$J$5</f>
        <v>-1.26315789473684</v>
      </c>
      <c r="F147" s="22" t="n">
        <f aca="false">E147-C147</f>
        <v>-1.26315789473684</v>
      </c>
      <c r="G147" s="10" t="str">
        <f aca="false">IF(AND(C147=0,E147=0),0,IF(C147=0,"New",(E147-C147)/C147))</f>
        <v>New</v>
      </c>
      <c r="H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11" t="n">
        <f aca="false">I147*$J$5</f>
        <v>-153.473684210526</v>
      </c>
      <c r="K147" s="11" t="n">
        <f aca="false">J147-H147</f>
        <v>-153.473684210526</v>
      </c>
      <c r="L147" s="10" t="str">
        <f aca="false">IF(AND(H147=0,J147=0),0,IF(H147=0,"New",(J147-H147)/H147))</f>
        <v>New</v>
      </c>
    </row>
    <row r="148" customFormat="false" ht="15" hidden="false" customHeight="true" outlineLevel="0" collapsed="false">
      <c r="A148" s="8" t="s">
        <v>318</v>
      </c>
      <c r="B148" s="8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2" t="n">
        <f aca="false">D148*$J$5</f>
        <v>0</v>
      </c>
      <c r="F148" s="22" t="n">
        <f aca="false">E148-C148</f>
        <v>-1</v>
      </c>
      <c r="G148" s="10" t="n">
        <f aca="false">IF(AND(C148=0,E148=0),0,IF(C148=0,"New",(E148-C148)/C148))</f>
        <v>-1</v>
      </c>
      <c r="H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11" t="n">
        <f aca="false">I148*$J$5</f>
        <v>0</v>
      </c>
      <c r="K148" s="11" t="n">
        <f aca="false">J148-H148</f>
        <v>-105.9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192</v>
      </c>
      <c r="B149" s="8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2" t="n">
        <f aca="false">D149*$J$5</f>
        <v>-1.26315789473684</v>
      </c>
      <c r="F149" s="22" t="n">
        <f aca="false">E149-C149</f>
        <v>-1.26315789473684</v>
      </c>
      <c r="G149" s="10" t="str">
        <f aca="false">IF(AND(C149=0,E149=0),0,IF(C149=0,"New",(E149-C149)/C149))</f>
        <v>New</v>
      </c>
      <c r="H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11" t="n">
        <f aca="false">I149*$J$5</f>
        <v>-131.621052631579</v>
      </c>
      <c r="K149" s="11" t="n">
        <f aca="false">J149-H149</f>
        <v>-131.621052631579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18</v>
      </c>
      <c r="B150" s="8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2" t="n">
        <f aca="false">D150*$J$5</f>
        <v>0</v>
      </c>
      <c r="F150" s="22" t="n">
        <f aca="false">E150-C150</f>
        <v>11</v>
      </c>
      <c r="G150" s="10" t="n">
        <f aca="false">IF(AND(C150=0,E150=0),0,IF(C150=0,"New",(E150-C150)/C150))</f>
        <v>-1</v>
      </c>
      <c r="H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11" t="n">
        <f aca="false">I150*$J$5</f>
        <v>0</v>
      </c>
      <c r="K150" s="11" t="n">
        <f aca="false">J150-H150</f>
        <v>98.4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347</v>
      </c>
      <c r="B151" s="8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2" t="n">
        <f aca="false">D151*$J$5</f>
        <v>114.947368421053</v>
      </c>
      <c r="F151" s="22" t="n">
        <f aca="false">E151-C151</f>
        <v>27.9473684210526</v>
      </c>
      <c r="G151" s="10" t="n">
        <f aca="false">IF(AND(C151=0,E151=0),0,IF(C151=0,"New",(E151-C151)/C151))</f>
        <v>0.321234119782214</v>
      </c>
      <c r="H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11" t="n">
        <f aca="false">I151*$J$5</f>
        <v>2486.52631578947</v>
      </c>
      <c r="K151" s="11" t="n">
        <f aca="false">J151-H151</f>
        <v>616.226315789474</v>
      </c>
      <c r="L151" s="10" t="n">
        <f aca="false">IF(AND(H151=0,J151=0),0,IF(H151=0,"New",(J151-H151)/H151))</f>
        <v>0.329479931449219</v>
      </c>
    </row>
    <row r="152" customFormat="false" ht="15" hidden="false" customHeight="true" outlineLevel="0" collapsed="false">
      <c r="A152" s="8" t="s">
        <v>213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2" t="n">
        <f aca="false">D152*$J$5</f>
        <v>1.26315789473684</v>
      </c>
      <c r="F152" s="22" t="n">
        <f aca="false">E152-C152</f>
        <v>1.26315789473684</v>
      </c>
      <c r="G152" s="10" t="str">
        <f aca="false">IF(AND(C152=0,E152=0),0,IF(C152=0,"New",(E152-C152)/C152))</f>
        <v>New</v>
      </c>
      <c r="H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11" t="n">
        <f aca="false">I152*$J$5</f>
        <v>122.526315789474</v>
      </c>
      <c r="K152" s="11" t="n">
        <f aca="false">J152-H152</f>
        <v>122.526315789474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124</v>
      </c>
      <c r="B153" s="8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2" t="n">
        <f aca="false">D153*$J$5</f>
        <v>32.8421052631579</v>
      </c>
      <c r="F153" s="22" t="n">
        <f aca="false">E153-C153</f>
        <v>8.84210526315789</v>
      </c>
      <c r="G153" s="10" t="n">
        <f aca="false">IF(AND(C153=0,E153=0),0,IF(C153=0,"New",(E153-C153)/C153))</f>
        <v>0.368421052631579</v>
      </c>
      <c r="H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11" t="n">
        <f aca="false">I153*$J$5</f>
        <v>1139.24210526316</v>
      </c>
      <c r="K153" s="11" t="n">
        <f aca="false">J153-H153</f>
        <v>316.742105263158</v>
      </c>
      <c r="L153" s="10" t="n">
        <f aca="false">IF(AND(H153=0,J153=0),0,IF(H153=0,"New",(J153-H153)/H153))</f>
        <v>0.385096784514477</v>
      </c>
    </row>
    <row r="154" customFormat="false" ht="15" hidden="false" customHeight="true" outlineLevel="0" collapsed="false">
      <c r="A154" s="8" t="s">
        <v>252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2" t="n">
        <f aca="false">D154*$J$5</f>
        <v>0</v>
      </c>
      <c r="F154" s="22" t="n">
        <f aca="false">E154-C154</f>
        <v>-3</v>
      </c>
      <c r="G154" s="10" t="n">
        <f aca="false">IF(AND(C154=0,E154=0),0,IF(C154=0,"New",(E154-C154)/C154))</f>
        <v>-1</v>
      </c>
      <c r="H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11" t="n">
        <f aca="false">I154*$J$5</f>
        <v>0</v>
      </c>
      <c r="K154" s="11" t="n">
        <f aca="false">J154-H154</f>
        <v>-79</v>
      </c>
      <c r="L154" s="10" t="n">
        <f aca="false">IF(AND(H154=0,J154=0),0,IF(H154=0,"New",(J154-H154)/H154))</f>
        <v>-1</v>
      </c>
    </row>
    <row r="155" customFormat="false" ht="15" hidden="false" customHeight="true" outlineLevel="0" collapsed="false">
      <c r="A155" s="8" t="s">
        <v>296</v>
      </c>
      <c r="B155" s="8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2" t="n">
        <f aca="false">D155*$J$5</f>
        <v>0</v>
      </c>
      <c r="F155" s="22" t="n">
        <f aca="false">E155-C155</f>
        <v>-3</v>
      </c>
      <c r="G155" s="10" t="n">
        <f aca="false">IF(AND(C155=0,E155=0),0,IF(C155=0,"New",(E155-C155)/C155))</f>
        <v>-1</v>
      </c>
      <c r="H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11" t="n">
        <f aca="false">I155*$J$5</f>
        <v>0</v>
      </c>
      <c r="K155" s="11" t="n">
        <f aca="false">J155-H155</f>
        <v>-76.1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214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2" t="n">
        <f aca="false">D156*$J$5</f>
        <v>55.5789473684211</v>
      </c>
      <c r="F156" s="22" t="n">
        <f aca="false">E156-C156</f>
        <v>14.578947368421</v>
      </c>
      <c r="G156" s="10" t="n">
        <f aca="false">IF(AND(C156=0,E156=0),0,IF(C156=0,"New",(E156-C156)/C156))</f>
        <v>0.355584082156611</v>
      </c>
      <c r="H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11" t="n">
        <f aca="false">I156*$J$5</f>
        <v>1188.12631578947</v>
      </c>
      <c r="K156" s="11" t="n">
        <f aca="false">J156-H156</f>
        <v>318.626315789474</v>
      </c>
      <c r="L156" s="10" t="n">
        <f aca="false">IF(AND(H156=0,J156=0),0,IF(H156=0,"New",(J156-H156)/H156))</f>
        <v>0.3664477467389</v>
      </c>
    </row>
    <row r="157" customFormat="false" ht="15" hidden="false" customHeight="true" outlineLevel="0" collapsed="false">
      <c r="A157" s="8" t="s">
        <v>107</v>
      </c>
      <c r="B157" s="8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2" t="n">
        <f aca="false">D157*$J$5</f>
        <v>0</v>
      </c>
      <c r="F157" s="22" t="n">
        <f aca="false">E157-C157</f>
        <v>1</v>
      </c>
      <c r="G157" s="10" t="n">
        <f aca="false">IF(AND(C157=0,E157=0),0,IF(C157=0,"New",(E157-C157)/C157))</f>
        <v>-1</v>
      </c>
      <c r="H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11" t="n">
        <f aca="false">I157*$J$5</f>
        <v>0</v>
      </c>
      <c r="K157" s="11" t="n">
        <f aca="false">J157-H157</f>
        <v>63.1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166</v>
      </c>
      <c r="B158" s="8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2" t="n">
        <f aca="false">D158*$J$5</f>
        <v>20.2105263157895</v>
      </c>
      <c r="F158" s="22" t="n">
        <f aca="false">E158-C158</f>
        <v>5.21052631578947</v>
      </c>
      <c r="G158" s="10" t="n">
        <f aca="false">IF(AND(C158=0,E158=0),0,IF(C158=0,"New",(E158-C158)/C158))</f>
        <v>0.347368421052632</v>
      </c>
      <c r="H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11" t="n">
        <f aca="false">I158*$J$5</f>
        <v>980.084210526316</v>
      </c>
      <c r="K158" s="11" t="n">
        <f aca="false">J158-H158</f>
        <v>252.684210526316</v>
      </c>
      <c r="L158" s="10" t="n">
        <f aca="false">IF(AND(H158=0,J158=0),0,IF(H158=0,"New",(J158-H158)/H158))</f>
        <v>0.347379997974039</v>
      </c>
    </row>
    <row r="159" customFormat="false" ht="15" hidden="false" customHeight="true" outlineLevel="0" collapsed="false">
      <c r="A159" s="8" t="s">
        <v>108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2" t="n">
        <f aca="false">D159*$J$5</f>
        <v>56.8421052631579</v>
      </c>
      <c r="F159" s="22" t="n">
        <f aca="false">E159-C159</f>
        <v>9.84210526315789</v>
      </c>
      <c r="G159" s="10" t="n">
        <f aca="false">IF(AND(C159=0,E159=0),0,IF(C159=0,"New",(E159-C159)/C159))</f>
        <v>0.209406494960806</v>
      </c>
      <c r="H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11" t="n">
        <f aca="false">I159*$J$5</f>
        <v>1367.62105263158</v>
      </c>
      <c r="K159" s="11" t="n">
        <f aca="false">J159-H159</f>
        <v>236.821052631579</v>
      </c>
      <c r="L159" s="10" t="n">
        <f aca="false">IF(AND(H159=0,J159=0),0,IF(H159=0,"New",(J159-H159)/H159))</f>
        <v>0.209427885241934</v>
      </c>
    </row>
    <row r="160" customFormat="false" ht="15" hidden="false" customHeight="true" outlineLevel="0" collapsed="false">
      <c r="A160" s="8" t="s">
        <v>115</v>
      </c>
      <c r="B160" s="8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2" t="n">
        <f aca="false">D160*$J$5</f>
        <v>-1.26315789473684</v>
      </c>
      <c r="F160" s="22" t="n">
        <f aca="false">E160-C160</f>
        <v>-1.26315789473684</v>
      </c>
      <c r="G160" s="10" t="str">
        <f aca="false">IF(AND(C160=0,E160=0),0,IF(C160=0,"New",(E160-C160)/C160))</f>
        <v>New</v>
      </c>
      <c r="H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11" t="n">
        <f aca="false">I160*$J$5</f>
        <v>-55.7052631578947</v>
      </c>
      <c r="K160" s="11" t="n">
        <f aca="false">J160-H160</f>
        <v>-55.7052631578947</v>
      </c>
      <c r="L160" s="10" t="str">
        <f aca="false">IF(AND(H160=0,J160=0),0,IF(H160=0,"New",(J160-H160)/H160))</f>
        <v>New</v>
      </c>
    </row>
    <row r="161" customFormat="false" ht="15" hidden="false" customHeight="true" outlineLevel="0" collapsed="false">
      <c r="A161" s="8" t="s">
        <v>271</v>
      </c>
      <c r="B161" s="8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2" t="n">
        <f aca="false">D161*$J$5</f>
        <v>34.1052631578947</v>
      </c>
      <c r="F161" s="22" t="n">
        <f aca="false">E161-C161</f>
        <v>6.10526315789473</v>
      </c>
      <c r="G161" s="10" t="n">
        <f aca="false">IF(AND(C161=0,E161=0),0,IF(C161=0,"New",(E161-C161)/C161))</f>
        <v>0.218045112781955</v>
      </c>
      <c r="H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11" t="n">
        <f aca="false">I161*$J$5</f>
        <v>1503.41052631579</v>
      </c>
      <c r="K161" s="11" t="n">
        <f aca="false">J161-H161</f>
        <v>269.210526315789</v>
      </c>
      <c r="L161" s="10" t="n">
        <f aca="false">IF(AND(H161=0,J161=0),0,IF(H161=0,"New",(J161-H161)/H161))</f>
        <v>0.218125527723051</v>
      </c>
    </row>
    <row r="162" customFormat="false" ht="15" hidden="false" customHeight="true" outlineLevel="0" collapsed="false">
      <c r="A162" s="8" t="s">
        <v>207</v>
      </c>
      <c r="B162" s="8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2" t="n">
        <f aca="false">D162*$J$5</f>
        <v>30.3157894736842</v>
      </c>
      <c r="F162" s="22" t="n">
        <f aca="false">E162-C162</f>
        <v>8.31578947368421</v>
      </c>
      <c r="G162" s="10" t="n">
        <f aca="false">IF(AND(C162=0,E162=0),0,IF(C162=0,"New",(E162-C162)/C162))</f>
        <v>0.37799043062201</v>
      </c>
      <c r="H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11" t="n">
        <f aca="false">I162*$J$5</f>
        <v>661.894736842105</v>
      </c>
      <c r="K162" s="11" t="n">
        <f aca="false">J162-H162</f>
        <v>181.594736842105</v>
      </c>
      <c r="L162" s="10" t="n">
        <f aca="false">IF(AND(H162=0,J162=0),0,IF(H162=0,"New",(J162-H162)/H162))</f>
        <v>0.378086064630659</v>
      </c>
    </row>
    <row r="163" customFormat="false" ht="15" hidden="false" customHeight="true" outlineLevel="0" collapsed="false">
      <c r="A163" s="8" t="s">
        <v>71</v>
      </c>
      <c r="B163" s="8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2" t="n">
        <f aca="false">D163*$J$5</f>
        <v>27.7894736842105</v>
      </c>
      <c r="F163" s="22" t="n">
        <f aca="false">E163-C163</f>
        <v>5.78947368421052</v>
      </c>
      <c r="G163" s="10" t="n">
        <f aca="false">IF(AND(C163=0,E163=0),0,IF(C163=0,"New",(E163-C163)/C163))</f>
        <v>0.263157894736842</v>
      </c>
      <c r="H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11" t="n">
        <f aca="false">I163*$J$5</f>
        <v>2450.65263157895</v>
      </c>
      <c r="K163" s="11" t="n">
        <f aca="false">J163-H163</f>
        <v>466.952631578947</v>
      </c>
      <c r="L163" s="10" t="n">
        <f aca="false">IF(AND(H163=0,J163=0),0,IF(H163=0,"New",(J163-H163)/H163))</f>
        <v>0.23539478327315</v>
      </c>
    </row>
    <row r="164" customFormat="false" ht="15" hidden="false" customHeight="true" outlineLevel="0" collapsed="false">
      <c r="A164" s="8" t="s">
        <v>105</v>
      </c>
      <c r="B164" s="8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2" t="n">
        <f aca="false">D164*$J$5</f>
        <v>27.7894736842105</v>
      </c>
      <c r="F164" s="22" t="n">
        <f aca="false">E164-C164</f>
        <v>4.78947368421052</v>
      </c>
      <c r="G164" s="10" t="n">
        <f aca="false">IF(AND(C164=0,E164=0),0,IF(C164=0,"New",(E164-C164)/C164))</f>
        <v>0.208237986270023</v>
      </c>
      <c r="H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11" t="n">
        <f aca="false">I164*$J$5</f>
        <v>952.421052631579</v>
      </c>
      <c r="K164" s="11" t="n">
        <f aca="false">J164-H164</f>
        <v>164.221052631579</v>
      </c>
      <c r="L164" s="10" t="n">
        <f aca="false">IF(AND(H164=0,J164=0),0,IF(H164=0,"New",(J164-H164)/H164))</f>
        <v>0.208349470479039</v>
      </c>
    </row>
    <row r="165" customFormat="false" ht="15" hidden="false" customHeight="true" outlineLevel="0" collapsed="false">
      <c r="A165" s="8" t="s">
        <v>358</v>
      </c>
      <c r="B165" s="8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2" t="n">
        <f aca="false">D165*$J$5</f>
        <v>0</v>
      </c>
      <c r="F165" s="22" t="n">
        <f aca="false">E165-C165</f>
        <v>1</v>
      </c>
      <c r="G165" s="10" t="n">
        <f aca="false">IF(AND(C165=0,E165=0),0,IF(C165=0,"New",(E165-C165)/C165))</f>
        <v>-1</v>
      </c>
      <c r="H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11" t="n">
        <f aca="false">I165*$J$5</f>
        <v>0</v>
      </c>
      <c r="K165" s="11" t="n">
        <f aca="false">J165-H165</f>
        <v>20.8</v>
      </c>
      <c r="L165" s="10" t="n">
        <f aca="false">IF(AND(H165=0,J165=0),0,IF(H165=0,"New",(J165-H165)/H165))</f>
        <v>-1</v>
      </c>
    </row>
    <row r="166" customFormat="false" ht="15" hidden="false" customHeight="true" outlineLevel="0" collapsed="false">
      <c r="A166" s="8" t="s">
        <v>180</v>
      </c>
      <c r="B166" s="8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2" t="n">
        <f aca="false">D166*$J$5</f>
        <v>26.5263157894737</v>
      </c>
      <c r="F166" s="22" t="n">
        <f aca="false">E166-C166</f>
        <v>5.52631578947368</v>
      </c>
      <c r="G166" s="10" t="n">
        <f aca="false">IF(AND(C166=0,E166=0),0,IF(C166=0,"New",(E166-C166)/C166))</f>
        <v>0.263157894736842</v>
      </c>
      <c r="H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11" t="n">
        <f aca="false">I166*$J$5</f>
        <v>620.084210526316</v>
      </c>
      <c r="K166" s="11" t="n">
        <f aca="false">J166-H166</f>
        <v>142.584210526316</v>
      </c>
      <c r="L166" s="10" t="n">
        <f aca="false">IF(AND(H166=0,J166=0),0,IF(H166=0,"New",(J166-H166)/H166))</f>
        <v>0.298605676494902</v>
      </c>
    </row>
    <row r="167" customFormat="false" ht="15" hidden="false" customHeight="true" outlineLevel="0" collapsed="false">
      <c r="A167" s="8" t="s">
        <v>153</v>
      </c>
      <c r="B167" s="8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2" t="n">
        <f aca="false">D167*$J$5</f>
        <v>2.52631578947368</v>
      </c>
      <c r="F167" s="22" t="n">
        <f aca="false">E167-C167</f>
        <v>0.526315789473684</v>
      </c>
      <c r="G167" s="10" t="n">
        <f aca="false">IF(AND(C167=0,E167=0),0,IF(C167=0,"New",(E167-C167)/C167))</f>
        <v>0.263157894736842</v>
      </c>
      <c r="H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11" t="n">
        <f aca="false">I167*$J$5</f>
        <v>165.852631578947</v>
      </c>
      <c r="K167" s="11" t="n">
        <f aca="false">J167-H167</f>
        <v>34.4526315789474</v>
      </c>
      <c r="L167" s="10" t="n">
        <f aca="false">IF(AND(H167=0,J167=0),0,IF(H167=0,"New",(J167-H167)/H167))</f>
        <v>0.262196587358808</v>
      </c>
    </row>
    <row r="168" customFormat="false" ht="15" hidden="false" customHeight="true" outlineLevel="0" collapsed="false">
      <c r="A168" s="8" t="s">
        <v>220</v>
      </c>
      <c r="B168" s="8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2" t="n">
        <f aca="false">D168*$J$5</f>
        <v>184.421052631579</v>
      </c>
      <c r="F168" s="22" t="n">
        <f aca="false">E168-C168</f>
        <v>38.4210526315789</v>
      </c>
      <c r="G168" s="10" t="n">
        <f aca="false">IF(AND(C168=0,E168=0),0,IF(C168=0,"New",(E168-C168)/C168))</f>
        <v>0.263157894736842</v>
      </c>
      <c r="H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11" t="n">
        <f aca="false">I168*$J$5</f>
        <v>18300.1263157895</v>
      </c>
      <c r="K168" s="11" t="n">
        <f aca="false">J168-H168</f>
        <v>3812.52631578947</v>
      </c>
      <c r="L168" s="10" t="n">
        <f aca="false">IF(AND(H168=0,J168=0),0,IF(H168=0,"New",(J168-H168)/H168))</f>
        <v>0.263157894736842</v>
      </c>
    </row>
    <row r="169" customFormat="false" ht="15" hidden="false" customHeight="true" outlineLevel="0" collapsed="false">
      <c r="A169" s="8" t="s">
        <v>286</v>
      </c>
      <c r="B169" s="8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2" t="n">
        <f aca="false">D169*$J$5</f>
        <v>-6.31578947368421</v>
      </c>
      <c r="F169" s="22" t="n">
        <f aca="false">E169-C169</f>
        <v>-1.31578947368421</v>
      </c>
      <c r="G169" s="10" t="n">
        <f aca="false">IF(AND(C169=0,E169=0),0,IF(C169=0,"New",(E169-C169)/C169))</f>
        <v>0.263157894736842</v>
      </c>
      <c r="H169" s="11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11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11" t="n">
        <f aca="false">I169*$J$5</f>
        <v>-626.652631578947</v>
      </c>
      <c r="K169" s="11" t="n">
        <f aca="false">J169-H169</f>
        <v>-130.552631578947</v>
      </c>
      <c r="L169" s="10" t="n">
        <f aca="false">IF(AND(H169=0,J169=0),0,IF(H169=0,"New",(J169-H169)/H169))</f>
        <v>0.263157894736842</v>
      </c>
    </row>
    <row r="171" customFormat="false" ht="15" hidden="false" customHeight="true" outlineLevel="0" collapsed="false">
      <c r="A171" s="23"/>
      <c r="B171" s="24" t="s">
        <v>350</v>
      </c>
      <c r="C171" s="25" t="n">
        <f aca="false">SUM(C7:C169)</f>
        <v>27268</v>
      </c>
      <c r="D171" s="25" t="n">
        <f aca="false">SUM(D7:D169)</f>
        <v>19109</v>
      </c>
      <c r="E171" s="25" t="n">
        <f aca="false">SUM(E7:E169)</f>
        <v>24137.6842105263</v>
      </c>
      <c r="F171" s="25" t="n">
        <f aca="false">SUM(F7:F169)</f>
        <v>-3130.31578947369</v>
      </c>
      <c r="G171" s="26" t="n">
        <f aca="false">IF(C171=0,"N/A",F171/C171)</f>
        <v>-0.114798143958988</v>
      </c>
      <c r="H171" s="27" t="n">
        <f aca="false">SUM(H7:H169)</f>
        <v>889501.1</v>
      </c>
      <c r="I171" s="27" t="n">
        <f aca="false">SUM(I7:I169)</f>
        <v>676265.8</v>
      </c>
      <c r="J171" s="27" t="n">
        <f aca="false">SUM(J7:J169)</f>
        <v>854230.484210526</v>
      </c>
      <c r="K171" s="27" t="n">
        <f aca="false">SUM(K7:K169)</f>
        <v>-35270.6157894737</v>
      </c>
      <c r="L171" s="26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6" t="s">
        <v>54</v>
      </c>
      <c r="J4" s="17" t="n">
        <v>12</v>
      </c>
      <c r="K4" s="18" t="s">
        <v>55</v>
      </c>
      <c r="L4" s="17" t="n">
        <v>9.5</v>
      </c>
    </row>
    <row r="5" customFormat="false" ht="30" hidden="false" customHeight="true" outlineLevel="0" collapsed="false">
      <c r="A5" s="19" t="s">
        <v>361</v>
      </c>
      <c r="B5" s="28" t="n">
        <f aca="false">SUMPRODUCT((($C$7:$C$225&lt;&gt;0)+($H$7:$H$225&lt;&gt;0)&gt;0)*(($D$7:$D$225=0)*($I$7:$I$225=0)))</f>
        <v>23</v>
      </c>
      <c r="C5" s="19" t="s">
        <v>362</v>
      </c>
      <c r="D5" s="28" t="n">
        <f aca="false">SUMPRODUCT((($D$7:$D$225&lt;&gt;0)+($I$7:$I$225&lt;&gt;0)&gt;0)*(($C$7:$C$225=0)*($H$7:$H$225=0)))</f>
        <v>23</v>
      </c>
      <c r="I5" s="19" t="s">
        <v>56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1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1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140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2025'!$Q:$Q,'Source 2025'!$B:$B,$A7,'Source 2025'!$A:$A,"Quantity (units)")</f>
        <v>2855</v>
      </c>
      <c r="D7" s="9" t="n">
        <f aca="false">SUMIFS('Source 2026'!$Q:$Q,'Source 2026'!$B:$B,$A7,'Source 2026'!$A:$A,"Quantity (units)")</f>
        <v>481</v>
      </c>
      <c r="E7" s="9" t="n">
        <f aca="false">D7*$J$5</f>
        <v>607.578947368421</v>
      </c>
      <c r="F7" s="9" t="n">
        <f aca="false">E7-C7</f>
        <v>-2247.42105263158</v>
      </c>
      <c r="G7" s="13" t="n">
        <f aca="false">IF(AND(C7=0,E7=0),0,IF(C7=0,"New",(E7-C7)/C7))</f>
        <v>-0.787187759240483</v>
      </c>
      <c r="H7" s="9" t="n">
        <f aca="false">SUMIFS('Source 2025'!$Q:$Q,'Source 2025'!$B:$B,$A7,'Source 2025'!$A:$A,"Amount (NIS)")</f>
        <v>265726.2</v>
      </c>
      <c r="I7" s="9" t="n">
        <f aca="false">SUMIFS('Source 2026'!$Q:$Q,'Source 2026'!$B:$B,$A7,'Source 2026'!$A:$A,"Amount (NIS)")</f>
        <v>47626.6</v>
      </c>
      <c r="J7" s="9" t="n">
        <f aca="false">I7*$J$5</f>
        <v>60159.9157894737</v>
      </c>
      <c r="K7" s="9" t="n">
        <f aca="false">J7-H7</f>
        <v>-205566.284210526</v>
      </c>
      <c r="L7" s="13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277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2025'!$Q:$Q,'Source 2025'!$B:$B,$A8,'Source 2025'!$A:$A,"Quantity (units)")</f>
        <v>1776</v>
      </c>
      <c r="D8" s="9" t="n">
        <f aca="false">SUMIFS('Source 2026'!$Q:$Q,'Source 2026'!$B:$B,$A8,'Source 2026'!$A:$A,"Quantity (units)")</f>
        <v>112</v>
      </c>
      <c r="E8" s="9" t="n">
        <f aca="false">D8*$J$5</f>
        <v>141.473684210526</v>
      </c>
      <c r="F8" s="9" t="n">
        <f aca="false">E8-C8</f>
        <v>-1634.52631578947</v>
      </c>
      <c r="G8" s="13" t="n">
        <f aca="false">IF(AND(C8=0,E8=0),0,IF(C8=0,"New",(E8-C8)/C8))</f>
        <v>-0.920341394025605</v>
      </c>
      <c r="H8" s="9" t="n">
        <f aca="false">SUMIFS('Source 2025'!$Q:$Q,'Source 2025'!$B:$B,$A8,'Source 2025'!$A:$A,"Amount (NIS)")</f>
        <v>164431.7</v>
      </c>
      <c r="I8" s="9" t="n">
        <f aca="false">SUMIFS('Source 2026'!$Q:$Q,'Source 2026'!$B:$B,$A8,'Source 2026'!$A:$A,"Amount (NIS)")</f>
        <v>11519.9</v>
      </c>
      <c r="J8" s="9" t="n">
        <f aca="false">I8*$J$5</f>
        <v>14551.4526315789</v>
      </c>
      <c r="K8" s="9" t="n">
        <f aca="false">J8-H8</f>
        <v>-149880.247368421</v>
      </c>
      <c r="L8" s="13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160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2025'!$Q:$Q,'Source 2025'!$B:$B,$A9,'Source 2025'!$A:$A,"Quantity (units)")</f>
        <v>2025</v>
      </c>
      <c r="D9" s="9" t="n">
        <f aca="false">SUMIFS('Source 2026'!$Q:$Q,'Source 2026'!$B:$B,$A9,'Source 2026'!$A:$A,"Quantity (units)")</f>
        <v>522</v>
      </c>
      <c r="E9" s="9" t="n">
        <f aca="false">D9*$J$5</f>
        <v>659.368421052632</v>
      </c>
      <c r="F9" s="9" t="n">
        <f aca="false">E9-C9</f>
        <v>-1365.63157894737</v>
      </c>
      <c r="G9" s="13" t="n">
        <f aca="false">IF(AND(C9=0,E9=0),0,IF(C9=0,"New",(E9-C9)/C9))</f>
        <v>-0.674385964912281</v>
      </c>
      <c r="H9" s="9" t="n">
        <f aca="false">SUMIFS('Source 2025'!$Q:$Q,'Source 2025'!$B:$B,$A9,'Source 2025'!$A:$A,"Amount (NIS)")</f>
        <v>188767.1</v>
      </c>
      <c r="I9" s="9" t="n">
        <f aca="false">SUMIFS('Source 2026'!$Q:$Q,'Source 2026'!$B:$B,$A9,'Source 2026'!$A:$A,"Amount (NIS)")</f>
        <v>52314</v>
      </c>
      <c r="J9" s="9" t="n">
        <f aca="false">I9*$J$5</f>
        <v>66080.8421052632</v>
      </c>
      <c r="K9" s="9" t="n">
        <f aca="false">J9-H9</f>
        <v>-122686.257894737</v>
      </c>
      <c r="L9" s="13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168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2122</v>
      </c>
      <c r="D10" s="9" t="n">
        <f aca="false">SUMIFS('Source 2026'!$Q:$Q,'Source 2026'!$B:$B,$A10,'Source 2026'!$A:$A,"Quantity (units)")</f>
        <v>789</v>
      </c>
      <c r="E10" s="9" t="n">
        <f aca="false">D10*$J$5</f>
        <v>996.631578947368</v>
      </c>
      <c r="F10" s="9" t="n">
        <f aca="false">E10-C10</f>
        <v>-1125.36842105263</v>
      </c>
      <c r="G10" s="13" t="n">
        <f aca="false">IF(AND(C10=0,E10=0),0,IF(C10=0,"New",(E10-C10)/C10))</f>
        <v>-0.530333845924897</v>
      </c>
      <c r="H10" s="9" t="n">
        <f aca="false">SUMIFS('Source 2025'!$Q:$Q,'Source 2025'!$B:$B,$A10,'Source 2025'!$A:$A,"Amount (NIS)")</f>
        <v>197774.9</v>
      </c>
      <c r="I10" s="9" t="n">
        <f aca="false">SUMIFS('Source 2026'!$Q:$Q,'Source 2026'!$B:$B,$A10,'Source 2026'!$A:$A,"Amount (NIS)")</f>
        <v>78734.4</v>
      </c>
      <c r="J10" s="9" t="n">
        <f aca="false">I10*$J$5</f>
        <v>99453.9789473684</v>
      </c>
      <c r="K10" s="9" t="n">
        <f aca="false">J10-H10</f>
        <v>-98320.9210526316</v>
      </c>
      <c r="L10" s="13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74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2025'!$Q:$Q,'Source 2025'!$B:$B,$A11,'Source 2025'!$A:$A,"Quantity (units)")</f>
        <v>2550</v>
      </c>
      <c r="D11" s="9" t="n">
        <f aca="false">SUMIFS('Source 2026'!$Q:$Q,'Source 2026'!$B:$B,$A11,'Source 2026'!$A:$A,"Quantity (units)")</f>
        <v>1172</v>
      </c>
      <c r="E11" s="9" t="n">
        <f aca="false">D11*$J$5</f>
        <v>1480.42105263158</v>
      </c>
      <c r="F11" s="9" t="n">
        <f aca="false">E11-C11</f>
        <v>-1069.57894736842</v>
      </c>
      <c r="G11" s="13" t="n">
        <f aca="false">IF(AND(C11=0,E11=0),0,IF(C11=0,"New",(E11-C11)/C11))</f>
        <v>-0.419442724458204</v>
      </c>
      <c r="H11" s="9" t="n">
        <f aca="false">SUMIFS('Source 2025'!$Q:$Q,'Source 2025'!$B:$B,$A11,'Source 2025'!$A:$A,"Amount (NIS)")</f>
        <v>208574.2</v>
      </c>
      <c r="I11" s="9" t="n">
        <f aca="false">SUMIFS('Source 2026'!$Q:$Q,'Source 2026'!$B:$B,$A11,'Source 2026'!$A:$A,"Amount (NIS)")</f>
        <v>97035.9</v>
      </c>
      <c r="J11" s="9" t="n">
        <f aca="false">I11*$J$5</f>
        <v>122571.663157895</v>
      </c>
      <c r="K11" s="9" t="n">
        <f aca="false">J11-H11</f>
        <v>-86002.5368421053</v>
      </c>
      <c r="L11" s="13" t="n">
        <f aca="false">IF(AND(H11=0,J11=0),0,IF(H11=0,"New",(J11-H11)/H11))</f>
        <v>-0.412335451086977</v>
      </c>
    </row>
    <row r="12" customFormat="false" ht="15" hidden="false" customHeight="true" outlineLevel="0" collapsed="false">
      <c r="A12" s="8" t="s">
        <v>83</v>
      </c>
      <c r="B12" s="8" t="str">
        <f aca="false">IFERROR(INDEX('Source 2026'!$C:$C,MATCH($A12,'Source 2026'!$B:$B,0)),IFERROR(INDEX('Source 2025'!$C:$C,MATCH($A12,'Source 2025'!$B:$B,0)),""))</f>
        <v>S מגן קרסול חום</v>
      </c>
      <c r="C12" s="9" t="n">
        <f aca="false">SUMIFS('Source 2025'!$Q:$Q,'Source 2025'!$B:$B,$A12,'Source 2025'!$A:$A,"Quantity (units)")</f>
        <v>10751</v>
      </c>
      <c r="D12" s="9" t="n">
        <f aca="false">SUMIFS('Source 2026'!$Q:$Q,'Source 2026'!$B:$B,$A12,'Source 2026'!$A:$A,"Quantity (units)")</f>
        <v>7007</v>
      </c>
      <c r="E12" s="9" t="n">
        <f aca="false">D12*$J$5</f>
        <v>8850.94736842105</v>
      </c>
      <c r="F12" s="9" t="n">
        <f aca="false">E12-C12</f>
        <v>-1900.05263157895</v>
      </c>
      <c r="G12" s="13" t="n">
        <f aca="false">IF(AND(C12=0,E12=0),0,IF(C12=0,"New",(E12-C12)/C12))</f>
        <v>-0.176732641761599</v>
      </c>
      <c r="H12" s="9" t="n">
        <f aca="false">SUMIFS('Source 2025'!$Q:$Q,'Source 2025'!$B:$B,$A12,'Source 2025'!$A:$A,"Amount (NIS)")</f>
        <v>276617</v>
      </c>
      <c r="I12" s="9" t="n">
        <f aca="false">SUMIFS('Source 2026'!$Q:$Q,'Source 2026'!$B:$B,$A12,'Source 2026'!$A:$A,"Amount (NIS)")</f>
        <v>183180</v>
      </c>
      <c r="J12" s="9" t="n">
        <f aca="false">I12*$J$5</f>
        <v>231385.263157895</v>
      </c>
      <c r="K12" s="9" t="n">
        <f aca="false">J12-H12</f>
        <v>-45231.7368421053</v>
      </c>
      <c r="L12" s="13" t="n">
        <f aca="false">IF(AND(H12=0,J12=0),0,IF(H12=0,"New",(J12-H12)/H12))</f>
        <v>-0.163517559810515</v>
      </c>
    </row>
    <row r="13" customFormat="false" ht="15" hidden="false" customHeight="true" outlineLevel="0" collapsed="false">
      <c r="A13" s="8" t="s">
        <v>67</v>
      </c>
      <c r="B13" s="8" t="str">
        <f aca="false">IFERROR(INDEX('Source 2026'!$C:$C,MATCH($A13,'Source 2026'!$B:$B,0)),IFERROR(INDEX('Source 2025'!$C:$C,MATCH($A13,'Source 2025'!$B:$B,0)),""))</f>
        <v>S  חבק יד ארוך</v>
      </c>
      <c r="C13" s="9" t="n">
        <f aca="false">SUMIFS('Source 2025'!$Q:$Q,'Source 2025'!$B:$B,$A13,'Source 2025'!$A:$A,"Quantity (units)")</f>
        <v>8258</v>
      </c>
      <c r="D13" s="9" t="n">
        <f aca="false">SUMIFS('Source 2026'!$Q:$Q,'Source 2026'!$B:$B,$A13,'Source 2026'!$A:$A,"Quantity (units)")</f>
        <v>5458</v>
      </c>
      <c r="E13" s="9" t="n">
        <f aca="false">D13*$J$5</f>
        <v>6894.31578947368</v>
      </c>
      <c r="F13" s="9" t="n">
        <f aca="false">E13-C13</f>
        <v>-1363.68421052632</v>
      </c>
      <c r="G13" s="13" t="n">
        <f aca="false">IF(AND(C13=0,E13=0),0,IF(C13=0,"New",(E13-C13)/C13))</f>
        <v>-0.165134924985023</v>
      </c>
      <c r="H13" s="9" t="n">
        <f aca="false">SUMIFS('Source 2025'!$Q:$Q,'Source 2025'!$B:$B,$A13,'Source 2025'!$A:$A,"Amount (NIS)")</f>
        <v>269862.5</v>
      </c>
      <c r="I13" s="9" t="n">
        <f aca="false">SUMIFS('Source 2026'!$Q:$Q,'Source 2026'!$B:$B,$A13,'Source 2026'!$A:$A,"Amount (NIS)")</f>
        <v>179838.7</v>
      </c>
      <c r="J13" s="9" t="n">
        <f aca="false">I13*$J$5</f>
        <v>227164.673684211</v>
      </c>
      <c r="K13" s="9" t="n">
        <f aca="false">J13-H13</f>
        <v>-42697.8263157895</v>
      </c>
      <c r="L13" s="13" t="n">
        <f aca="false">IF(AND(H13=0,J13=0),0,IF(H13=0,"New",(J13-H13)/H13))</f>
        <v>-0.158220672808521</v>
      </c>
    </row>
    <row r="14" customFormat="false" ht="15" hidden="false" customHeight="true" outlineLevel="0" collapsed="false">
      <c r="A14" s="8" t="s">
        <v>69</v>
      </c>
      <c r="B14" s="8" t="str">
        <f aca="false">IFERROR(INDEX('Source 2026'!$C:$C,MATCH($A14,'Source 2026'!$B:$B,0)),IFERROR(INDEX('Source 2025'!$C:$C,MATCH($A14,'Source 2025'!$B:$B,0)),""))</f>
        <v>טיסה אנטי בקטרי35-38</v>
      </c>
      <c r="C14" s="9" t="n">
        <f aca="false">SUMIFS('Source 2025'!$Q:$Q,'Source 2025'!$B:$B,$A14,'Source 2025'!$A:$A,"Quantity (units)")</f>
        <v>0</v>
      </c>
      <c r="D14" s="9" t="n">
        <f aca="false">SUMIFS('Source 2026'!$Q:$Q,'Source 2026'!$B:$B,$A14,'Source 2026'!$A:$A,"Quantity (units)")</f>
        <v>1552</v>
      </c>
      <c r="E14" s="9" t="n">
        <f aca="false">D14*$J$5</f>
        <v>1960.42105263158</v>
      </c>
      <c r="F14" s="9" t="n">
        <f aca="false">E14-C14</f>
        <v>1960.42105263158</v>
      </c>
      <c r="G14" s="13" t="str">
        <f aca="false">IF(AND(C14=0,E14=0),0,IF(C14=0,"New",(E14-C14)/C14))</f>
        <v>New</v>
      </c>
      <c r="H14" s="9" t="n">
        <f aca="false">SUMIFS('Source 2025'!$Q:$Q,'Source 2025'!$B:$B,$A14,'Source 2025'!$A:$A,"Amount (NIS)")</f>
        <v>0</v>
      </c>
      <c r="I14" s="9" t="n">
        <f aca="false">SUMIFS('Source 2026'!$Q:$Q,'Source 2026'!$B:$B,$A14,'Source 2026'!$A:$A,"Amount (NIS)")</f>
        <v>84761</v>
      </c>
      <c r="J14" s="9" t="n">
        <f aca="false">I14*$J$5</f>
        <v>107066.526315789</v>
      </c>
      <c r="K14" s="9" t="n">
        <f aca="false">J14-H14</f>
        <v>107066.526315789</v>
      </c>
      <c r="L14" s="13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68</v>
      </c>
      <c r="B15" s="8" t="str">
        <f aca="false">IFERROR(INDEX('Source 2026'!$C:$C,MATCH($A15,'Source 2026'!$B:$B,0)),IFERROR(INDEX('Source 2025'!$C:$C,MATCH($A15,'Source 2025'!$B:$B,0)),""))</f>
        <v>35-38 גרבי טיסה מידה</v>
      </c>
      <c r="C15" s="9" t="n">
        <f aca="false">SUMIFS('Source 2025'!$Q:$Q,'Source 2025'!$B:$B,$A15,'Source 2025'!$A:$A,"Quantity (units)")</f>
        <v>1506</v>
      </c>
      <c r="D15" s="9" t="n">
        <f aca="false">SUMIFS('Source 2026'!$Q:$Q,'Source 2026'!$B:$B,$A15,'Source 2026'!$A:$A,"Quantity (units)")</f>
        <v>-10</v>
      </c>
      <c r="E15" s="9" t="n">
        <f aca="false">D15*$J$5</f>
        <v>-12.6315789473684</v>
      </c>
      <c r="F15" s="9" t="n">
        <f aca="false">E15-C15</f>
        <v>-1518.63157894737</v>
      </c>
      <c r="G15" s="13" t="n">
        <f aca="false">IF(AND(C15=0,E15=0),0,IF(C15=0,"New",(E15-C15)/C15))</f>
        <v>-1.00838750262109</v>
      </c>
      <c r="H15" s="9" t="n">
        <f aca="false">SUMIFS('Source 2025'!$Q:$Q,'Source 2025'!$B:$B,$A15,'Source 2025'!$A:$A,"Amount (NIS)")</f>
        <v>79204.9</v>
      </c>
      <c r="I15" s="9" t="n">
        <f aca="false">SUMIFS('Source 2026'!$Q:$Q,'Source 2026'!$B:$B,$A15,'Source 2026'!$A:$A,"Amount (NIS)")</f>
        <v>-514.5</v>
      </c>
      <c r="J15" s="9" t="n">
        <f aca="false">I15*$J$5</f>
        <v>-649.894736842105</v>
      </c>
      <c r="K15" s="9" t="n">
        <f aca="false">J15-H15</f>
        <v>-79854.7947368421</v>
      </c>
      <c r="L15" s="13" t="n">
        <f aca="false">IF(AND(H15=0,J15=0),0,IF(H15=0,"New",(J15-H15)/H15))</f>
        <v>-1.00820523397974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2025'!$Q:$Q,'Source 2025'!$B:$B,$A16,'Source 2025'!$A:$A,"Quantity (units)")</f>
        <v>6177</v>
      </c>
      <c r="D16" s="9" t="n">
        <f aca="false">SUMIFS('Source 2026'!$Q:$Q,'Source 2026'!$B:$B,$A16,'Source 2026'!$A:$A,"Quantity (units)")</f>
        <v>4200</v>
      </c>
      <c r="E16" s="9" t="n">
        <f aca="false">D16*$J$5</f>
        <v>5305.26315789474</v>
      </c>
      <c r="F16" s="9" t="n">
        <f aca="false">E16-C16</f>
        <v>-871.736842105263</v>
      </c>
      <c r="G16" s="13" t="n">
        <f aca="false">IF(AND(C16=0,E16=0),0,IF(C16=0,"New",(E16-C16)/C16))</f>
        <v>-0.141126249329005</v>
      </c>
      <c r="H16" s="9" t="n">
        <f aca="false">SUMIFS('Source 2025'!$Q:$Q,'Source 2025'!$B:$B,$A16,'Source 2025'!$A:$A,"Amount (NIS)")</f>
        <v>231846.4</v>
      </c>
      <c r="I16" s="9" t="n">
        <f aca="false">SUMIFS('Source 2026'!$Q:$Q,'Source 2026'!$B:$B,$A16,'Source 2026'!$A:$A,"Amount (NIS)")</f>
        <v>159810.8</v>
      </c>
      <c r="J16" s="9" t="n">
        <f aca="false">I16*$J$5</f>
        <v>201866.273684211</v>
      </c>
      <c r="K16" s="9" t="n">
        <f aca="false">J16-H16</f>
        <v>-29980.1263157895</v>
      </c>
      <c r="L16" s="13" t="n">
        <f aca="false">IF(AND(H16=0,J16=0),0,IF(H16=0,"New",(J16-H16)/H16))</f>
        <v>-0.129310294728706</v>
      </c>
    </row>
    <row r="17" customFormat="false" ht="15" hidden="false" customHeight="true" outlineLevel="0" collapsed="false">
      <c r="A17" s="8" t="s">
        <v>84</v>
      </c>
      <c r="B17" s="8" t="str">
        <f aca="false">IFERROR(INDEX('Source 2026'!$C:$C,MATCH($A17,'Source 2026'!$B:$B,0)),IFERROR(INDEX('Source 2025'!$C:$C,MATCH($A17,'Source 2025'!$B:$B,0)),""))</f>
        <v>מישר כתפיים אקטיב</v>
      </c>
      <c r="C17" s="9" t="n">
        <f aca="false">SUMIFS('Source 2025'!$Q:$Q,'Source 2025'!$B:$B,$A17,'Source 2025'!$A:$A,"Quantity (units)")</f>
        <v>659</v>
      </c>
      <c r="D17" s="9" t="n">
        <f aca="false">SUMIFS('Source 2026'!$Q:$Q,'Source 2026'!$B:$B,$A17,'Source 2026'!$A:$A,"Quantity (units)")</f>
        <v>1707</v>
      </c>
      <c r="E17" s="9" t="n">
        <f aca="false">D17*$J$5</f>
        <v>2156.21052631579</v>
      </c>
      <c r="F17" s="9" t="n">
        <f aca="false">E17-C17</f>
        <v>1497.21052631579</v>
      </c>
      <c r="G17" s="13" t="n">
        <f aca="false">IF(AND(C17=0,E17=0),0,IF(C17=0,"New",(E17-C17)/C17))</f>
        <v>2.27194313553231</v>
      </c>
      <c r="H17" s="9" t="n">
        <f aca="false">SUMIFS('Source 2025'!$Q:$Q,'Source 2025'!$B:$B,$A17,'Source 2025'!$A:$A,"Amount (NIS)")</f>
        <v>40255.2</v>
      </c>
      <c r="I17" s="9" t="n">
        <f aca="false">SUMIFS('Source 2026'!$Q:$Q,'Source 2026'!$B:$B,$A17,'Source 2026'!$A:$A,"Amount (NIS)")</f>
        <v>109715.2</v>
      </c>
      <c r="J17" s="9" t="n">
        <f aca="false">I17*$J$5</f>
        <v>138587.621052632</v>
      </c>
      <c r="K17" s="9" t="n">
        <f aca="false">J17-H17</f>
        <v>98332.4210526316</v>
      </c>
      <c r="L17" s="13" t="n">
        <f aca="false">IF(AND(H17=0,J17=0),0,IF(H17=0,"New",(J17-H17)/H17))</f>
        <v>2.44272593485144</v>
      </c>
    </row>
    <row r="18" customFormat="false" ht="15" hidden="false" customHeight="true" outlineLevel="0" collapsed="false">
      <c r="A18" s="8" t="s">
        <v>76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9" t="n">
        <f aca="false">SUMIFS('Source 2025'!$Q:$Q,'Source 2025'!$B:$B,$A18,'Source 2025'!$A:$A,"Quantity (units)")</f>
        <v>10069</v>
      </c>
      <c r="D18" s="9" t="n">
        <f aca="false">SUMIFS('Source 2026'!$Q:$Q,'Source 2026'!$B:$B,$A18,'Source 2026'!$A:$A,"Quantity (units)")</f>
        <v>7331</v>
      </c>
      <c r="E18" s="9" t="n">
        <f aca="false">D18*$J$5</f>
        <v>9260.21052631579</v>
      </c>
      <c r="F18" s="9" t="n">
        <f aca="false">E18-C18</f>
        <v>-808.789473684212</v>
      </c>
      <c r="G18" s="13" t="n">
        <f aca="false">IF(AND(C18=0,E18=0),0,IF(C18=0,"New",(E18-C18)/C18))</f>
        <v>-0.0803247068908742</v>
      </c>
      <c r="H18" s="9" t="n">
        <f aca="false">SUMIFS('Source 2025'!$Q:$Q,'Source 2025'!$B:$B,$A18,'Source 2025'!$A:$A,"Amount (NIS)")</f>
        <v>259116.9</v>
      </c>
      <c r="I18" s="9" t="n">
        <f aca="false">SUMIFS('Source 2026'!$Q:$Q,'Source 2026'!$B:$B,$A18,'Source 2026'!$A:$A,"Amount (NIS)")</f>
        <v>190767.7</v>
      </c>
      <c r="J18" s="9" t="n">
        <f aca="false">I18*$J$5</f>
        <v>240969.726315789</v>
      </c>
      <c r="K18" s="9" t="n">
        <f aca="false">J18-H18</f>
        <v>-18147.1736842105</v>
      </c>
      <c r="L18" s="13" t="n">
        <f aca="false">IF(AND(H18=0,J18=0),0,IF(H18=0,"New",(J18-H18)/H18))</f>
        <v>-0.070034697405729</v>
      </c>
    </row>
    <row r="19" customFormat="false" ht="15" hidden="false" customHeight="true" outlineLevel="0" collapsed="false">
      <c r="A19" s="8" t="s">
        <v>183</v>
      </c>
      <c r="B19" s="8" t="str">
        <f aca="false">IFERROR(INDEX('Source 2026'!$C:$C,MATCH($A19,'Source 2026'!$B:$B,0)),IFERROR(INDEX('Source 2025'!$C:$C,MATCH($A19,'Source 2025'!$B:$B,0)),""))</f>
        <v>S 'מגן ברך ארוך בז</v>
      </c>
      <c r="C19" s="9" t="n">
        <f aca="false">SUMIFS('Source 2025'!$Q:$Q,'Source 2025'!$B:$B,$A19,'Source 2025'!$A:$A,"Quantity (units)")</f>
        <v>9351</v>
      </c>
      <c r="D19" s="9" t="n">
        <f aca="false">SUMIFS('Source 2026'!$Q:$Q,'Source 2026'!$B:$B,$A19,'Source 2026'!$A:$A,"Quantity (units)")</f>
        <v>7130</v>
      </c>
      <c r="E19" s="9" t="n">
        <f aca="false">D19*$J$5</f>
        <v>9006.31578947368</v>
      </c>
      <c r="F19" s="9" t="n">
        <f aca="false">E19-C19</f>
        <v>-344.684210526317</v>
      </c>
      <c r="G19" s="13" t="n">
        <f aca="false">IF(AND(C19=0,E19=0),0,IF(C19=0,"New",(E19-C19)/C19))</f>
        <v>-0.0368606791280416</v>
      </c>
      <c r="H19" s="9" t="n">
        <f aca="false">SUMIFS('Source 2025'!$Q:$Q,'Source 2025'!$B:$B,$A19,'Source 2025'!$A:$A,"Amount (NIS)")</f>
        <v>290388.7</v>
      </c>
      <c r="I19" s="9" t="n">
        <f aca="false">SUMIFS('Source 2026'!$Q:$Q,'Source 2026'!$B:$B,$A19,'Source 2026'!$A:$A,"Amount (NIS)")</f>
        <v>222926.7</v>
      </c>
      <c r="J19" s="9" t="n">
        <f aca="false">I19*$J$5</f>
        <v>281591.621052632</v>
      </c>
      <c r="K19" s="9" t="n">
        <f aca="false">J19-H19</f>
        <v>-8797.07894736843</v>
      </c>
      <c r="L19" s="13" t="n">
        <f aca="false">IF(AND(H19=0,J19=0),0,IF(H19=0,"New",(J19-H19)/H19))</f>
        <v>-0.0302941503831534</v>
      </c>
    </row>
    <row r="20" customFormat="false" ht="15" hidden="false" customHeight="true" outlineLevel="0" collapsed="false">
      <c r="A20" s="8" t="s">
        <v>103</v>
      </c>
      <c r="B20" s="8" t="str">
        <f aca="false">IFERROR(INDEX('Source 2026'!$C:$C,MATCH($A20,'Source 2026'!$B:$B,0)),IFERROR(INDEX('Source 2025'!$C:$C,MATCH($A20,'Source 2025'!$B:$B,0)),""))</f>
        <v>Sמגן ברך ארוך לבן</v>
      </c>
      <c r="C20" s="9" t="n">
        <f aca="false">SUMIFS('Source 2025'!$Q:$Q,'Source 2025'!$B:$B,$A20,'Source 2025'!$A:$A,"Quantity (units)")</f>
        <v>4657</v>
      </c>
      <c r="D20" s="9" t="n">
        <f aca="false">SUMIFS('Source 2026'!$Q:$Q,'Source 2026'!$B:$B,$A20,'Source 2026'!$A:$A,"Quantity (units)")</f>
        <v>2675</v>
      </c>
      <c r="E20" s="9" t="n">
        <f aca="false">D20*$J$5</f>
        <v>3378.94736842105</v>
      </c>
      <c r="F20" s="9" t="n">
        <f aca="false">E20-C20</f>
        <v>-1278.05263157895</v>
      </c>
      <c r="G20" s="13" t="n">
        <f aca="false">IF(AND(C20=0,E20=0),0,IF(C20=0,"New",(E20-C20)/C20))</f>
        <v>-0.274436897483132</v>
      </c>
      <c r="H20" s="9" t="n">
        <f aca="false">SUMIFS('Source 2025'!$Q:$Q,'Source 2025'!$B:$B,$A20,'Source 2025'!$A:$A,"Amount (NIS)")</f>
        <v>144547.9</v>
      </c>
      <c r="I20" s="9" t="n">
        <f aca="false">SUMIFS('Source 2026'!$Q:$Q,'Source 2026'!$B:$B,$A20,'Source 2026'!$A:$A,"Amount (NIS)")</f>
        <v>83475.2</v>
      </c>
      <c r="J20" s="9" t="n">
        <f aca="false">I20*$J$5</f>
        <v>105442.357894737</v>
      </c>
      <c r="K20" s="9" t="n">
        <f aca="false">J20-H20</f>
        <v>-39105.5421052631</v>
      </c>
      <c r="L20" s="13" t="n">
        <f aca="false">IF(AND(H20=0,J20=0),0,IF(H20=0,"New",(J20-H20)/H20))</f>
        <v>-0.270536909254739</v>
      </c>
    </row>
    <row r="21" customFormat="false" ht="15" hidden="false" customHeight="true" outlineLevel="0" collapsed="false">
      <c r="A21" s="8" t="s">
        <v>78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2025'!$Q:$Q,'Source 2025'!$B:$B,$A21,'Source 2025'!$A:$A,"Quantity (units)")</f>
        <v>1991</v>
      </c>
      <c r="D21" s="9" t="n">
        <f aca="false">SUMIFS('Source 2026'!$Q:$Q,'Source 2026'!$B:$B,$A21,'Source 2026'!$A:$A,"Quantity (units)")</f>
        <v>1240</v>
      </c>
      <c r="E21" s="9" t="n">
        <f aca="false">D21*$J$5</f>
        <v>1566.31578947368</v>
      </c>
      <c r="F21" s="9" t="n">
        <f aca="false">E21-C21</f>
        <v>-424.684210526316</v>
      </c>
      <c r="G21" s="13" t="n">
        <f aca="false">IF(AND(C21=0,E21=0),0,IF(C21=0,"New",(E21-C21)/C21))</f>
        <v>-0.213301964101615</v>
      </c>
      <c r="H21" s="9" t="n">
        <f aca="false">SUMIFS('Source 2025'!$Q:$Q,'Source 2025'!$B:$B,$A21,'Source 2025'!$A:$A,"Amount (NIS)")</f>
        <v>162880.5</v>
      </c>
      <c r="I21" s="9" t="n">
        <f aca="false">SUMIFS('Source 2026'!$Q:$Q,'Source 2026'!$B:$B,$A21,'Source 2026'!$A:$A,"Amount (NIS)")</f>
        <v>101877.3</v>
      </c>
      <c r="J21" s="9" t="n">
        <f aca="false">I21*$J$5</f>
        <v>128687.115789474</v>
      </c>
      <c r="K21" s="9" t="n">
        <f aca="false">J21-H21</f>
        <v>-34193.3842105263</v>
      </c>
      <c r="L21" s="13" t="n">
        <f aca="false">IF(AND(H21=0,J21=0),0,IF(H21=0,"New",(J21-H21)/H21))</f>
        <v>-0.209929268454642</v>
      </c>
    </row>
    <row r="22" customFormat="false" ht="15" hidden="false" customHeight="true" outlineLevel="0" collapsed="false">
      <c r="A22" s="8" t="s">
        <v>77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2025'!$Q:$Q,'Source 2025'!$B:$B,$A22,'Source 2025'!$A:$A,"Quantity (units)")</f>
        <v>4521</v>
      </c>
      <c r="D22" s="9" t="n">
        <f aca="false">SUMIFS('Source 2026'!$Q:$Q,'Source 2026'!$B:$B,$A22,'Source 2026'!$A:$A,"Quantity (units)")</f>
        <v>3632</v>
      </c>
      <c r="E22" s="9" t="n">
        <f aca="false">D22*$J$5</f>
        <v>4587.78947368421</v>
      </c>
      <c r="F22" s="9" t="n">
        <f aca="false">E22-C22</f>
        <v>66.78947368421</v>
      </c>
      <c r="G22" s="13" t="n">
        <f aca="false">IF(AND(C22=0,E22=0),0,IF(C22=0,"New",(E22-C22)/C22))</f>
        <v>0.014773163831942</v>
      </c>
      <c r="H22" s="9" t="n">
        <f aca="false">SUMIFS('Source 2025'!$Q:$Q,'Source 2025'!$B:$B,$A22,'Source 2025'!$A:$A,"Amount (NIS)")</f>
        <v>304743.2</v>
      </c>
      <c r="I22" s="9" t="n">
        <f aca="false">SUMIFS('Source 2026'!$Q:$Q,'Source 2026'!$B:$B,$A22,'Source 2026'!$A:$A,"Amount (NIS)")</f>
        <v>245794.8</v>
      </c>
      <c r="J22" s="9" t="n">
        <f aca="false">I22*$J$5</f>
        <v>310477.642105263</v>
      </c>
      <c r="K22" s="9" t="n">
        <f aca="false">J22-H22</f>
        <v>5734.44210526312</v>
      </c>
      <c r="L22" s="13" t="n">
        <f aca="false">IF(AND(H22=0,J22=0),0,IF(H22=0,"New",(J22-H22)/H22))</f>
        <v>0.0188172930692567</v>
      </c>
    </row>
    <row r="23" customFormat="false" ht="15" hidden="false" customHeight="true" outlineLevel="0" collapsed="false">
      <c r="A23" s="8" t="s">
        <v>162</v>
      </c>
      <c r="B23" s="8" t="str">
        <f aca="false">IFERROR(INDEX('Source 2026'!$C:$C,MATCH($A23,'Source 2026'!$B:$B,0)),IFERROR(INDEX('Source 2025'!$C:$C,MATCH($A23,'Source 2025'!$B:$B,0)),""))</f>
        <v>גב אפורה</v>
      </c>
      <c r="C23" s="9" t="n">
        <f aca="false">SUMIFS('Source 2025'!$Q:$Q,'Source 2025'!$B:$B,$A23,'Source 2025'!$A:$A,"Quantity (units)")</f>
        <v>1499</v>
      </c>
      <c r="D23" s="9" t="n">
        <f aca="false">SUMIFS('Source 2026'!$Q:$Q,'Source 2026'!$B:$B,$A23,'Source 2026'!$A:$A,"Quantity (units)")</f>
        <v>892</v>
      </c>
      <c r="E23" s="9" t="n">
        <f aca="false">D23*$J$5</f>
        <v>1126.73684210526</v>
      </c>
      <c r="F23" s="9" t="n">
        <f aca="false">E23-C23</f>
        <v>-372.263157894737</v>
      </c>
      <c r="G23" s="13" t="n">
        <f aca="false">IF(AND(C23=0,E23=0),0,IF(C23=0,"New",(E23-C23)/C23))</f>
        <v>-0.248340999262666</v>
      </c>
      <c r="H23" s="9" t="n">
        <f aca="false">SUMIFS('Source 2025'!$Q:$Q,'Source 2025'!$B:$B,$A23,'Source 2025'!$A:$A,"Amount (NIS)")</f>
        <v>137916.9</v>
      </c>
      <c r="I23" s="9" t="n">
        <f aca="false">SUMIFS('Source 2026'!$Q:$Q,'Source 2026'!$B:$B,$A23,'Source 2026'!$A:$A,"Amount (NIS)")</f>
        <v>83552.7</v>
      </c>
      <c r="J23" s="9" t="n">
        <f aca="false">I23*$J$5</f>
        <v>105540.252631579</v>
      </c>
      <c r="K23" s="9" t="n">
        <f aca="false">J23-H23</f>
        <v>-32376.6473684211</v>
      </c>
      <c r="L23" s="13" t="n">
        <f aca="false">IF(AND(H23=0,J23=0),0,IF(H23=0,"New",(J23-H23)/H23))</f>
        <v>-0.23475474991405</v>
      </c>
    </row>
    <row r="24" customFormat="false" ht="15" hidden="false" customHeight="true" outlineLevel="0" collapsed="false">
      <c r="A24" s="8" t="s">
        <v>220</v>
      </c>
      <c r="B24" s="8" t="str">
        <f aca="false">IFERROR(INDEX('Source 2026'!$C:$C,MATCH($A24,'Source 2026'!$B:$B,0)),IFERROR(INDEX('Source 2025'!$C:$C,MATCH($A24,'Source 2025'!$B:$B,0)),""))</f>
        <v>חגורת גב אפורה</v>
      </c>
      <c r="C24" s="9" t="n">
        <f aca="false">SUMIFS('Source 2025'!$Q:$Q,'Source 2025'!$B:$B,$A24,'Source 2025'!$A:$A,"Quantity (units)")</f>
        <v>1760</v>
      </c>
      <c r="D24" s="9" t="n">
        <f aca="false">SUMIFS('Source 2026'!$Q:$Q,'Source 2026'!$B:$B,$A24,'Source 2026'!$A:$A,"Quantity (units)")</f>
        <v>1180</v>
      </c>
      <c r="E24" s="9" t="n">
        <f aca="false">D24*$J$5</f>
        <v>1490.52631578947</v>
      </c>
      <c r="F24" s="9" t="n">
        <f aca="false">E24-C24</f>
        <v>-269.473684210526</v>
      </c>
      <c r="G24" s="13" t="n">
        <f aca="false">IF(AND(C24=0,E24=0),0,IF(C24=0,"New",(E24-C24)/C24))</f>
        <v>-0.15311004784689</v>
      </c>
      <c r="H24" s="9" t="n">
        <f aca="false">SUMIFS('Source 2025'!$Q:$Q,'Source 2025'!$B:$B,$A24,'Source 2025'!$A:$A,"Amount (NIS)")</f>
        <v>161994.9</v>
      </c>
      <c r="I24" s="9" t="n">
        <f aca="false">SUMIFS('Source 2026'!$Q:$Q,'Source 2026'!$B:$B,$A24,'Source 2026'!$A:$A,"Amount (NIS)")</f>
        <v>110437.7</v>
      </c>
      <c r="J24" s="9" t="n">
        <f aca="false">I24*$J$5</f>
        <v>139500.252631579</v>
      </c>
      <c r="K24" s="9" t="n">
        <f aca="false">J24-H24</f>
        <v>-22494.6473684211</v>
      </c>
      <c r="L24" s="13" t="n">
        <f aca="false">IF(AND(H24=0,J24=0),0,IF(H24=0,"New",(J24-H24)/H24))</f>
        <v>-0.138860219478644</v>
      </c>
    </row>
    <row r="25" customFormat="false" ht="15" hidden="false" customHeight="true" outlineLevel="0" collapsed="false">
      <c r="A25" s="8" t="s">
        <v>88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9" t="n">
        <f aca="false">SUMIFS('Source 2025'!$Q:$Q,'Source 2025'!$B:$B,$A25,'Source 2025'!$A:$A,"Quantity (units)")</f>
        <v>5910</v>
      </c>
      <c r="D25" s="9" t="n">
        <f aca="false">SUMIFS('Source 2026'!$Q:$Q,'Source 2026'!$B:$B,$A25,'Source 2026'!$A:$A,"Quantity (units)")</f>
        <v>3889</v>
      </c>
      <c r="E25" s="9" t="n">
        <f aca="false">D25*$J$5</f>
        <v>4912.42105263158</v>
      </c>
      <c r="F25" s="9" t="n">
        <f aca="false">E25-C25</f>
        <v>-997.578947368422</v>
      </c>
      <c r="G25" s="13" t="n">
        <f aca="false">IF(AND(C25=0,E25=0),0,IF(C25=0,"New",(E25-C25)/C25))</f>
        <v>-0.168795084157093</v>
      </c>
      <c r="H25" s="9" t="n">
        <f aca="false">SUMIFS('Source 2025'!$Q:$Q,'Source 2025'!$B:$B,$A25,'Source 2025'!$A:$A,"Amount (NIS)")</f>
        <v>151929.9</v>
      </c>
      <c r="I25" s="9" t="n">
        <f aca="false">SUMIFS('Source 2026'!$Q:$Q,'Source 2026'!$B:$B,$A25,'Source 2026'!$A:$A,"Amount (NIS)")</f>
        <v>101337</v>
      </c>
      <c r="J25" s="9" t="n">
        <f aca="false">I25*$J$5</f>
        <v>128004.631578947</v>
      </c>
      <c r="K25" s="9" t="n">
        <f aca="false">J25-H25</f>
        <v>-23925.2684210526</v>
      </c>
      <c r="L25" s="13" t="n">
        <f aca="false">IF(AND(H25=0,J25=0),0,IF(H25=0,"New",(J25-H25)/H25))</f>
        <v>-0.157475707027074</v>
      </c>
    </row>
    <row r="26" customFormat="false" ht="15" hidden="false" customHeight="true" outlineLevel="0" collapsed="false">
      <c r="A26" s="8" t="s">
        <v>97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2025'!$Q:$Q,'Source 2025'!$B:$B,$A26,'Source 2025'!$A:$A,"Quantity (units)")</f>
        <v>1369</v>
      </c>
      <c r="D26" s="9" t="n">
        <f aca="false">SUMIFS('Source 2026'!$Q:$Q,'Source 2026'!$B:$B,$A26,'Source 2026'!$A:$A,"Quantity (units)")</f>
        <v>805</v>
      </c>
      <c r="E26" s="9" t="n">
        <f aca="false">D26*$J$5</f>
        <v>1016.84210526316</v>
      </c>
      <c r="F26" s="9" t="n">
        <f aca="false">E26-C26</f>
        <v>-352.157894736842</v>
      </c>
      <c r="G26" s="13" t="n">
        <f aca="false">IF(AND(C26=0,E26=0),0,IF(C26=0,"New",(E26-C26)/C26))</f>
        <v>-0.257237322671178</v>
      </c>
      <c r="H26" s="9" t="n">
        <f aca="false">SUMIFS('Source 2025'!$Q:$Q,'Source 2025'!$B:$B,$A26,'Source 2025'!$A:$A,"Amount (NIS)")</f>
        <v>122995.2</v>
      </c>
      <c r="I26" s="9" t="n">
        <f aca="false">SUMIFS('Source 2026'!$Q:$Q,'Source 2026'!$B:$B,$A26,'Source 2026'!$A:$A,"Amount (NIS)")</f>
        <v>72957.1</v>
      </c>
      <c r="J26" s="9" t="n">
        <f aca="false">I26*$J$5</f>
        <v>92156.3368421052</v>
      </c>
      <c r="K26" s="9" t="n">
        <f aca="false">J26-H26</f>
        <v>-30838.8631578948</v>
      </c>
      <c r="L26" s="13" t="n">
        <f aca="false">IF(AND(H26=0,J26=0),0,IF(H26=0,"New",(J26-H26)/H26))</f>
        <v>-0.250732249371478</v>
      </c>
    </row>
    <row r="27" customFormat="false" ht="15" hidden="false" customHeight="true" outlineLevel="0" collapsed="false">
      <c r="A27" s="8" t="s">
        <v>89</v>
      </c>
      <c r="B27" s="8" t="str">
        <f aca="false">IFERROR(INDEX('Source 2026'!$C:$C,MATCH($A27,'Source 2026'!$B:$B,0)),IFERROR(INDEX('Source 2025'!$C:$C,MATCH($A27,'Source 2025'!$B:$B,0)),""))</f>
        <v>L מגן ברך לבן</v>
      </c>
      <c r="C27" s="9" t="n">
        <f aca="false">SUMIFS('Source 2025'!$Q:$Q,'Source 2025'!$B:$B,$A27,'Source 2025'!$A:$A,"Quantity (units)")</f>
        <v>5449</v>
      </c>
      <c r="D27" s="9" t="n">
        <f aca="false">SUMIFS('Source 2026'!$Q:$Q,'Source 2026'!$B:$B,$A27,'Source 2026'!$A:$A,"Quantity (units)")</f>
        <v>3475</v>
      </c>
      <c r="E27" s="9" t="n">
        <f aca="false">D27*$J$5</f>
        <v>4389.47368421053</v>
      </c>
      <c r="F27" s="9" t="n">
        <f aca="false">E27-C27</f>
        <v>-1059.52631578947</v>
      </c>
      <c r="G27" s="13" t="n">
        <f aca="false">IF(AND(C27=0,E27=0),0,IF(C27=0,"New",(E27-C27)/C27))</f>
        <v>-0.19444417614048</v>
      </c>
      <c r="H27" s="9" t="n">
        <f aca="false">SUMIFS('Source 2025'!$Q:$Q,'Source 2025'!$B:$B,$A27,'Source 2025'!$A:$A,"Amount (NIS)")</f>
        <v>140113</v>
      </c>
      <c r="I27" s="9" t="n">
        <f aca="false">SUMIFS('Source 2026'!$Q:$Q,'Source 2026'!$B:$B,$A27,'Source 2026'!$A:$A,"Amount (NIS)")</f>
        <v>90544.3</v>
      </c>
      <c r="J27" s="9" t="n">
        <f aca="false">I27*$J$5</f>
        <v>114371.747368421</v>
      </c>
      <c r="K27" s="9" t="n">
        <f aca="false">J27-H27</f>
        <v>-25741.2526315789</v>
      </c>
      <c r="L27" s="13" t="n">
        <f aca="false">IF(AND(H27=0,J27=0),0,IF(H27=0,"New",(J27-H27)/H27))</f>
        <v>-0.183717803712567</v>
      </c>
    </row>
    <row r="28" customFormat="false" ht="15" hidden="false" customHeight="true" outlineLevel="0" collapsed="false">
      <c r="A28" s="8" t="s">
        <v>114</v>
      </c>
      <c r="B28" s="8" t="str">
        <f aca="false">IFERROR(INDEX('Source 2026'!$C:$C,MATCH($A28,'Source 2026'!$B:$B,0)),IFERROR(INDEX('Source 2025'!$C:$C,MATCH($A28,'Source 2025'!$B:$B,0)),""))</f>
        <v>יד אגודלי</v>
      </c>
      <c r="C28" s="9" t="n">
        <f aca="false">SUMIFS('Source 2025'!$Q:$Q,'Source 2025'!$B:$B,$A28,'Source 2025'!$A:$A,"Quantity (units)")</f>
        <v>5414</v>
      </c>
      <c r="D28" s="9" t="n">
        <f aca="false">SUMIFS('Source 2026'!$Q:$Q,'Source 2026'!$B:$B,$A28,'Source 2026'!$A:$A,"Quantity (units)")</f>
        <v>4087</v>
      </c>
      <c r="E28" s="9" t="n">
        <f aca="false">D28*$J$5</f>
        <v>5162.52631578947</v>
      </c>
      <c r="F28" s="9" t="n">
        <f aca="false">E28-C28</f>
        <v>-251.473684210527</v>
      </c>
      <c r="G28" s="13" t="n">
        <f aca="false">IF(AND(C28=0,E28=0),0,IF(C28=0,"New",(E28-C28)/C28))</f>
        <v>-0.0464487780218926</v>
      </c>
      <c r="H28" s="9" t="n">
        <f aca="false">SUMIFS('Source 2025'!$Q:$Q,'Source 2025'!$B:$B,$A28,'Source 2025'!$A:$A,"Amount (NIS)")</f>
        <v>199054.3</v>
      </c>
      <c r="I28" s="9" t="n">
        <f aca="false">SUMIFS('Source 2026'!$Q:$Q,'Source 2026'!$B:$B,$A28,'Source 2026'!$A:$A,"Amount (NIS)")</f>
        <v>152480.8</v>
      </c>
      <c r="J28" s="9" t="n">
        <f aca="false">I28*$J$5</f>
        <v>192607.326315789</v>
      </c>
      <c r="K28" s="9" t="n">
        <f aca="false">J28-H28</f>
        <v>-6446.97368421053</v>
      </c>
      <c r="L28" s="13" t="n">
        <f aca="false">IF(AND(H28=0,J28=0),0,IF(H28=0,"New",(J28-H28)/H28))</f>
        <v>-0.0323880151506927</v>
      </c>
    </row>
    <row r="29" customFormat="false" ht="15" hidden="false" customHeight="true" outlineLevel="0" collapsed="false">
      <c r="A29" s="8" t="s">
        <v>85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2025'!$Q:$Q,'Source 2025'!$B:$B,$A29,'Source 2025'!$A:$A,"Quantity (units)")</f>
        <v>4392</v>
      </c>
      <c r="D29" s="9" t="n">
        <f aca="false">SUMIFS('Source 2026'!$Q:$Q,'Source 2026'!$B:$B,$A29,'Source 2026'!$A:$A,"Quantity (units)")</f>
        <v>3316</v>
      </c>
      <c r="E29" s="9" t="n">
        <f aca="false">D29*$J$5</f>
        <v>4188.63157894737</v>
      </c>
      <c r="F29" s="9" t="n">
        <f aca="false">E29-C29</f>
        <v>-203.368421052632</v>
      </c>
      <c r="G29" s="13" t="n">
        <f aca="false">IF(AND(C29=0,E29=0),0,IF(C29=0,"New",(E29-C29)/C29))</f>
        <v>-0.0463042853034225</v>
      </c>
      <c r="H29" s="9" t="n">
        <f aca="false">SUMIFS('Source 2025'!$Q:$Q,'Source 2025'!$B:$B,$A29,'Source 2025'!$A:$A,"Amount (NIS)")</f>
        <v>161481.4</v>
      </c>
      <c r="I29" s="9" t="n">
        <f aca="false">SUMIFS('Source 2026'!$Q:$Q,'Source 2026'!$B:$B,$A29,'Source 2026'!$A:$A,"Amount (NIS)")</f>
        <v>123767.5</v>
      </c>
      <c r="J29" s="9" t="n">
        <f aca="false">I29*$J$5</f>
        <v>156337.894736842</v>
      </c>
      <c r="K29" s="9" t="n">
        <f aca="false">J29-H29</f>
        <v>-5143.50526315789</v>
      </c>
      <c r="L29" s="13" t="n">
        <f aca="false">IF(AND(H29=0,J29=0),0,IF(H29=0,"New",(J29-H29)/H29))</f>
        <v>-0.0318519982063438</v>
      </c>
    </row>
    <row r="30" customFormat="false" ht="15" hidden="false" customHeight="true" outlineLevel="0" collapsed="false">
      <c r="A30" s="8" t="s">
        <v>338</v>
      </c>
      <c r="B30" s="8" t="str">
        <f aca="false">IFERROR(INDEX('Source 2026'!$C:$C,MATCH($A30,'Source 2026'!$B:$B,0)),IFERROR(INDEX('Source 2025'!$C:$C,MATCH($A30,'Source 2025'!$B:$B,0)),""))</f>
        <v>חגורת גב אפורה</v>
      </c>
      <c r="C30" s="9" t="n">
        <f aca="false">SUMIFS('Source 2025'!$Q:$Q,'Source 2025'!$B:$B,$A30,'Source 2025'!$A:$A,"Quantity (units)")</f>
        <v>1204</v>
      </c>
      <c r="D30" s="9" t="n">
        <f aca="false">SUMIFS('Source 2026'!$Q:$Q,'Source 2026'!$B:$B,$A30,'Source 2026'!$A:$A,"Quantity (units)")</f>
        <v>807</v>
      </c>
      <c r="E30" s="9" t="n">
        <f aca="false">D30*$J$5</f>
        <v>1019.36842105263</v>
      </c>
      <c r="F30" s="9" t="n">
        <f aca="false">E30-C30</f>
        <v>-184.631578947368</v>
      </c>
      <c r="G30" s="13" t="n">
        <f aca="false">IF(AND(C30=0,E30=0),0,IF(C30=0,"New",(E30-C30)/C30))</f>
        <v>-0.153348487497814</v>
      </c>
      <c r="H30" s="9" t="n">
        <f aca="false">SUMIFS('Source 2025'!$Q:$Q,'Source 2025'!$B:$B,$A30,'Source 2025'!$A:$A,"Amount (NIS)")</f>
        <v>110749.4</v>
      </c>
      <c r="I30" s="9" t="n">
        <f aca="false">SUMIFS('Source 2026'!$Q:$Q,'Source 2026'!$B:$B,$A30,'Source 2026'!$A:$A,"Amount (NIS)")</f>
        <v>75572.3</v>
      </c>
      <c r="J30" s="9" t="n">
        <f aca="false">I30*$J$5</f>
        <v>95459.7473684211</v>
      </c>
      <c r="K30" s="9" t="n">
        <f aca="false">J30-H30</f>
        <v>-15289.6526315789</v>
      </c>
      <c r="L30" s="13" t="n">
        <f aca="false">IF(AND(H30=0,J30=0),0,IF(H30=0,"New",(J30-H30)/H30))</f>
        <v>-0.138056302170296</v>
      </c>
    </row>
    <row r="31" customFormat="false" ht="15" hidden="false" customHeight="true" outlineLevel="0" collapsed="false">
      <c r="A31" s="8" t="s">
        <v>80</v>
      </c>
      <c r="B31" s="8" t="str">
        <f aca="false">IFERROR(INDEX('Source 2026'!$C:$C,MATCH($A31,'Source 2026'!$B:$B,0)),IFERROR(INDEX('Source 2025'!$C:$C,MATCH($A31,'Source 2025'!$B:$B,0)),""))</f>
        <v>L (מתלה ליד )כיס</v>
      </c>
      <c r="C31" s="9" t="n">
        <f aca="false">SUMIFS('Source 2025'!$Q:$Q,'Source 2025'!$B:$B,$A31,'Source 2025'!$A:$A,"Quantity (units)")</f>
        <v>2070</v>
      </c>
      <c r="D31" s="9" t="n">
        <f aca="false">SUMIFS('Source 2026'!$Q:$Q,'Source 2026'!$B:$B,$A31,'Source 2026'!$A:$A,"Quantity (units)")</f>
        <v>1381</v>
      </c>
      <c r="E31" s="9" t="n">
        <f aca="false">D31*$J$5</f>
        <v>1744.42105263158</v>
      </c>
      <c r="F31" s="9" t="n">
        <f aca="false">E31-C31</f>
        <v>-325.578947368421</v>
      </c>
      <c r="G31" s="13" t="n">
        <f aca="false">IF(AND(C31=0,E31=0),0,IF(C31=0,"New",(E31-C31)/C31))</f>
        <v>-0.157284515636918</v>
      </c>
      <c r="H31" s="9" t="n">
        <f aca="false">SUMIFS('Source 2025'!$Q:$Q,'Source 2025'!$B:$B,$A31,'Source 2025'!$A:$A,"Amount (NIS)")</f>
        <v>100585.5</v>
      </c>
      <c r="I31" s="9" t="n">
        <f aca="false">SUMIFS('Source 2026'!$Q:$Q,'Source 2026'!$B:$B,$A31,'Source 2026'!$A:$A,"Amount (NIS)")</f>
        <v>67122.1</v>
      </c>
      <c r="J31" s="9" t="n">
        <f aca="false">I31*$J$5</f>
        <v>84785.8105263158</v>
      </c>
      <c r="K31" s="9" t="n">
        <f aca="false">J31-H31</f>
        <v>-15799.6894736842</v>
      </c>
      <c r="L31" s="13" t="n">
        <f aca="false">IF(AND(H31=0,J31=0),0,IF(H31=0,"New",(J31-H31)/H31))</f>
        <v>-0.157077207685842</v>
      </c>
    </row>
    <row r="32" customFormat="false" ht="15" hidden="false" customHeight="true" outlineLevel="0" collapsed="false">
      <c r="A32" s="8" t="s">
        <v>73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2025'!$Q:$Q,'Source 2025'!$B:$B,$A32,'Source 2025'!$A:$A,"Quantity (units)")</f>
        <v>1284</v>
      </c>
      <c r="D32" s="9" t="n">
        <f aca="false">SUMIFS('Source 2026'!$Q:$Q,'Source 2026'!$B:$B,$A32,'Source 2026'!$A:$A,"Quantity (units)")</f>
        <v>924</v>
      </c>
      <c r="E32" s="9" t="n">
        <f aca="false">D32*$J$5</f>
        <v>1167.15789473684</v>
      </c>
      <c r="F32" s="9" t="n">
        <f aca="false">E32-C32</f>
        <v>-116.842105263158</v>
      </c>
      <c r="G32" s="13" t="n">
        <f aca="false">IF(AND(C32=0,E32=0),0,IF(C32=0,"New",(E32-C32)/C32))</f>
        <v>-0.0909985243482538</v>
      </c>
      <c r="H32" s="9" t="n">
        <f aca="false">SUMIFS('Source 2025'!$Q:$Q,'Source 2025'!$B:$B,$A32,'Source 2025'!$A:$A,"Amount (NIS)")</f>
        <v>104119.4</v>
      </c>
      <c r="I32" s="9" t="n">
        <f aca="false">SUMIFS('Source 2026'!$Q:$Q,'Source 2026'!$B:$B,$A32,'Source 2026'!$A:$A,"Amount (NIS)")</f>
        <v>74448.4</v>
      </c>
      <c r="J32" s="9" t="n">
        <f aca="false">I32*$J$5</f>
        <v>94040.0842105263</v>
      </c>
      <c r="K32" s="9" t="n">
        <f aca="false">J32-H32</f>
        <v>-10079.3157894737</v>
      </c>
      <c r="L32" s="13" t="n">
        <f aca="false">IF(AND(H32=0,J32=0),0,IF(H32=0,"New",(J32-H32)/H32))</f>
        <v>-0.0968053579781837</v>
      </c>
    </row>
    <row r="33" customFormat="false" ht="15" hidden="false" customHeight="true" outlineLevel="0" collapsed="false">
      <c r="A33" s="8" t="s">
        <v>72</v>
      </c>
      <c r="B33" s="8" t="str">
        <f aca="false">IFERROR(INDEX('Source 2026'!$C:$C,MATCH($A33,'Source 2026'!$B:$B,0)),IFERROR(INDEX('Source 2025'!$C:$C,MATCH($A33,'Source 2025'!$B:$B,0)),""))</f>
        <v>1 תומך ברך גנושילד</v>
      </c>
      <c r="C33" s="9" t="n">
        <f aca="false">SUMIFS('Source 2025'!$Q:$Q,'Source 2025'!$B:$B,$A33,'Source 2025'!$A:$A,"Quantity (units)")</f>
        <v>0</v>
      </c>
      <c r="D33" s="9" t="n">
        <f aca="false">SUMIFS('Source 2026'!$Q:$Q,'Source 2026'!$B:$B,$A33,'Source 2026'!$A:$A,"Quantity (units)")</f>
        <v>149</v>
      </c>
      <c r="E33" s="9" t="n">
        <f aca="false">D33*$J$5</f>
        <v>188.210526315789</v>
      </c>
      <c r="F33" s="9" t="n">
        <f aca="false">E33-C33</f>
        <v>188.210526315789</v>
      </c>
      <c r="G33" s="13" t="str">
        <f aca="false">IF(AND(C33=0,E33=0),0,IF(C33=0,"New",(E33-C33)/C33))</f>
        <v>New</v>
      </c>
      <c r="H33" s="9" t="n">
        <f aca="false">SUMIFS('Source 2025'!$Q:$Q,'Source 2025'!$B:$B,$A33,'Source 2025'!$A:$A,"Amount (NIS)")</f>
        <v>0</v>
      </c>
      <c r="I33" s="9" t="n">
        <f aca="false">SUMIFS('Source 2026'!$Q:$Q,'Source 2026'!$B:$B,$A33,'Source 2026'!$A:$A,"Amount (NIS)")</f>
        <v>26893.1</v>
      </c>
      <c r="J33" s="9" t="n">
        <f aca="false">I33*$J$5</f>
        <v>33970.2315789474</v>
      </c>
      <c r="K33" s="9" t="n">
        <f aca="false">J33-H33</f>
        <v>33970.2315789474</v>
      </c>
      <c r="L33" s="13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102</v>
      </c>
      <c r="B34" s="8" t="str">
        <f aca="false">IFERROR(INDEX('Source 2026'!$C:$C,MATCH($A34,'Source 2026'!$B:$B,0)),IFERROR(INDEX('Source 2025'!$C:$C,MATCH($A34,'Source 2025'!$B:$B,0)),""))</f>
        <v>M 'מגן מרפק בז</v>
      </c>
      <c r="C34" s="9" t="n">
        <f aca="false">SUMIFS('Source 2025'!$Q:$Q,'Source 2025'!$B:$B,$A34,'Source 2025'!$A:$A,"Quantity (units)")</f>
        <v>3002</v>
      </c>
      <c r="D34" s="9" t="n">
        <f aca="false">SUMIFS('Source 2026'!$Q:$Q,'Source 2026'!$B:$B,$A34,'Source 2026'!$A:$A,"Quantity (units)")</f>
        <v>1943</v>
      </c>
      <c r="E34" s="9" t="n">
        <f aca="false">D34*$J$5</f>
        <v>2454.31578947368</v>
      </c>
      <c r="F34" s="9" t="n">
        <f aca="false">E34-C34</f>
        <v>-547.684210526316</v>
      </c>
      <c r="G34" s="13" t="n">
        <f aca="false">IF(AND(C34=0,E34=0),0,IF(C34=0,"New",(E34-C34)/C34))</f>
        <v>-0.182439776990778</v>
      </c>
      <c r="H34" s="9" t="n">
        <f aca="false">SUMIFS('Source 2025'!$Q:$Q,'Source 2025'!$B:$B,$A34,'Source 2025'!$A:$A,"Amount (NIS)")</f>
        <v>77209.1</v>
      </c>
      <c r="I34" s="9" t="n">
        <f aca="false">SUMIFS('Source 2026'!$Q:$Q,'Source 2026'!$B:$B,$A34,'Source 2026'!$A:$A,"Amount (NIS)")</f>
        <v>50700.2</v>
      </c>
      <c r="J34" s="9" t="n">
        <f aca="false">I34*$J$5</f>
        <v>64042.3578947368</v>
      </c>
      <c r="K34" s="9" t="n">
        <f aca="false">J34-H34</f>
        <v>-13166.7421052632</v>
      </c>
      <c r="L34" s="13" t="n">
        <f aca="false">IF(AND(H34=0,J34=0),0,IF(H34=0,"New",(J34-H34)/H34))</f>
        <v>-0.170533552460308</v>
      </c>
    </row>
    <row r="35" customFormat="false" ht="15" hidden="false" customHeight="true" outlineLevel="0" collapsed="false">
      <c r="A35" s="8" t="s">
        <v>135</v>
      </c>
      <c r="B35" s="8" t="str">
        <f aca="false">IFERROR(INDEX('Source 2026'!$C:$C,MATCH($A35,'Source 2026'!$B:$B,0)),IFERROR(INDEX('Source 2025'!$C:$C,MATCH($A35,'Source 2025'!$B:$B,0)),""))</f>
        <v>מגן ברך עם תמיכות</v>
      </c>
      <c r="C35" s="9" t="n">
        <f aca="false">SUMIFS('Source 2025'!$Q:$Q,'Source 2025'!$B:$B,$A35,'Source 2025'!$A:$A,"Quantity (units)")</f>
        <v>87</v>
      </c>
      <c r="D35" s="9" t="n">
        <f aca="false">SUMIFS('Source 2026'!$Q:$Q,'Source 2026'!$B:$B,$A35,'Source 2026'!$A:$A,"Quantity (units)")</f>
        <v>480</v>
      </c>
      <c r="E35" s="9" t="n">
        <f aca="false">D35*$J$5</f>
        <v>606.315789473684</v>
      </c>
      <c r="F35" s="9" t="n">
        <f aca="false">E35-C35</f>
        <v>519.315789473684</v>
      </c>
      <c r="G35" s="13" t="n">
        <f aca="false">IF(AND(C35=0,E35=0),0,IF(C35=0,"New",(E35-C35)/C35))</f>
        <v>5.96914700544465</v>
      </c>
      <c r="H35" s="9" t="n">
        <f aca="false">SUMIFS('Source 2025'!$Q:$Q,'Source 2025'!$B:$B,$A35,'Source 2025'!$A:$A,"Amount (NIS)")</f>
        <v>5062.6</v>
      </c>
      <c r="I35" s="9" t="n">
        <f aca="false">SUMIFS('Source 2026'!$Q:$Q,'Source 2026'!$B:$B,$A35,'Source 2026'!$A:$A,"Amount (NIS)")</f>
        <v>30593.7</v>
      </c>
      <c r="J35" s="9" t="n">
        <f aca="false">I35*$J$5</f>
        <v>38644.6736842105</v>
      </c>
      <c r="K35" s="9" t="n">
        <f aca="false">J35-H35</f>
        <v>33582.0736842105</v>
      </c>
      <c r="L35" s="13" t="n">
        <f aca="false">IF(AND(H35=0,J35=0),0,IF(H35=0,"New",(J35-H35)/H35))</f>
        <v>6.63336500695503</v>
      </c>
    </row>
    <row r="36" customFormat="false" ht="15" hidden="false" customHeight="true" outlineLevel="0" collapsed="false">
      <c r="A36" s="8" t="s">
        <v>133</v>
      </c>
      <c r="B36" s="8" t="str">
        <f aca="false">IFERROR(INDEX('Source 2026'!$C:$C,MATCH($A36,'Source 2026'!$B:$B,0)),IFERROR(INDEX('Source 2025'!$C:$C,MATCH($A36,'Source 2025'!$B:$B,0)),""))</f>
        <v>שרוול מטטרזלי מסיליקון</v>
      </c>
      <c r="C36" s="9" t="n">
        <f aca="false">SUMIFS('Source 2025'!$Q:$Q,'Source 2025'!$B:$B,$A36,'Source 2025'!$A:$A,"Quantity (units)")</f>
        <v>1179</v>
      </c>
      <c r="D36" s="9" t="n">
        <f aca="false">SUMIFS('Source 2026'!$Q:$Q,'Source 2026'!$B:$B,$A36,'Source 2026'!$A:$A,"Quantity (units)")</f>
        <v>724</v>
      </c>
      <c r="E36" s="9" t="n">
        <f aca="false">D36*$J$5</f>
        <v>914.526315789474</v>
      </c>
      <c r="F36" s="9" t="n">
        <f aca="false">E36-C36</f>
        <v>-264.473684210526</v>
      </c>
      <c r="G36" s="13" t="n">
        <f aca="false">IF(AND(C36=0,E36=0),0,IF(C36=0,"New",(E36-C36)/C36))</f>
        <v>-0.224320342841837</v>
      </c>
      <c r="H36" s="9" t="n">
        <f aca="false">SUMIFS('Source 2025'!$Q:$Q,'Source 2025'!$B:$B,$A36,'Source 2025'!$A:$A,"Amount (NIS)")</f>
        <v>61190.5</v>
      </c>
      <c r="I36" s="9" t="n">
        <f aca="false">SUMIFS('Source 2026'!$Q:$Q,'Source 2026'!$B:$B,$A36,'Source 2026'!$A:$A,"Amount (NIS)")</f>
        <v>37711.2</v>
      </c>
      <c r="J36" s="9" t="n">
        <f aca="false">I36*$J$5</f>
        <v>47635.2</v>
      </c>
      <c r="K36" s="9" t="n">
        <f aca="false">J36-H36</f>
        <v>-13555.3</v>
      </c>
      <c r="L36" s="13" t="n">
        <f aca="false">IF(AND(H36=0,J36=0),0,IF(H36=0,"New",(J36-H36)/H36))</f>
        <v>-0.221526217304974</v>
      </c>
    </row>
    <row r="37" customFormat="false" ht="15" hidden="false" customHeight="true" outlineLevel="0" collapsed="false">
      <c r="A37" s="8" t="s">
        <v>276</v>
      </c>
      <c r="B37" s="8" t="str">
        <f aca="false">IFERROR(INDEX('Source 2026'!$C:$C,MATCH($A37,'Source 2026'!$B:$B,0)),IFERROR(INDEX('Source 2025'!$C:$C,MATCH($A37,'Source 2025'!$B:$B,0)),""))</f>
        <v>פיקה לברך</v>
      </c>
      <c r="C37" s="9" t="n">
        <f aca="false">SUMIFS('Source 2025'!$Q:$Q,'Source 2025'!$B:$B,$A37,'Source 2025'!$A:$A,"Quantity (units)")</f>
        <v>965</v>
      </c>
      <c r="D37" s="9" t="n">
        <f aca="false">SUMIFS('Source 2026'!$Q:$Q,'Source 2026'!$B:$B,$A37,'Source 2026'!$A:$A,"Quantity (units)")</f>
        <v>461</v>
      </c>
      <c r="E37" s="9" t="n">
        <f aca="false">D37*$J$5</f>
        <v>582.315789473684</v>
      </c>
      <c r="F37" s="9" t="n">
        <f aca="false">E37-C37</f>
        <v>-382.684210526316</v>
      </c>
      <c r="G37" s="13" t="n">
        <f aca="false">IF(AND(C37=0,E37=0),0,IF(C37=0,"New",(E37-C37)/C37))</f>
        <v>-0.396563948731934</v>
      </c>
      <c r="H37" s="9" t="n">
        <f aca="false">SUMIFS('Source 2025'!$Q:$Q,'Source 2025'!$B:$B,$A37,'Source 2025'!$A:$A,"Amount (NIS)")</f>
        <v>43385.1</v>
      </c>
      <c r="I37" s="9" t="n">
        <f aca="false">SUMIFS('Source 2026'!$Q:$Q,'Source 2026'!$B:$B,$A37,'Source 2026'!$A:$A,"Amount (NIS)")</f>
        <v>20707.1</v>
      </c>
      <c r="J37" s="9" t="n">
        <f aca="false">I37*$J$5</f>
        <v>26156.3368421053</v>
      </c>
      <c r="K37" s="9" t="n">
        <f aca="false">J37-H37</f>
        <v>-17228.7631578947</v>
      </c>
      <c r="L37" s="13" t="n">
        <f aca="false">IF(AND(H37=0,J37=0),0,IF(H37=0,"New",(J37-H37)/H37))</f>
        <v>-0.397112445468484</v>
      </c>
    </row>
    <row r="38" customFormat="false" ht="15" hidden="false" customHeight="true" outlineLevel="0" collapsed="false">
      <c r="A38" s="8" t="s">
        <v>98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2025'!$Q:$Q,'Source 2025'!$B:$B,$A38,'Source 2025'!$A:$A,"Quantity (units)")</f>
        <v>2132</v>
      </c>
      <c r="D38" s="9" t="n">
        <f aca="false">SUMIFS('Source 2026'!$Q:$Q,'Source 2026'!$B:$B,$A38,'Source 2026'!$A:$A,"Quantity (units)")</f>
        <v>1430</v>
      </c>
      <c r="E38" s="9" t="n">
        <f aca="false">D38*$J$5</f>
        <v>1806.31578947368</v>
      </c>
      <c r="F38" s="9" t="n">
        <f aca="false">E38-C38</f>
        <v>-325.684210526316</v>
      </c>
      <c r="G38" s="13" t="n">
        <f aca="false">IF(AND(C38=0,E38=0),0,IF(C38=0,"New",(E38-C38)/C38))</f>
        <v>-0.152759948652118</v>
      </c>
      <c r="H38" s="9" t="n">
        <f aca="false">SUMIFS('Source 2025'!$Q:$Q,'Source 2025'!$B:$B,$A38,'Source 2025'!$A:$A,"Amount (NIS)")</f>
        <v>66609.4</v>
      </c>
      <c r="I38" s="9" t="n">
        <f aca="false">SUMIFS('Source 2026'!$Q:$Q,'Source 2026'!$B:$B,$A38,'Source 2026'!$A:$A,"Amount (NIS)")</f>
        <v>44688.8</v>
      </c>
      <c r="J38" s="9" t="n">
        <f aca="false">I38*$J$5</f>
        <v>56449.0105263158</v>
      </c>
      <c r="K38" s="9" t="n">
        <f aca="false">J38-H38</f>
        <v>-10160.3894736842</v>
      </c>
      <c r="L38" s="13" t="n">
        <f aca="false">IF(AND(H38=0,J38=0),0,IF(H38=0,"New",(J38-H38)/H38))</f>
        <v>-0.152536871277691</v>
      </c>
    </row>
    <row r="39" customFormat="false" ht="15" hidden="false" customHeight="true" outlineLevel="0" collapsed="false">
      <c r="A39" s="8" t="s">
        <v>118</v>
      </c>
      <c r="B39" s="8" t="str">
        <f aca="false">IFERROR(INDEX('Source 2026'!$C:$C,MATCH($A39,'Source 2026'!$B:$B,0)),IFERROR(INDEX('Source 2025'!$C:$C,MATCH($A39,'Source 2025'!$B:$B,0)),""))</f>
        <v>תחבושת א.נצמ</v>
      </c>
      <c r="C39" s="9" t="n">
        <f aca="false">SUMIFS('Source 2025'!$Q:$Q,'Source 2025'!$B:$B,$A39,'Source 2025'!$A:$A,"Quantity (units)")</f>
        <v>3203</v>
      </c>
      <c r="D39" s="9" t="n">
        <f aca="false">SUMIFS('Source 2026'!$Q:$Q,'Source 2026'!$B:$B,$A39,'Source 2026'!$A:$A,"Quantity (units)")</f>
        <v>1177</v>
      </c>
      <c r="E39" s="9" t="n">
        <f aca="false">D39*$J$5</f>
        <v>1486.73684210526</v>
      </c>
      <c r="F39" s="9" t="n">
        <f aca="false">E39-C39</f>
        <v>-1716.26315789474</v>
      </c>
      <c r="G39" s="13" t="n">
        <f aca="false">IF(AND(C39=0,E39=0),0,IF(C39=0,"New",(E39-C39)/C39))</f>
        <v>-0.535829896314311</v>
      </c>
      <c r="H39" s="9" t="n">
        <f aca="false">SUMIFS('Source 2025'!$Q:$Q,'Source 2025'!$B:$B,$A39,'Source 2025'!$A:$A,"Amount (NIS)")</f>
        <v>32526.4</v>
      </c>
      <c r="I39" s="9" t="n">
        <f aca="false">SUMIFS('Source 2026'!$Q:$Q,'Source 2026'!$B:$B,$A39,'Source 2026'!$A:$A,"Amount (NIS)")</f>
        <v>12016.1</v>
      </c>
      <c r="J39" s="9" t="n">
        <f aca="false">I39*$J$5</f>
        <v>15178.2315789474</v>
      </c>
      <c r="K39" s="9" t="n">
        <f aca="false">J39-H39</f>
        <v>-17348.1684210526</v>
      </c>
      <c r="L39" s="13" t="n">
        <f aca="false">IF(AND(H39=0,J39=0),0,IF(H39=0,"New",(J39-H39)/H39))</f>
        <v>-0.533356547944213</v>
      </c>
    </row>
    <row r="40" customFormat="false" ht="15" hidden="false" customHeight="true" outlineLevel="0" collapsed="false">
      <c r="A40" s="8" t="s">
        <v>96</v>
      </c>
      <c r="B40" s="8" t="str">
        <f aca="false">IFERROR(INDEX('Source 2026'!$C:$C,MATCH($A40,'Source 2026'!$B:$B,0)),IFERROR(INDEX('Source 2025'!$C:$C,MATCH($A40,'Source 2025'!$B:$B,0)),""))</f>
        <v>טייפ קינזיולוגי</v>
      </c>
      <c r="C40" s="9" t="n">
        <f aca="false">SUMIFS('Source 2025'!$Q:$Q,'Source 2025'!$B:$B,$A40,'Source 2025'!$A:$A,"Quantity (units)")</f>
        <v>1200</v>
      </c>
      <c r="D40" s="9" t="n">
        <f aca="false">SUMIFS('Source 2026'!$Q:$Q,'Source 2026'!$B:$B,$A40,'Source 2026'!$A:$A,"Quantity (units)")</f>
        <v>711</v>
      </c>
      <c r="E40" s="9" t="n">
        <f aca="false">D40*$J$5</f>
        <v>898.105263157895</v>
      </c>
      <c r="F40" s="9" t="n">
        <f aca="false">E40-C40</f>
        <v>-301.894736842105</v>
      </c>
      <c r="G40" s="13" t="n">
        <f aca="false">IF(AND(C40=0,E40=0),0,IF(C40=0,"New",(E40-C40)/C40))</f>
        <v>-0.251578947368421</v>
      </c>
      <c r="H40" s="9" t="n">
        <f aca="false">SUMIFS('Source 2025'!$Q:$Q,'Source 2025'!$B:$B,$A40,'Source 2025'!$A:$A,"Amount (NIS)")</f>
        <v>48495.6</v>
      </c>
      <c r="I40" s="9" t="n">
        <f aca="false">SUMIFS('Source 2026'!$Q:$Q,'Source 2026'!$B:$B,$A40,'Source 2026'!$A:$A,"Amount (NIS)")</f>
        <v>28682.6</v>
      </c>
      <c r="J40" s="9" t="n">
        <f aca="false">I40*$J$5</f>
        <v>36230.6526315789</v>
      </c>
      <c r="K40" s="9" t="n">
        <f aca="false">J40-H40</f>
        <v>-12264.9473684211</v>
      </c>
      <c r="L40" s="13" t="n">
        <f aca="false">IF(AND(H40=0,J40=0),0,IF(H40=0,"New",(J40-H40)/H40))</f>
        <v>-0.252908457023339</v>
      </c>
    </row>
    <row r="41" customFormat="false" ht="15" hidden="false" customHeight="true" outlineLevel="0" collapsed="false">
      <c r="A41" s="8" t="s">
        <v>107</v>
      </c>
      <c r="B41" s="8" t="str">
        <f aca="false">IFERROR(INDEX('Source 2026'!$C:$C,MATCH($A41,'Source 2026'!$B:$B,0)),IFERROR(INDEX('Source 2025'!$C:$C,MATCH($A41,'Source 2025'!$B:$B,0)),""))</f>
        <v>טייפ קינזיולוגי</v>
      </c>
      <c r="C41" s="9" t="n">
        <f aca="false">SUMIFS('Source 2025'!$Q:$Q,'Source 2025'!$B:$B,$A41,'Source 2025'!$A:$A,"Quantity (units)")</f>
        <v>1251</v>
      </c>
      <c r="D41" s="9" t="n">
        <f aca="false">SUMIFS('Source 2026'!$Q:$Q,'Source 2026'!$B:$B,$A41,'Source 2026'!$A:$A,"Quantity (units)")</f>
        <v>779</v>
      </c>
      <c r="E41" s="9" t="n">
        <f aca="false">D41*$J$5</f>
        <v>984</v>
      </c>
      <c r="F41" s="9" t="n">
        <f aca="false">E41-C41</f>
        <v>-267</v>
      </c>
      <c r="G41" s="13" t="n">
        <f aca="false">IF(AND(C41=0,E41=0),0,IF(C41=0,"New",(E41-C41)/C41))</f>
        <v>-0.213429256594724</v>
      </c>
      <c r="H41" s="9" t="n">
        <f aca="false">SUMIFS('Source 2025'!$Q:$Q,'Source 2025'!$B:$B,$A41,'Source 2025'!$A:$A,"Amount (NIS)")</f>
        <v>49688.4</v>
      </c>
      <c r="I41" s="9" t="n">
        <f aca="false">SUMIFS('Source 2026'!$Q:$Q,'Source 2026'!$B:$B,$A41,'Source 2026'!$A:$A,"Amount (NIS)")</f>
        <v>31161.7</v>
      </c>
      <c r="J41" s="9" t="n">
        <f aca="false">I41*$J$5</f>
        <v>39362.1473684211</v>
      </c>
      <c r="K41" s="9" t="n">
        <f aca="false">J41-H41</f>
        <v>-10326.252631579</v>
      </c>
      <c r="L41" s="13" t="n">
        <f aca="false">IF(AND(H41=0,J41=0),0,IF(H41=0,"New",(J41-H41)/H41))</f>
        <v>-0.207820188043466</v>
      </c>
    </row>
    <row r="42" customFormat="false" ht="15" hidden="false" customHeight="true" outlineLevel="0" collapsed="false">
      <c r="A42" s="8" t="s">
        <v>75</v>
      </c>
      <c r="B42" s="8" t="str">
        <f aca="false">IFERROR(INDEX('Source 2026'!$C:$C,MATCH($A42,'Source 2026'!$B:$B,0)),IFERROR(INDEX('Source 2025'!$C:$C,MATCH($A42,'Source 2025'!$B:$B,0)),""))</f>
        <v>L צוארון ספוגי</v>
      </c>
      <c r="C42" s="9" t="n">
        <f aca="false">SUMIFS('Source 2025'!$Q:$Q,'Source 2025'!$B:$B,$A42,'Source 2025'!$A:$A,"Quantity (units)")</f>
        <v>2106</v>
      </c>
      <c r="D42" s="9" t="n">
        <f aca="false">SUMIFS('Source 2026'!$Q:$Q,'Source 2026'!$B:$B,$A42,'Source 2026'!$A:$A,"Quantity (units)")</f>
        <v>1412</v>
      </c>
      <c r="E42" s="9" t="n">
        <f aca="false">D42*$J$5</f>
        <v>1783.57894736842</v>
      </c>
      <c r="F42" s="9" t="n">
        <f aca="false">E42-C42</f>
        <v>-322.421052631579</v>
      </c>
      <c r="G42" s="13" t="n">
        <f aca="false">IF(AND(C42=0,E42=0),0,IF(C42=0,"New",(E42-C42)/C42))</f>
        <v>-0.153096416254311</v>
      </c>
      <c r="H42" s="9" t="n">
        <f aca="false">SUMIFS('Source 2025'!$Q:$Q,'Source 2025'!$B:$B,$A42,'Source 2025'!$A:$A,"Amount (NIS)")</f>
        <v>63047.1</v>
      </c>
      <c r="I42" s="9" t="n">
        <f aca="false">SUMIFS('Source 2026'!$Q:$Q,'Source 2026'!$B:$B,$A42,'Source 2026'!$A:$A,"Amount (NIS)")</f>
        <v>44553.7</v>
      </c>
      <c r="J42" s="9" t="n">
        <f aca="false">I42*$J$5</f>
        <v>56278.3578947368</v>
      </c>
      <c r="K42" s="9" t="n">
        <f aca="false">J42-H42</f>
        <v>-6768.74210526316</v>
      </c>
      <c r="L42" s="13" t="n">
        <f aca="false">IF(AND(H42=0,J42=0),0,IF(H42=0,"New",(J42-H42)/H42))</f>
        <v>-0.107360086431623</v>
      </c>
    </row>
    <row r="43" customFormat="false" ht="15" hidden="false" customHeight="true" outlineLevel="0" collapsed="false">
      <c r="A43" s="8" t="s">
        <v>125</v>
      </c>
      <c r="B43" s="8" t="str">
        <f aca="false">IFERROR(INDEX('Source 2026'!$C:$C,MATCH($A43,'Source 2026'!$B:$B,0)),IFERROR(INDEX('Source 2025'!$C:$C,MATCH($A43,'Source 2025'!$B:$B,0)),""))</f>
        <v>L מגן מרפק רגיל לבן</v>
      </c>
      <c r="C43" s="9" t="n">
        <f aca="false">SUMIFS('Source 2025'!$Q:$Q,'Source 2025'!$B:$B,$A43,'Source 2025'!$A:$A,"Quantity (units)")</f>
        <v>1603</v>
      </c>
      <c r="D43" s="9" t="n">
        <f aca="false">SUMIFS('Source 2026'!$Q:$Q,'Source 2026'!$B:$B,$A43,'Source 2026'!$A:$A,"Quantity (units)")</f>
        <v>911</v>
      </c>
      <c r="E43" s="9" t="n">
        <f aca="false">D43*$J$5</f>
        <v>1150.73684210526</v>
      </c>
      <c r="F43" s="9" t="n">
        <f aca="false">E43-C43</f>
        <v>-452.263157894737</v>
      </c>
      <c r="G43" s="13" t="n">
        <f aca="false">IF(AND(C43=0,E43=0),0,IF(C43=0,"New",(E43-C43)/C43))</f>
        <v>-0.282135469678563</v>
      </c>
      <c r="H43" s="9" t="n">
        <f aca="false">SUMIFS('Source 2025'!$Q:$Q,'Source 2025'!$B:$B,$A43,'Source 2025'!$A:$A,"Amount (NIS)")</f>
        <v>41250</v>
      </c>
      <c r="I43" s="9" t="n">
        <f aca="false">SUMIFS('Source 2026'!$Q:$Q,'Source 2026'!$B:$B,$A43,'Source 2026'!$A:$A,"Amount (NIS)")</f>
        <v>23677.1</v>
      </c>
      <c r="J43" s="9" t="n">
        <f aca="false">I43*$J$5</f>
        <v>29907.9157894737</v>
      </c>
      <c r="K43" s="9" t="n">
        <f aca="false">J43-H43</f>
        <v>-11342.0842105263</v>
      </c>
      <c r="L43" s="13" t="n">
        <f aca="false">IF(AND(H43=0,J43=0),0,IF(H43=0,"New",(J43-H43)/H43))</f>
        <v>-0.27495961722488</v>
      </c>
    </row>
    <row r="44" customFormat="false" ht="15" hidden="false" customHeight="true" outlineLevel="0" collapsed="false">
      <c r="A44" s="8" t="s">
        <v>197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9" t="n">
        <f aca="false">SUMIFS('Source 2025'!$Q:$Q,'Source 2025'!$B:$B,$A44,'Source 2025'!$A:$A,"Quantity (units)")</f>
        <v>224</v>
      </c>
      <c r="D44" s="9" t="n">
        <f aca="false">SUMIFS('Source 2026'!$Q:$Q,'Source 2026'!$B:$B,$A44,'Source 2026'!$A:$A,"Quantity (units)")</f>
        <v>-25</v>
      </c>
      <c r="E44" s="9" t="n">
        <f aca="false">D44*$J$5</f>
        <v>-31.5789473684211</v>
      </c>
      <c r="F44" s="9" t="n">
        <f aca="false">E44-C44</f>
        <v>-255.578947368421</v>
      </c>
      <c r="G44" s="13" t="n">
        <f aca="false">IF(AND(C44=0,E44=0),0,IF(C44=0,"New",(E44-C44)/C44))</f>
        <v>-1.14097744360902</v>
      </c>
      <c r="H44" s="9" t="n">
        <f aca="false">SUMIFS('Source 2025'!$Q:$Q,'Source 2025'!$B:$B,$A44,'Source 2025'!$A:$A,"Amount (NIS)")</f>
        <v>15661.5</v>
      </c>
      <c r="I44" s="9" t="n">
        <f aca="false">SUMIFS('Source 2026'!$Q:$Q,'Source 2026'!$B:$B,$A44,'Source 2026'!$A:$A,"Amount (NIS)")</f>
        <v>-1715.2</v>
      </c>
      <c r="J44" s="9" t="n">
        <f aca="false">I44*$J$5</f>
        <v>-2166.56842105263</v>
      </c>
      <c r="K44" s="9" t="n">
        <f aca="false">J44-H44</f>
        <v>-17828.0684210526</v>
      </c>
      <c r="L44" s="13" t="n">
        <f aca="false">IF(AND(H44=0,J44=0),0,IF(H44=0,"New",(J44-H44)/H44))</f>
        <v>-1.13833722319399</v>
      </c>
    </row>
    <row r="45" customFormat="false" ht="15" hidden="false" customHeight="true" outlineLevel="0" collapsed="false">
      <c r="A45" s="8" t="s">
        <v>115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2025'!$Q:$Q,'Source 2025'!$B:$B,$A45,'Source 2025'!$A:$A,"Quantity (units)")</f>
        <v>1150</v>
      </c>
      <c r="D45" s="9" t="n">
        <f aca="false">SUMIFS('Source 2026'!$Q:$Q,'Source 2026'!$B:$B,$A45,'Source 2026'!$A:$A,"Quantity (units)")</f>
        <v>705</v>
      </c>
      <c r="E45" s="9" t="n">
        <f aca="false">D45*$J$5</f>
        <v>890.526315789474</v>
      </c>
      <c r="F45" s="9" t="n">
        <f aca="false">E45-C45</f>
        <v>-259.473684210526</v>
      </c>
      <c r="G45" s="13" t="n">
        <f aca="false">IF(AND(C45=0,E45=0),0,IF(C45=0,"New",(E45-C45)/C45))</f>
        <v>-0.225629290617849</v>
      </c>
      <c r="H45" s="9" t="n">
        <f aca="false">SUMIFS('Source 2025'!$Q:$Q,'Source 2025'!$B:$B,$A45,'Source 2025'!$A:$A,"Amount (NIS)")</f>
        <v>45598.1</v>
      </c>
      <c r="I45" s="9" t="n">
        <f aca="false">SUMIFS('Source 2026'!$Q:$Q,'Source 2026'!$B:$B,$A45,'Source 2026'!$A:$A,"Amount (NIS)")</f>
        <v>28253.3</v>
      </c>
      <c r="J45" s="9" t="n">
        <f aca="false">I45*$J$5</f>
        <v>35688.3789473684</v>
      </c>
      <c r="K45" s="9" t="n">
        <f aca="false">J45-H45</f>
        <v>-9909.72105263158</v>
      </c>
      <c r="L45" s="13" t="n">
        <f aca="false">IF(AND(H45=0,J45=0),0,IF(H45=0,"New",(J45-H45)/H45))</f>
        <v>-0.217327499449135</v>
      </c>
    </row>
    <row r="46" customFormat="false" ht="15" hidden="false" customHeight="true" outlineLevel="0" collapsed="false">
      <c r="A46" s="8" t="s">
        <v>259</v>
      </c>
      <c r="B46" s="8" t="str">
        <f aca="false">IFERROR(INDEX('Source 2026'!$C:$C,MATCH($A46,'Source 2026'!$B:$B,0)),IFERROR(INDEX('Source 2025'!$C:$C,MATCH($A46,'Source 2025'!$B:$B,0)),""))</f>
        <v>S מקבע כתף ויד</v>
      </c>
      <c r="C46" s="9" t="n">
        <f aca="false">SUMIFS('Source 2025'!$Q:$Q,'Source 2025'!$B:$B,$A46,'Source 2025'!$A:$A,"Quantity (units)")</f>
        <v>541</v>
      </c>
      <c r="D46" s="9" t="n">
        <f aca="false">SUMIFS('Source 2026'!$Q:$Q,'Source 2026'!$B:$B,$A46,'Source 2026'!$A:$A,"Quantity (units)")</f>
        <v>434</v>
      </c>
      <c r="E46" s="9" t="n">
        <f aca="false">D46*$J$5</f>
        <v>548.21052631579</v>
      </c>
      <c r="F46" s="9" t="n">
        <f aca="false">E46-C46</f>
        <v>7.21052631578948</v>
      </c>
      <c r="G46" s="13" t="n">
        <f aca="false">IF(AND(C46=0,E46=0),0,IF(C46=0,"New",(E46-C46)/C46))</f>
        <v>0.0133281447611635</v>
      </c>
      <c r="H46" s="9" t="n">
        <f aca="false">SUMIFS('Source 2025'!$Q:$Q,'Source 2025'!$B:$B,$A46,'Source 2025'!$A:$A,"Amount (NIS)")</f>
        <v>87145.9</v>
      </c>
      <c r="I46" s="9" t="n">
        <f aca="false">SUMIFS('Source 2026'!$Q:$Q,'Source 2026'!$B:$B,$A46,'Source 2026'!$A:$A,"Amount (NIS)")</f>
        <v>69975.1</v>
      </c>
      <c r="J46" s="9" t="n">
        <f aca="false">I46*$J$5</f>
        <v>88389.6</v>
      </c>
      <c r="K46" s="9" t="n">
        <f aca="false">J46-H46</f>
        <v>1243.7</v>
      </c>
      <c r="L46" s="13" t="n">
        <f aca="false">IF(AND(H46=0,J46=0),0,IF(H46=0,"New",(J46-H46)/H46))</f>
        <v>0.0142714688814964</v>
      </c>
    </row>
    <row r="47" customFormat="false" ht="15" hidden="false" customHeight="true" outlineLevel="0" collapsed="false">
      <c r="A47" s="8" t="s">
        <v>106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796</v>
      </c>
      <c r="D47" s="9" t="n">
        <f aca="false">SUMIFS('Source 2026'!$Q:$Q,'Source 2026'!$B:$B,$A47,'Source 2026'!$A:$A,"Quantity (units)")</f>
        <v>387</v>
      </c>
      <c r="E47" s="9" t="n">
        <f aca="false">D47*$J$5</f>
        <v>488.842105263158</v>
      </c>
      <c r="F47" s="9" t="n">
        <f aca="false">E47-C47</f>
        <v>-307.157894736842</v>
      </c>
      <c r="G47" s="13" t="n">
        <f aca="false">IF(AND(C47=0,E47=0),0,IF(C47=0,"New",(E47-C47)/C47))</f>
        <v>-0.385876752181963</v>
      </c>
      <c r="H47" s="9" t="n">
        <f aca="false">SUMIFS('Source 2025'!$Q:$Q,'Source 2025'!$B:$B,$A47,'Source 2025'!$A:$A,"Amount (NIS)")</f>
        <v>32148.2</v>
      </c>
      <c r="I47" s="9" t="n">
        <f aca="false">SUMIFS('Source 2026'!$Q:$Q,'Source 2026'!$B:$B,$A47,'Source 2026'!$A:$A,"Amount (NIS)")</f>
        <v>15624.9</v>
      </c>
      <c r="J47" s="9" t="n">
        <f aca="false">I47*$J$5</f>
        <v>19736.7157894737</v>
      </c>
      <c r="K47" s="9" t="n">
        <f aca="false">J47-H47</f>
        <v>-12411.4842105263</v>
      </c>
      <c r="L47" s="13" t="n">
        <f aca="false">IF(AND(H47=0,J47=0),0,IF(H47=0,"New",(J47-H47)/H47))</f>
        <v>-0.386070890766087</v>
      </c>
    </row>
    <row r="48" customFormat="false" ht="15" hidden="false" customHeight="true" outlineLevel="0" collapsed="false">
      <c r="A48" s="8" t="s">
        <v>231</v>
      </c>
      <c r="B48" s="8" t="str">
        <f aca="false">IFERROR(INDEX('Source 2026'!$C:$C,MATCH($A48,'Source 2026'!$B:$B,0)),IFERROR(INDEX('Source 2025'!$C:$C,MATCH($A48,'Source 2025'!$B:$B,0)),""))</f>
        <v>S ""חגורת גב ""לומבו</v>
      </c>
      <c r="C48" s="9" t="n">
        <f aca="false">SUMIFS('Source 2025'!$Q:$Q,'Source 2025'!$B:$B,$A48,'Source 2025'!$A:$A,"Quantity (units)")</f>
        <v>170</v>
      </c>
      <c r="D48" s="9" t="n">
        <f aca="false">SUMIFS('Source 2026'!$Q:$Q,'Source 2026'!$B:$B,$A48,'Source 2026'!$A:$A,"Quantity (units)")</f>
        <v>45</v>
      </c>
      <c r="E48" s="9" t="n">
        <f aca="false">D48*$J$5</f>
        <v>56.8421052631579</v>
      </c>
      <c r="F48" s="9" t="n">
        <f aca="false">E48-C48</f>
        <v>-113.157894736842</v>
      </c>
      <c r="G48" s="13" t="n">
        <f aca="false">IF(AND(C48=0,E48=0),0,IF(C48=0,"New",(E48-C48)/C48))</f>
        <v>-0.665634674922601</v>
      </c>
      <c r="H48" s="9" t="n">
        <f aca="false">SUMIFS('Source 2025'!$Q:$Q,'Source 2025'!$B:$B,$A48,'Source 2025'!$A:$A,"Amount (NIS)")</f>
        <v>22281.9</v>
      </c>
      <c r="I48" s="9" t="n">
        <f aca="false">SUMIFS('Source 2026'!$Q:$Q,'Source 2026'!$B:$B,$A48,'Source 2026'!$A:$A,"Amount (NIS)")</f>
        <v>6031.7</v>
      </c>
      <c r="J48" s="9" t="n">
        <f aca="false">I48*$J$5</f>
        <v>7618.98947368421</v>
      </c>
      <c r="K48" s="9" t="n">
        <f aca="false">J48-H48</f>
        <v>-14662.9105263158</v>
      </c>
      <c r="L48" s="13" t="n">
        <f aca="false">IF(AND(H48=0,J48=0),0,IF(H48=0,"New",(J48-H48)/H48))</f>
        <v>-0.658063743501039</v>
      </c>
    </row>
    <row r="49" customFormat="false" ht="15" hidden="false" customHeight="true" outlineLevel="0" collapsed="false">
      <c r="A49" s="8" t="s">
        <v>240</v>
      </c>
      <c r="B49" s="8" t="str">
        <f aca="false">IFERROR(INDEX('Source 2026'!$C:$C,MATCH($A49,'Source 2026'!$B:$B,0)),IFERROR(INDEX('Source 2025'!$C:$C,MATCH($A49,'Source 2025'!$B:$B,0)),""))</f>
        <v>45 M מגן ברך רגיל</v>
      </c>
      <c r="C49" s="9" t="n">
        <f aca="false">SUMIFS('Source 2025'!$Q:$Q,'Source 2025'!$B:$B,$A49,'Source 2025'!$A:$A,"Quantity (units)")</f>
        <v>260</v>
      </c>
      <c r="D49" s="9" t="n">
        <f aca="false">SUMIFS('Source 2026'!$Q:$Q,'Source 2026'!$B:$B,$A49,'Source 2026'!$A:$A,"Quantity (units)")</f>
        <v>102</v>
      </c>
      <c r="E49" s="9" t="n">
        <f aca="false">D49*$J$5</f>
        <v>128.842105263158</v>
      </c>
      <c r="F49" s="9" t="n">
        <f aca="false">E49-C49</f>
        <v>-131.157894736842</v>
      </c>
      <c r="G49" s="13" t="n">
        <f aca="false">IF(AND(C49=0,E49=0),0,IF(C49=0,"New",(E49-C49)/C49))</f>
        <v>-0.504453441295547</v>
      </c>
      <c r="H49" s="9" t="n">
        <f aca="false">SUMIFS('Source 2025'!$Q:$Q,'Source 2025'!$B:$B,$A49,'Source 2025'!$A:$A,"Amount (NIS)")</f>
        <v>23410.8</v>
      </c>
      <c r="I49" s="9" t="n">
        <f aca="false">SUMIFS('Source 2026'!$Q:$Q,'Source 2026'!$B:$B,$A49,'Source 2026'!$A:$A,"Amount (NIS)")</f>
        <v>9335.7</v>
      </c>
      <c r="J49" s="9" t="n">
        <f aca="false">I49*$J$5</f>
        <v>11792.4631578947</v>
      </c>
      <c r="K49" s="9" t="n">
        <f aca="false">J49-H49</f>
        <v>-11618.3368421053</v>
      </c>
      <c r="L49" s="13" t="n">
        <f aca="false">IF(AND(H49=0,J49=0),0,IF(H49=0,"New",(J49-H49)/H49))</f>
        <v>-0.496281068656571</v>
      </c>
    </row>
    <row r="50" customFormat="false" ht="15" hidden="false" customHeight="true" outlineLevel="0" collapsed="false">
      <c r="A50" s="8" t="s">
        <v>116</v>
      </c>
      <c r="B50" s="8" t="str">
        <f aca="false">IFERROR(INDEX('Source 2026'!$C:$C,MATCH($A50,'Source 2026'!$B:$B,0)),IFERROR(INDEX('Source 2025'!$C:$C,MATCH($A50,'Source 2025'!$B:$B,0)),""))</f>
        <v>0 מ.בוניון+מפריד אצבע</v>
      </c>
      <c r="C50" s="9" t="n">
        <f aca="false">SUMIFS('Source 2025'!$Q:$Q,'Source 2025'!$B:$B,$A50,'Source 2025'!$A:$A,"Quantity (units)")</f>
        <v>1818</v>
      </c>
      <c r="D50" s="9" t="n">
        <f aca="false">SUMIFS('Source 2026'!$Q:$Q,'Source 2026'!$B:$B,$A50,'Source 2026'!$A:$A,"Quantity (units)")</f>
        <v>1418</v>
      </c>
      <c r="E50" s="9" t="n">
        <f aca="false">D50*$J$5</f>
        <v>1791.15789473684</v>
      </c>
      <c r="F50" s="9" t="n">
        <f aca="false">E50-C50</f>
        <v>-26.8421052631579</v>
      </c>
      <c r="G50" s="13" t="n">
        <f aca="false">IF(AND(C50=0,E50=0),0,IF(C50=0,"New",(E50-C50)/C50))</f>
        <v>-0.0147646343581727</v>
      </c>
      <c r="H50" s="9" t="n">
        <f aca="false">SUMIFS('Source 2025'!$Q:$Q,'Source 2025'!$B:$B,$A50,'Source 2025'!$A:$A,"Amount (NIS)")</f>
        <v>63005.9</v>
      </c>
      <c r="I50" s="9" t="n">
        <f aca="false">SUMIFS('Source 2026'!$Q:$Q,'Source 2026'!$B:$B,$A50,'Source 2026'!$A:$A,"Amount (NIS)")</f>
        <v>49012.5</v>
      </c>
      <c r="J50" s="9" t="n">
        <f aca="false">I50*$J$5</f>
        <v>61910.5263157895</v>
      </c>
      <c r="K50" s="9" t="n">
        <f aca="false">J50-H50</f>
        <v>-1095.37368421053</v>
      </c>
      <c r="L50" s="13" t="n">
        <f aca="false">IF(AND(H50=0,J50=0),0,IF(H50=0,"New",(J50-H50)/H50))</f>
        <v>-0.0173852557333603</v>
      </c>
    </row>
    <row r="51" customFormat="false" ht="15" hidden="false" customHeight="true" outlineLevel="0" collapsed="false">
      <c r="A51" s="8" t="s">
        <v>120</v>
      </c>
      <c r="B51" s="8" t="str">
        <f aca="false">IFERROR(INDEX('Source 2026'!$C:$C,MATCH($A51,'Source 2026'!$B:$B,0)),IFERROR(INDEX('Source 2025'!$C:$C,MATCH($A51,'Source 2025'!$B:$B,0)),""))</f>
        <v>S-L אצבעון מסיליקון יחידה</v>
      </c>
      <c r="C51" s="9" t="n">
        <f aca="false">SUMIFS('Source 2025'!$Q:$Q,'Source 2025'!$B:$B,$A51,'Source 2025'!$A:$A,"Quantity (units)")</f>
        <v>2172</v>
      </c>
      <c r="D51" s="9" t="n">
        <f aca="false">SUMIFS('Source 2026'!$Q:$Q,'Source 2026'!$B:$B,$A51,'Source 2026'!$A:$A,"Quantity (units)")</f>
        <v>1549</v>
      </c>
      <c r="E51" s="9" t="n">
        <f aca="false">D51*$J$5</f>
        <v>1956.63157894737</v>
      </c>
      <c r="F51" s="9" t="n">
        <f aca="false">E51-C51</f>
        <v>-215.368421052632</v>
      </c>
      <c r="G51" s="13" t="n">
        <f aca="false">IF(AND(C51=0,E51=0),0,IF(C51=0,"New",(E51-C51)/C51))</f>
        <v>-0.0991567316080256</v>
      </c>
      <c r="H51" s="9" t="n">
        <f aca="false">SUMIFS('Source 2025'!$Q:$Q,'Source 2025'!$B:$B,$A51,'Source 2025'!$A:$A,"Amount (NIS)")</f>
        <v>48349.5</v>
      </c>
      <c r="I51" s="9" t="n">
        <f aca="false">SUMIFS('Source 2026'!$Q:$Q,'Source 2026'!$B:$B,$A51,'Source 2026'!$A:$A,"Amount (NIS)")</f>
        <v>34693.3</v>
      </c>
      <c r="J51" s="9" t="n">
        <f aca="false">I51*$J$5</f>
        <v>43823.1157894737</v>
      </c>
      <c r="K51" s="9" t="n">
        <f aca="false">J51-H51</f>
        <v>-4526.38421052632</v>
      </c>
      <c r="L51" s="13" t="n">
        <f aca="false">IF(AND(H51=0,J51=0),0,IF(H51=0,"New",(J51-H51)/H51))</f>
        <v>-0.0936180148817737</v>
      </c>
    </row>
    <row r="52" customFormat="false" ht="15" hidden="false" customHeight="true" outlineLevel="0" collapsed="false">
      <c r="A52" s="8" t="s">
        <v>204</v>
      </c>
      <c r="B52" s="8" t="str">
        <f aca="false">IFERROR(INDEX('Source 2026'!$C:$C,MATCH($A52,'Source 2026'!$B:$B,0)),IFERROR(INDEX('Source 2025'!$C:$C,MATCH($A52,'Source 2025'!$B:$B,0)),""))</f>
        <v>XS חגורת פאבליק</v>
      </c>
      <c r="C52" s="9" t="n">
        <f aca="false">SUMIFS('Source 2025'!$Q:$Q,'Source 2025'!$B:$B,$A52,'Source 2025'!$A:$A,"Quantity (units)")</f>
        <v>0</v>
      </c>
      <c r="D52" s="9" t="n">
        <f aca="false">SUMIFS('Source 2026'!$Q:$Q,'Source 2026'!$B:$B,$A52,'Source 2026'!$A:$A,"Quantity (units)")</f>
        <v>47</v>
      </c>
      <c r="E52" s="9" t="n">
        <f aca="false">D52*$J$5</f>
        <v>59.3684210526316</v>
      </c>
      <c r="F52" s="9" t="n">
        <f aca="false">E52-C52</f>
        <v>59.3684210526316</v>
      </c>
      <c r="G52" s="13" t="str">
        <f aca="false">IF(AND(C52=0,E52=0),0,IF(C52=0,"New",(E52-C52)/C52))</f>
        <v>New</v>
      </c>
      <c r="H52" s="9" t="n">
        <f aca="false">SUMIFS('Source 2025'!$Q:$Q,'Source 2025'!$B:$B,$A52,'Source 2025'!$A:$A,"Amount (NIS)")</f>
        <v>0</v>
      </c>
      <c r="I52" s="9" t="n">
        <f aca="false">SUMIFS('Source 2026'!$Q:$Q,'Source 2026'!$B:$B,$A52,'Source 2026'!$A:$A,"Amount (NIS)")</f>
        <v>13130.3</v>
      </c>
      <c r="J52" s="9" t="n">
        <f aca="false">I52*$J$5</f>
        <v>16585.6421052632</v>
      </c>
      <c r="K52" s="9" t="n">
        <f aca="false">J52-H52</f>
        <v>16585.6421052632</v>
      </c>
      <c r="L52" s="13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111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9" t="n">
        <f aca="false">SUMIFS('Source 2025'!$Q:$Q,'Source 2025'!$B:$B,$A53,'Source 2025'!$A:$A,"Quantity (units)")</f>
        <v>155</v>
      </c>
      <c r="D53" s="9" t="n">
        <f aca="false">SUMIFS('Source 2026'!$Q:$Q,'Source 2026'!$B:$B,$A53,'Source 2026'!$A:$A,"Quantity (units)")</f>
        <v>52</v>
      </c>
      <c r="E53" s="9" t="n">
        <f aca="false">D53*$J$5</f>
        <v>65.6842105263158</v>
      </c>
      <c r="F53" s="9" t="n">
        <f aca="false">E53-C53</f>
        <v>-89.3157894736842</v>
      </c>
      <c r="G53" s="13" t="n">
        <f aca="false">IF(AND(C53=0,E53=0),0,IF(C53=0,"New",(E53-C53)/C53))</f>
        <v>-0.576230899830221</v>
      </c>
      <c r="H53" s="9" t="n">
        <f aca="false">SUMIFS('Source 2025'!$Q:$Q,'Source 2025'!$B:$B,$A53,'Source 2025'!$A:$A,"Amount (NIS)")</f>
        <v>20571.3</v>
      </c>
      <c r="I53" s="9" t="n">
        <f aca="false">SUMIFS('Source 2026'!$Q:$Q,'Source 2026'!$B:$B,$A53,'Source 2026'!$A:$A,"Amount (NIS)")</f>
        <v>7911.2</v>
      </c>
      <c r="J53" s="9" t="n">
        <f aca="false">I53*$J$5</f>
        <v>9993.0947368421</v>
      </c>
      <c r="K53" s="9" t="n">
        <f aca="false">J53-H53</f>
        <v>-10578.2052631579</v>
      </c>
      <c r="L53" s="13" t="n">
        <f aca="false">IF(AND(H53=0,J53=0),0,IF(H53=0,"New",(J53-H53)/H53))</f>
        <v>-0.514221525288042</v>
      </c>
    </row>
    <row r="54" customFormat="false" ht="15" hidden="false" customHeight="true" outlineLevel="0" collapsed="false">
      <c r="A54" s="8" t="s">
        <v>163</v>
      </c>
      <c r="B54" s="8" t="str">
        <f aca="false">IFERROR(INDEX('Source 2026'!$C:$C,MATCH($A54,'Source 2026'!$B:$B,0)),IFERROR(INDEX('Source 2025'!$C:$C,MATCH($A54,'Source 2025'!$B:$B,0)),""))</f>
        <v>נצמדת שחור 20 מ""מ</v>
      </c>
      <c r="C54" s="9" t="n">
        <f aca="false">SUMIFS('Source 2025'!$Q:$Q,'Source 2025'!$B:$B,$A54,'Source 2025'!$A:$A,"Quantity (units)")</f>
        <v>1790</v>
      </c>
      <c r="D54" s="9" t="n">
        <f aca="false">SUMIFS('Source 2026'!$Q:$Q,'Source 2026'!$B:$B,$A54,'Source 2026'!$A:$A,"Quantity (units)")</f>
        <v>580</v>
      </c>
      <c r="E54" s="9" t="n">
        <f aca="false">D54*$J$5</f>
        <v>732.631578947368</v>
      </c>
      <c r="F54" s="9" t="n">
        <f aca="false">E54-C54</f>
        <v>-1057.36842105263</v>
      </c>
      <c r="G54" s="13" t="n">
        <f aca="false">IF(AND(C54=0,E54=0),0,IF(C54=0,"New",(E54-C54)/C54))</f>
        <v>-0.590708615113202</v>
      </c>
      <c r="H54" s="9" t="n">
        <f aca="false">SUMIFS('Source 2025'!$Q:$Q,'Source 2025'!$B:$B,$A54,'Source 2025'!$A:$A,"Amount (NIS)")</f>
        <v>18164.7</v>
      </c>
      <c r="I54" s="9" t="n">
        <f aca="false">SUMIFS('Source 2026'!$Q:$Q,'Source 2026'!$B:$B,$A54,'Source 2026'!$A:$A,"Amount (NIS)")</f>
        <v>5942.1</v>
      </c>
      <c r="J54" s="9" t="n">
        <f aca="false">I54*$J$5</f>
        <v>7505.81052631579</v>
      </c>
      <c r="K54" s="9" t="n">
        <f aca="false">J54-H54</f>
        <v>-10658.8894736842</v>
      </c>
      <c r="L54" s="13" t="n">
        <f aca="false">IF(AND(H54=0,J54=0),0,IF(H54=0,"New",(J54-H54)/H54))</f>
        <v>-0.586791385141743</v>
      </c>
    </row>
    <row r="55" customFormat="false" ht="15" hidden="false" customHeight="true" outlineLevel="0" collapsed="false">
      <c r="A55" s="8" t="s">
        <v>152</v>
      </c>
      <c r="B55" s="8" t="str">
        <f aca="false">IFERROR(INDEX('Source 2026'!$C:$C,MATCH($A55,'Source 2026'!$B:$B,0)),IFERROR(INDEX('Source 2025'!$C:$C,MATCH($A55,'Source 2025'!$B:$B,0)),""))</f>
        <v>נצמדת כחול20מ""מ</v>
      </c>
      <c r="C55" s="9" t="n">
        <f aca="false">SUMIFS('Source 2025'!$Q:$Q,'Source 2025'!$B:$B,$A55,'Source 2025'!$A:$A,"Quantity (units)")</f>
        <v>1556</v>
      </c>
      <c r="D55" s="9" t="n">
        <f aca="false">SUMIFS('Source 2026'!$Q:$Q,'Source 2026'!$B:$B,$A55,'Source 2026'!$A:$A,"Quantity (units)")</f>
        <v>358</v>
      </c>
      <c r="E55" s="9" t="n">
        <f aca="false">D55*$J$5</f>
        <v>452.210526315789</v>
      </c>
      <c r="F55" s="9" t="n">
        <f aca="false">E55-C55</f>
        <v>-1103.78947368421</v>
      </c>
      <c r="G55" s="13" t="n">
        <f aca="false">IF(AND(C55=0,E55=0),0,IF(C55=0,"New",(E55-C55)/C55))</f>
        <v>-0.709376268434583</v>
      </c>
      <c r="H55" s="9" t="n">
        <f aca="false">SUMIFS('Source 2025'!$Q:$Q,'Source 2025'!$B:$B,$A55,'Source 2025'!$A:$A,"Amount (NIS)")</f>
        <v>15795.7</v>
      </c>
      <c r="I55" s="9" t="n">
        <f aca="false">SUMIFS('Source 2026'!$Q:$Q,'Source 2026'!$B:$B,$A55,'Source 2026'!$A:$A,"Amount (NIS)")</f>
        <v>3674.8</v>
      </c>
      <c r="J55" s="9" t="n">
        <f aca="false">I55*$J$5</f>
        <v>4641.85263157895</v>
      </c>
      <c r="K55" s="9" t="n">
        <f aca="false">J55-H55</f>
        <v>-11153.8473684211</v>
      </c>
      <c r="L55" s="13" t="n">
        <f aca="false">IF(AND(H55=0,J55=0),0,IF(H55=0,"New",(J55-H55)/H55))</f>
        <v>-0.706131881994534</v>
      </c>
    </row>
    <row r="56" customFormat="false" ht="15" hidden="false" customHeight="true" outlineLevel="0" collapsed="false">
      <c r="A56" s="8" t="s">
        <v>95</v>
      </c>
      <c r="B56" s="8" t="str">
        <f aca="false">IFERROR(INDEX('Source 2026'!$C:$C,MATCH($A56,'Source 2026'!$B:$B,0)),IFERROR(INDEX('Source 2025'!$C:$C,MATCH($A56,'Source 2025'!$B:$B,0)),""))</f>
        <v>טלק מעושר באלוורה</v>
      </c>
      <c r="C56" s="9" t="n">
        <f aca="false">SUMIFS('Source 2025'!$Q:$Q,'Source 2025'!$B:$B,$A56,'Source 2025'!$A:$A,"Quantity (units)")</f>
        <v>1282</v>
      </c>
      <c r="D56" s="9" t="n">
        <f aca="false">SUMIFS('Source 2026'!$Q:$Q,'Source 2026'!$B:$B,$A56,'Source 2026'!$A:$A,"Quantity (units)")</f>
        <v>562</v>
      </c>
      <c r="E56" s="9" t="n">
        <f aca="false">D56*$J$5</f>
        <v>709.894736842105</v>
      </c>
      <c r="F56" s="9" t="n">
        <f aca="false">E56-C56</f>
        <v>-572.105263157895</v>
      </c>
      <c r="G56" s="13" t="n">
        <f aca="false">IF(AND(C56=0,E56=0),0,IF(C56=0,"New",(E56-C56)/C56))</f>
        <v>-0.446259955661384</v>
      </c>
      <c r="H56" s="9" t="n">
        <f aca="false">SUMIFS('Source 2025'!$Q:$Q,'Source 2025'!$B:$B,$A56,'Source 2025'!$A:$A,"Amount (NIS)")</f>
        <v>20668.1</v>
      </c>
      <c r="I56" s="9" t="n">
        <f aca="false">SUMIFS('Source 2026'!$Q:$Q,'Source 2026'!$B:$B,$A56,'Source 2026'!$A:$A,"Amount (NIS)")</f>
        <v>9322</v>
      </c>
      <c r="J56" s="9" t="n">
        <f aca="false">I56*$J$5</f>
        <v>11775.1578947368</v>
      </c>
      <c r="K56" s="9" t="n">
        <f aca="false">J56-H56</f>
        <v>-8892.94210526316</v>
      </c>
      <c r="L56" s="13" t="n">
        <f aca="false">IF(AND(H56=0,J56=0),0,IF(H56=0,"New",(J56-H56)/H56))</f>
        <v>-0.430273808684067</v>
      </c>
    </row>
    <row r="57" customFormat="false" ht="15" hidden="false" customHeight="true" outlineLevel="0" collapsed="false">
      <c r="A57" s="8" t="s">
        <v>121</v>
      </c>
      <c r="B57" s="8" t="str">
        <f aca="false">IFERROR(INDEX('Source 2026'!$C:$C,MATCH($A57,'Source 2026'!$B:$B,0)),IFERROR(INDEX('Source 2025'!$C:$C,MATCH($A57,'Source 2025'!$B:$B,0)),""))</f>
        <v>למניעת שפשוף 5 יח</v>
      </c>
      <c r="C57" s="9" t="n">
        <f aca="false">SUMIFS('Source 2025'!$Q:$Q,'Source 2025'!$B:$B,$A57,'Source 2025'!$A:$A,"Quantity (units)")</f>
        <v>4057</v>
      </c>
      <c r="D57" s="9" t="n">
        <f aca="false">SUMIFS('Source 2026'!$Q:$Q,'Source 2026'!$B:$B,$A57,'Source 2026'!$A:$A,"Quantity (units)")</f>
        <v>2898</v>
      </c>
      <c r="E57" s="9" t="n">
        <f aca="false">D57*$J$5</f>
        <v>3660.63157894737</v>
      </c>
      <c r="F57" s="9" t="n">
        <f aca="false">E57-C57</f>
        <v>-396.368421052632</v>
      </c>
      <c r="G57" s="13" t="n">
        <f aca="false">IF(AND(C57=0,E57=0),0,IF(C57=0,"New",(E57-C57)/C57))</f>
        <v>-0.0976998819454355</v>
      </c>
      <c r="H57" s="9" t="n">
        <f aca="false">SUMIFS('Source 2025'!$Q:$Q,'Source 2025'!$B:$B,$A57,'Source 2025'!$A:$A,"Amount (NIS)")</f>
        <v>50190</v>
      </c>
      <c r="I57" s="9" t="n">
        <f aca="false">SUMIFS('Source 2026'!$Q:$Q,'Source 2026'!$B:$B,$A57,'Source 2026'!$A:$A,"Amount (NIS)")</f>
        <v>39121.1</v>
      </c>
      <c r="J57" s="9" t="n">
        <f aca="false">I57*$J$5</f>
        <v>49416.1263157895</v>
      </c>
      <c r="K57" s="9" t="n">
        <f aca="false">J57-H57</f>
        <v>-773.873684210528</v>
      </c>
      <c r="L57" s="13" t="n">
        <f aca="false">IF(AND(H57=0,J57=0),0,IF(H57=0,"New",(J57-H57)/H57))</f>
        <v>-0.0154188819328657</v>
      </c>
    </row>
    <row r="58" customFormat="false" ht="15" hidden="false" customHeight="true" outlineLevel="0" collapsed="false">
      <c r="A58" s="8" t="s">
        <v>100</v>
      </c>
      <c r="B58" s="8" t="str">
        <f aca="false">IFERROR(INDEX('Source 2026'!$C:$C,MATCH($A58,'Source 2026'!$B:$B,0)),IFERROR(INDEX('Source 2025'!$C:$C,MATCH($A58,'Source 2025'!$B:$B,0)),""))</f>
        <v>מדרס אורטופ.מתכוון35-36</v>
      </c>
      <c r="C58" s="9" t="n">
        <f aca="false">SUMIFS('Source 2025'!$Q:$Q,'Source 2025'!$B:$B,$A58,'Source 2025'!$A:$A,"Quantity (units)")</f>
        <v>492</v>
      </c>
      <c r="D58" s="9" t="n">
        <f aca="false">SUMIFS('Source 2026'!$Q:$Q,'Source 2026'!$B:$B,$A58,'Source 2026'!$A:$A,"Quantity (units)")</f>
        <v>347</v>
      </c>
      <c r="E58" s="9" t="n">
        <f aca="false">D58*$J$5</f>
        <v>438.315789473684</v>
      </c>
      <c r="F58" s="9" t="n">
        <f aca="false">E58-C58</f>
        <v>-53.6842105263158</v>
      </c>
      <c r="G58" s="13" t="n">
        <f aca="false">IF(AND(C58=0,E58=0),0,IF(C58=0,"New",(E58-C58)/C58))</f>
        <v>-0.109114249037227</v>
      </c>
      <c r="H58" s="9" t="n">
        <f aca="false">SUMIFS('Source 2025'!$Q:$Q,'Source 2025'!$B:$B,$A58,'Source 2025'!$A:$A,"Amount (NIS)")</f>
        <v>32730.3</v>
      </c>
      <c r="I58" s="9" t="n">
        <f aca="false">SUMIFS('Source 2026'!$Q:$Q,'Source 2026'!$B:$B,$A58,'Source 2026'!$A:$A,"Amount (NIS)")</f>
        <v>22593.7</v>
      </c>
      <c r="J58" s="9" t="n">
        <f aca="false">I58*$J$5</f>
        <v>28539.4105263158</v>
      </c>
      <c r="K58" s="9" t="n">
        <f aca="false">J58-H58</f>
        <v>-4190.88947368421</v>
      </c>
      <c r="L58" s="13" t="n">
        <f aca="false">IF(AND(H58=0,J58=0),0,IF(H58=0,"New",(J58-H58)/H58))</f>
        <v>-0.128043112152477</v>
      </c>
    </row>
    <row r="59" customFormat="false" ht="15" hidden="false" customHeight="true" outlineLevel="0" collapsed="false">
      <c r="A59" s="8" t="s">
        <v>130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2025'!$Q:$Q,'Source 2025'!$B:$B,$A59,'Source 2025'!$A:$A,"Quantity (units)")</f>
        <v>2204</v>
      </c>
      <c r="D59" s="9" t="n">
        <f aca="false">SUMIFS('Source 2026'!$Q:$Q,'Source 2026'!$B:$B,$A59,'Source 2026'!$A:$A,"Quantity (units)")</f>
        <v>1727</v>
      </c>
      <c r="E59" s="9" t="n">
        <f aca="false">D59*$J$5</f>
        <v>2181.47368421053</v>
      </c>
      <c r="F59" s="9" t="n">
        <f aca="false">E59-C59</f>
        <v>-22.5263157894738</v>
      </c>
      <c r="G59" s="13" t="n">
        <f aca="false">IF(AND(C59=0,E59=0),0,IF(C59=0,"New",(E59-C59)/C59))</f>
        <v>-0.0102206514471297</v>
      </c>
      <c r="H59" s="9" t="n">
        <f aca="false">SUMIFS('Source 2025'!$Q:$Q,'Source 2025'!$B:$B,$A59,'Source 2025'!$A:$A,"Amount (NIS)")</f>
        <v>51118.9</v>
      </c>
      <c r="I59" s="9" t="n">
        <f aca="false">SUMIFS('Source 2026'!$Q:$Q,'Source 2026'!$B:$B,$A59,'Source 2026'!$A:$A,"Amount (NIS)")</f>
        <v>41072.9</v>
      </c>
      <c r="J59" s="9" t="n">
        <f aca="false">I59*$J$5</f>
        <v>51881.5578947368</v>
      </c>
      <c r="K59" s="9" t="n">
        <f aca="false">J59-H59</f>
        <v>762.65789473684</v>
      </c>
      <c r="L59" s="13" t="n">
        <f aca="false">IF(AND(H59=0,J59=0),0,IF(H59=0,"New",(J59-H59)/H59))</f>
        <v>0.0149192939350581</v>
      </c>
    </row>
    <row r="60" customFormat="false" ht="15" hidden="false" customHeight="true" outlineLevel="0" collapsed="false">
      <c r="A60" s="8" t="s">
        <v>156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9" t="n">
        <f aca="false">SUMIFS('Source 2025'!$Q:$Q,'Source 2025'!$B:$B,$A60,'Source 2025'!$A:$A,"Quantity (units)")</f>
        <v>1909</v>
      </c>
      <c r="D60" s="9" t="n">
        <f aca="false">SUMIFS('Source 2026'!$Q:$Q,'Source 2026'!$B:$B,$A60,'Source 2026'!$A:$A,"Quantity (units)")</f>
        <v>1332</v>
      </c>
      <c r="E60" s="9" t="n">
        <f aca="false">D60*$J$5</f>
        <v>1682.52631578947</v>
      </c>
      <c r="F60" s="9" t="n">
        <f aca="false">E60-C60</f>
        <v>-226.473684210526</v>
      </c>
      <c r="G60" s="13" t="n">
        <f aca="false">IF(AND(C60=0,E60=0),0,IF(C60=0,"New",(E60-C60)/C60))</f>
        <v>-0.118634721954178</v>
      </c>
      <c r="H60" s="9" t="n">
        <f aca="false">SUMIFS('Source 2025'!$Q:$Q,'Source 2025'!$B:$B,$A60,'Source 2025'!$A:$A,"Amount (NIS)")</f>
        <v>33927.9</v>
      </c>
      <c r="I60" s="9" t="n">
        <f aca="false">SUMIFS('Source 2026'!$Q:$Q,'Source 2026'!$B:$B,$A60,'Source 2026'!$A:$A,"Amount (NIS)")</f>
        <v>23901.8</v>
      </c>
      <c r="J60" s="9" t="n">
        <f aca="false">I60*$J$5</f>
        <v>30191.7473684211</v>
      </c>
      <c r="K60" s="9" t="n">
        <f aca="false">J60-H60</f>
        <v>-3736.15263157895</v>
      </c>
      <c r="L60" s="13" t="n">
        <f aca="false">IF(AND(H60=0,J60=0),0,IF(H60=0,"New",(J60-H60)/H60))</f>
        <v>-0.110120362049492</v>
      </c>
    </row>
    <row r="61" customFormat="false" ht="15" hidden="false" customHeight="true" outlineLevel="0" collapsed="false">
      <c r="A61" s="8" t="s">
        <v>146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2025'!$Q:$Q,'Source 2025'!$B:$B,$A61,'Source 2025'!$A:$A,"Quantity (units)")</f>
        <v>1749</v>
      </c>
      <c r="D61" s="9" t="n">
        <f aca="false">SUMIFS('Source 2026'!$Q:$Q,'Source 2026'!$B:$B,$A61,'Source 2026'!$A:$A,"Quantity (units)")</f>
        <v>820</v>
      </c>
      <c r="E61" s="9" t="n">
        <f aca="false">D61*$J$5</f>
        <v>1035.78947368421</v>
      </c>
      <c r="F61" s="9" t="n">
        <f aca="false">E61-C61</f>
        <v>-713.21052631579</v>
      </c>
      <c r="G61" s="13" t="n">
        <f aca="false">IF(AND(C61=0,E61=0),0,IF(C61=0,"New",(E61-C61)/C61))</f>
        <v>-0.407781890403539</v>
      </c>
      <c r="H61" s="9" t="n">
        <f aca="false">SUMIFS('Source 2025'!$Q:$Q,'Source 2025'!$B:$B,$A61,'Source 2025'!$A:$A,"Amount (NIS)")</f>
        <v>17832.6</v>
      </c>
      <c r="I61" s="9" t="n">
        <f aca="false">SUMIFS('Source 2026'!$Q:$Q,'Source 2026'!$B:$B,$A61,'Source 2026'!$A:$A,"Amount (NIS)")</f>
        <v>8468.2</v>
      </c>
      <c r="J61" s="9" t="n">
        <f aca="false">I61*$J$5</f>
        <v>10696.6736842105</v>
      </c>
      <c r="K61" s="9" t="n">
        <f aca="false">J61-H61</f>
        <v>-7135.92631578947</v>
      </c>
      <c r="L61" s="13" t="n">
        <f aca="false">IF(AND(H61=0,J61=0),0,IF(H61=0,"New",(J61-H61)/H61))</f>
        <v>-0.400161856139288</v>
      </c>
    </row>
    <row r="62" customFormat="false" ht="15" hidden="false" customHeight="true" outlineLevel="0" collapsed="false">
      <c r="A62" s="8" t="s">
        <v>134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2025'!$Q:$Q,'Source 2025'!$B:$B,$A62,'Source 2025'!$A:$A,"Quantity (units)")</f>
        <v>2756</v>
      </c>
      <c r="D62" s="9" t="n">
        <f aca="false">SUMIFS('Source 2026'!$Q:$Q,'Source 2026'!$B:$B,$A62,'Source 2026'!$A:$A,"Quantity (units)")</f>
        <v>1822</v>
      </c>
      <c r="E62" s="9" t="n">
        <f aca="false">D62*$J$5</f>
        <v>2301.47368421053</v>
      </c>
      <c r="F62" s="9" t="n">
        <f aca="false">E62-C62</f>
        <v>-454.526315789474</v>
      </c>
      <c r="G62" s="13" t="n">
        <f aca="false">IF(AND(C62=0,E62=0),0,IF(C62=0,"New",(E62-C62)/C62))</f>
        <v>-0.16492246581621</v>
      </c>
      <c r="H62" s="9" t="n">
        <f aca="false">SUMIFS('Source 2025'!$Q:$Q,'Source 2025'!$B:$B,$A62,'Source 2025'!$A:$A,"Amount (NIS)")</f>
        <v>28005.4</v>
      </c>
      <c r="I62" s="9" t="n">
        <f aca="false">SUMIFS('Source 2026'!$Q:$Q,'Source 2026'!$B:$B,$A62,'Source 2026'!$A:$A,"Amount (NIS)")</f>
        <v>18650.2</v>
      </c>
      <c r="J62" s="9" t="n">
        <f aca="false">I62*$J$5</f>
        <v>23558.1473684211</v>
      </c>
      <c r="K62" s="9" t="n">
        <f aca="false">J62-H62</f>
        <v>-4447.25263157895</v>
      </c>
      <c r="L62" s="13" t="n">
        <f aca="false">IF(AND(H62=0,J62=0),0,IF(H62=0,"New",(J62-H62)/H62))</f>
        <v>-0.158799825447198</v>
      </c>
    </row>
    <row r="63" customFormat="false" ht="15" hidden="false" customHeight="true" outlineLevel="0" collapsed="false">
      <c r="A63" s="8" t="s">
        <v>246</v>
      </c>
      <c r="B63" s="8" t="str">
        <f aca="false">IFERROR(INDEX('Source 2026'!$C:$C,MATCH($A63,'Source 2026'!$B:$B,0)),IFERROR(INDEX('Source 2025'!$C:$C,MATCH($A63,'Source 2025'!$B:$B,0)),""))</f>
        <v>L שמאל CTS כפפות</v>
      </c>
      <c r="C63" s="9" t="n">
        <f aca="false">SUMIFS('Source 2025'!$Q:$Q,'Source 2025'!$B:$B,$A63,'Source 2025'!$A:$A,"Quantity (units)")</f>
        <v>0</v>
      </c>
      <c r="D63" s="9" t="n">
        <f aca="false">SUMIFS('Source 2026'!$Q:$Q,'Source 2026'!$B:$B,$A63,'Source 2026'!$A:$A,"Quantity (units)")</f>
        <v>93</v>
      </c>
      <c r="E63" s="9" t="n">
        <f aca="false">D63*$J$5</f>
        <v>117.473684210526</v>
      </c>
      <c r="F63" s="9" t="n">
        <f aca="false">E63-C63</f>
        <v>117.473684210526</v>
      </c>
      <c r="G63" s="13" t="str">
        <f aca="false">IF(AND(C63=0,E63=0),0,IF(C63=0,"New",(E63-C63)/C63))</f>
        <v>New</v>
      </c>
      <c r="H63" s="9" t="n">
        <f aca="false">SUMIFS('Source 2025'!$Q:$Q,'Source 2025'!$B:$B,$A63,'Source 2025'!$A:$A,"Amount (NIS)")</f>
        <v>0</v>
      </c>
      <c r="I63" s="9" t="n">
        <f aca="false">SUMIFS('Source 2026'!$Q:$Q,'Source 2026'!$B:$B,$A63,'Source 2026'!$A:$A,"Amount (NIS)")</f>
        <v>9344.9</v>
      </c>
      <c r="J63" s="9" t="n">
        <f aca="false">I63*$J$5</f>
        <v>11804.0842105263</v>
      </c>
      <c r="K63" s="9" t="n">
        <f aca="false">J63-H63</f>
        <v>11804.0842105263</v>
      </c>
      <c r="L63" s="13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193</v>
      </c>
      <c r="B64" s="8" t="str">
        <f aca="false">IFERROR(INDEX('Source 2026'!$C:$C,MATCH($A64,'Source 2026'!$B:$B,0)),IFERROR(INDEX('Source 2025'!$C:$C,MATCH($A64,'Source 2025'!$B:$B,0)),""))</f>
        <v>תחבושת נצמדת ורוד 20ממ</v>
      </c>
      <c r="C64" s="9" t="n">
        <f aca="false">SUMIFS('Source 2025'!$Q:$Q,'Source 2025'!$B:$B,$A64,'Source 2025'!$A:$A,"Quantity (units)")</f>
        <v>1134</v>
      </c>
      <c r="D64" s="9" t="n">
        <f aca="false">SUMIFS('Source 2026'!$Q:$Q,'Source 2026'!$B:$B,$A64,'Source 2026'!$A:$A,"Quantity (units)")</f>
        <v>283</v>
      </c>
      <c r="E64" s="9" t="n">
        <f aca="false">D64*$J$5</f>
        <v>357.473684210526</v>
      </c>
      <c r="F64" s="9" t="n">
        <f aca="false">E64-C64</f>
        <v>-776.526315789474</v>
      </c>
      <c r="G64" s="13" t="n">
        <f aca="false">IF(AND(C64=0,E64=0),0,IF(C64=0,"New",(E64-C64)/C64))</f>
        <v>-0.684767474241159</v>
      </c>
      <c r="H64" s="9" t="n">
        <f aca="false">SUMIFS('Source 2025'!$Q:$Q,'Source 2025'!$B:$B,$A64,'Source 2025'!$A:$A,"Amount (NIS)")</f>
        <v>11512.2</v>
      </c>
      <c r="I64" s="9" t="n">
        <f aca="false">SUMIFS('Source 2026'!$Q:$Q,'Source 2026'!$B:$B,$A64,'Source 2026'!$A:$A,"Amount (NIS)")</f>
        <v>2916</v>
      </c>
      <c r="J64" s="9" t="n">
        <f aca="false">I64*$J$5</f>
        <v>3683.36842105263</v>
      </c>
      <c r="K64" s="9" t="n">
        <f aca="false">J64-H64</f>
        <v>-7828.83157894737</v>
      </c>
      <c r="L64" s="13" t="n">
        <f aca="false">IF(AND(H64=0,J64=0),0,IF(H64=0,"New",(J64-H64)/H64))</f>
        <v>-0.680046522727834</v>
      </c>
    </row>
    <row r="65" customFormat="false" ht="15" hidden="false" customHeight="true" outlineLevel="0" collapsed="false">
      <c r="A65" s="8" t="s">
        <v>175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9" t="n">
        <f aca="false">SUMIFS('Source 2025'!$Q:$Q,'Source 2025'!$B:$B,$A65,'Source 2025'!$A:$A,"Quantity (units)")</f>
        <v>968</v>
      </c>
      <c r="D65" s="9" t="n">
        <f aca="false">SUMIFS('Source 2026'!$Q:$Q,'Source 2026'!$B:$B,$A65,'Source 2026'!$A:$A,"Quantity (units)")</f>
        <v>650</v>
      </c>
      <c r="E65" s="9" t="n">
        <f aca="false">D65*$J$5</f>
        <v>821.052631578947</v>
      </c>
      <c r="F65" s="9" t="n">
        <f aca="false">E65-C65</f>
        <v>-146.947368421053</v>
      </c>
      <c r="G65" s="13" t="n">
        <f aca="false">IF(AND(C65=0,E65=0),0,IF(C65=0,"New",(E65-C65)/C65))</f>
        <v>-0.151805132666377</v>
      </c>
      <c r="H65" s="9" t="n">
        <f aca="false">SUMIFS('Source 2025'!$Q:$Q,'Source 2025'!$B:$B,$A65,'Source 2025'!$A:$A,"Amount (NIS)")</f>
        <v>27666.3</v>
      </c>
      <c r="I65" s="9" t="n">
        <f aca="false">SUMIFS('Source 2026'!$Q:$Q,'Source 2026'!$B:$B,$A65,'Source 2026'!$A:$A,"Amount (NIS)")</f>
        <v>19108.9</v>
      </c>
      <c r="J65" s="9" t="n">
        <f aca="false">I65*$J$5</f>
        <v>24137.5578947368</v>
      </c>
      <c r="K65" s="9" t="n">
        <f aca="false">J65-H65</f>
        <v>-3528.74210526316</v>
      </c>
      <c r="L65" s="13" t="n">
        <f aca="false">IF(AND(H65=0,J65=0),0,IF(H65=0,"New",(J65-H65)/H65))</f>
        <v>-0.127546585747395</v>
      </c>
    </row>
    <row r="66" customFormat="false" ht="15" hidden="false" customHeight="true" outlineLevel="0" collapsed="false">
      <c r="A66" s="8" t="s">
        <v>342</v>
      </c>
      <c r="B66" s="8" t="str">
        <f aca="false">IFERROR(INDEX('Source 2026'!$C:$C,MATCH($A66,'Source 2026'!$B:$B,0)),IFERROR(INDEX('Source 2025'!$C:$C,MATCH($A66,'Source 2025'!$B:$B,0)),""))</f>
        <v>חגורת גב אפורה</v>
      </c>
      <c r="C66" s="9" t="n">
        <f aca="false">SUMIFS('Source 2025'!$Q:$Q,'Source 2025'!$B:$B,$A66,'Source 2025'!$A:$A,"Quantity (units)")</f>
        <v>359</v>
      </c>
      <c r="D66" s="9" t="n">
        <f aca="false">SUMIFS('Source 2026'!$Q:$Q,'Source 2026'!$B:$B,$A66,'Source 2026'!$A:$A,"Quantity (units)")</f>
        <v>263</v>
      </c>
      <c r="E66" s="9" t="n">
        <f aca="false">D66*$J$5</f>
        <v>332.21052631579</v>
      </c>
      <c r="F66" s="9" t="n">
        <f aca="false">E66-C66</f>
        <v>-26.7894736842105</v>
      </c>
      <c r="G66" s="13" t="n">
        <f aca="false">IF(AND(C66=0,E66=0),0,IF(C66=0,"New",(E66-C66)/C66))</f>
        <v>-0.07462248937106</v>
      </c>
      <c r="H66" s="9" t="n">
        <f aca="false">SUMIFS('Source 2025'!$Q:$Q,'Source 2025'!$B:$B,$A66,'Source 2025'!$A:$A,"Amount (NIS)")</f>
        <v>33059.8</v>
      </c>
      <c r="I66" s="9" t="n">
        <f aca="false">SUMIFS('Source 2026'!$Q:$Q,'Source 2026'!$B:$B,$A66,'Source 2026'!$A:$A,"Amount (NIS)")</f>
        <v>24607.7</v>
      </c>
      <c r="J66" s="9" t="n">
        <f aca="false">I66*$J$5</f>
        <v>31083.4105263158</v>
      </c>
      <c r="K66" s="9" t="n">
        <f aca="false">J66-H66</f>
        <v>-1976.38947368422</v>
      </c>
      <c r="L66" s="13" t="n">
        <f aca="false">IF(AND(H66=0,J66=0),0,IF(H66=0,"New",(J66-H66)/H66))</f>
        <v>-0.0597822574148729</v>
      </c>
    </row>
    <row r="67" customFormat="false" ht="15" hidden="false" customHeight="true" outlineLevel="0" collapsed="false">
      <c r="A67" s="8" t="s">
        <v>81</v>
      </c>
      <c r="B67" s="8" t="str">
        <f aca="false">IFERROR(INDEX('Source 2026'!$C:$C,MATCH($A67,'Source 2026'!$B:$B,0)),IFERROR(INDEX('Source 2025'!$C:$C,MATCH($A67,'Source 2025'!$B:$B,0)),""))</f>
        <v>דאודורנט אנטיבק.נעל333</v>
      </c>
      <c r="C67" s="9" t="n">
        <f aca="false">SUMIFS('Source 2025'!$Q:$Q,'Source 2025'!$B:$B,$A67,'Source 2025'!$A:$A,"Quantity (units)")</f>
        <v>1663</v>
      </c>
      <c r="D67" s="9" t="n">
        <f aca="false">SUMIFS('Source 2026'!$Q:$Q,'Source 2026'!$B:$B,$A67,'Source 2026'!$A:$A,"Quantity (units)")</f>
        <v>1283</v>
      </c>
      <c r="E67" s="9" t="n">
        <f aca="false">D67*$J$5</f>
        <v>1620.63157894737</v>
      </c>
      <c r="F67" s="9" t="n">
        <f aca="false">E67-C67</f>
        <v>-42.3684210526317</v>
      </c>
      <c r="G67" s="13" t="n">
        <f aca="false">IF(AND(C67=0,E67=0),0,IF(C67=0,"New",(E67-C67)/C67))</f>
        <v>-0.0254771022565434</v>
      </c>
      <c r="H67" s="9" t="n">
        <f aca="false">SUMIFS('Source 2025'!$Q:$Q,'Source 2025'!$B:$B,$A67,'Source 2025'!$A:$A,"Amount (NIS)")</f>
        <v>30574.4</v>
      </c>
      <c r="I67" s="9" t="n">
        <f aca="false">SUMIFS('Source 2026'!$Q:$Q,'Source 2026'!$B:$B,$A67,'Source 2026'!$A:$A,"Amount (NIS)")</f>
        <v>22225.7</v>
      </c>
      <c r="J67" s="9" t="n">
        <f aca="false">I67*$J$5</f>
        <v>28074.5684210526</v>
      </c>
      <c r="K67" s="9" t="n">
        <f aca="false">J67-H67</f>
        <v>-2499.83157894737</v>
      </c>
      <c r="L67" s="13" t="n">
        <f aca="false">IF(AND(H67=0,J67=0),0,IF(H67=0,"New",(J67-H67)/H67))</f>
        <v>-0.0817622448501809</v>
      </c>
    </row>
    <row r="68" customFormat="false" ht="15" hidden="false" customHeight="true" outlineLevel="0" collapsed="false">
      <c r="A68" s="8" t="s">
        <v>101</v>
      </c>
      <c r="B68" s="8" t="str">
        <f aca="false">IFERROR(INDEX('Source 2026'!$C:$C,MATCH($A68,'Source 2026'!$B:$B,0)),IFERROR(INDEX('Source 2025'!$C:$C,MATCH($A68,'Source 2025'!$B:$B,0)),""))</f>
        <v>חגורת גב +סגירה כפולה</v>
      </c>
      <c r="C68" s="9" t="n">
        <f aca="false">SUMIFS('Source 2025'!$Q:$Q,'Source 2025'!$B:$B,$A68,'Source 2025'!$A:$A,"Quantity (units)")</f>
        <v>132</v>
      </c>
      <c r="D68" s="9" t="n">
        <f aca="false">SUMIFS('Source 2026'!$Q:$Q,'Source 2026'!$B:$B,$A68,'Source 2026'!$A:$A,"Quantity (units)")</f>
        <v>42</v>
      </c>
      <c r="E68" s="9" t="n">
        <f aca="false">D68*$J$5</f>
        <v>53.0526315789474</v>
      </c>
      <c r="F68" s="9" t="n">
        <f aca="false">E68-C68</f>
        <v>-78.9473684210526</v>
      </c>
      <c r="G68" s="13" t="n">
        <f aca="false">IF(AND(C68=0,E68=0),0,IF(C68=0,"New",(E68-C68)/C68))</f>
        <v>-0.598086124401914</v>
      </c>
      <c r="H68" s="9" t="n">
        <f aca="false">SUMIFS('Source 2025'!$Q:$Q,'Source 2025'!$B:$B,$A68,'Source 2025'!$A:$A,"Amount (NIS)")</f>
        <v>12600.2</v>
      </c>
      <c r="I68" s="9" t="n">
        <f aca="false">SUMIFS('Source 2026'!$Q:$Q,'Source 2026'!$B:$B,$A68,'Source 2026'!$A:$A,"Amount (NIS)")</f>
        <v>4263.8</v>
      </c>
      <c r="J68" s="9" t="n">
        <f aca="false">I68*$J$5</f>
        <v>5385.85263157895</v>
      </c>
      <c r="K68" s="9" t="n">
        <f aca="false">J68-H68</f>
        <v>-7214.34736842105</v>
      </c>
      <c r="L68" s="13" t="n">
        <f aca="false">IF(AND(H68=0,J68=0),0,IF(H68=0,"New",(J68-H68)/H68))</f>
        <v>-0.572558163237175</v>
      </c>
    </row>
    <row r="69" customFormat="false" ht="15" hidden="false" customHeight="true" outlineLevel="0" collapsed="false">
      <c r="A69" s="8" t="s">
        <v>93</v>
      </c>
      <c r="B69" s="8" t="str">
        <f aca="false">IFERROR(INDEX('Source 2026'!$C:$C,MATCH($A69,'Source 2026'!$B:$B,0)),IFERROR(INDEX('Source 2025'!$C:$C,MATCH($A69,'Source 2025'!$B:$B,0)),""))</f>
        <v>L חבק יד מתכוון עם צמדן</v>
      </c>
      <c r="C69" s="9" t="n">
        <f aca="false">SUMIFS('Source 2025'!$Q:$Q,'Source 2025'!$B:$B,$A69,'Source 2025'!$A:$A,"Quantity (units)")</f>
        <v>739</v>
      </c>
      <c r="D69" s="9" t="n">
        <f aca="false">SUMIFS('Source 2026'!$Q:$Q,'Source 2026'!$B:$B,$A69,'Source 2026'!$A:$A,"Quantity (units)")</f>
        <v>398</v>
      </c>
      <c r="E69" s="9" t="n">
        <f aca="false">D69*$J$5</f>
        <v>502.736842105263</v>
      </c>
      <c r="F69" s="9" t="n">
        <f aca="false">E69-C69</f>
        <v>-236.263157894737</v>
      </c>
      <c r="G69" s="13" t="n">
        <f aca="false">IF(AND(C69=0,E69=0),0,IF(C69=0,"New",(E69-C69)/C69))</f>
        <v>-0.319706573605869</v>
      </c>
      <c r="H69" s="9" t="n">
        <f aca="false">SUMIFS('Source 2025'!$Q:$Q,'Source 2025'!$B:$B,$A69,'Source 2025'!$A:$A,"Amount (NIS)")</f>
        <v>18552.4</v>
      </c>
      <c r="I69" s="9" t="n">
        <f aca="false">SUMIFS('Source 2026'!$Q:$Q,'Source 2026'!$B:$B,$A69,'Source 2026'!$A:$A,"Amount (NIS)")</f>
        <v>10262</v>
      </c>
      <c r="J69" s="9" t="n">
        <f aca="false">I69*$J$5</f>
        <v>12962.5263157895</v>
      </c>
      <c r="K69" s="9" t="n">
        <f aca="false">J69-H69</f>
        <v>-5589.87368421052</v>
      </c>
      <c r="L69" s="13" t="n">
        <f aca="false">IF(AND(H69=0,J69=0),0,IF(H69=0,"New",(J69-H69)/H69))</f>
        <v>-0.301301916960098</v>
      </c>
    </row>
    <row r="70" customFormat="false" ht="15" hidden="false" customHeight="true" outlineLevel="0" collapsed="false">
      <c r="A70" s="8" t="s">
        <v>147</v>
      </c>
      <c r="B70" s="8" t="str">
        <f aca="false">IFERROR(INDEX('Source 2026'!$C:$C,MATCH($A70,'Source 2026'!$B:$B,0)),IFERROR(INDEX('Source 2025'!$C:$C,MATCH($A70,'Source 2025'!$B:$B,0)),""))</f>
        <v>S מגן קרסול מתכוון עם סקוטש</v>
      </c>
      <c r="C70" s="9" t="n">
        <f aca="false">SUMIFS('Source 2025'!$Q:$Q,'Source 2025'!$B:$B,$A70,'Source 2025'!$A:$A,"Quantity (units)")</f>
        <v>97</v>
      </c>
      <c r="D70" s="9" t="n">
        <f aca="false">SUMIFS('Source 2026'!$Q:$Q,'Source 2026'!$B:$B,$A70,'Source 2026'!$A:$A,"Quantity (units)")</f>
        <v>-36</v>
      </c>
      <c r="E70" s="9" t="n">
        <f aca="false">D70*$J$5</f>
        <v>-45.4736842105263</v>
      </c>
      <c r="F70" s="9" t="n">
        <f aca="false">E70-C70</f>
        <v>-142.473684210526</v>
      </c>
      <c r="G70" s="13" t="n">
        <f aca="false">IF(AND(C70=0,E70=0),0,IF(C70=0,"New",(E70-C70)/C70))</f>
        <v>-1.46880086814976</v>
      </c>
      <c r="H70" s="9" t="n">
        <f aca="false">SUMIFS('Source 2025'!$Q:$Q,'Source 2025'!$B:$B,$A70,'Source 2025'!$A:$A,"Amount (NIS)")</f>
        <v>5669.5</v>
      </c>
      <c r="I70" s="9" t="n">
        <f aca="false">SUMIFS('Source 2026'!$Q:$Q,'Source 2026'!$B:$B,$A70,'Source 2026'!$A:$A,"Amount (NIS)")</f>
        <v>-1982.7</v>
      </c>
      <c r="J70" s="9" t="n">
        <f aca="false">I70*$J$5</f>
        <v>-2504.46315789474</v>
      </c>
      <c r="K70" s="9" t="n">
        <f aca="false">J70-H70</f>
        <v>-8173.96315789474</v>
      </c>
      <c r="L70" s="13" t="n">
        <f aca="false">IF(AND(H70=0,J70=0),0,IF(H70=0,"New",(J70-H70)/H70))</f>
        <v>-1.44174321507977</v>
      </c>
    </row>
    <row r="71" customFormat="false" ht="15" hidden="false" customHeight="true" outlineLevel="0" collapsed="false">
      <c r="A71" s="8" t="s">
        <v>171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2025'!$Q:$Q,'Source 2025'!$B:$B,$A71,'Source 2025'!$A:$A,"Quantity (units)")</f>
        <v>962</v>
      </c>
      <c r="D71" s="9" t="n">
        <f aca="false">SUMIFS('Source 2026'!$Q:$Q,'Source 2026'!$B:$B,$A71,'Source 2026'!$A:$A,"Quantity (units)")</f>
        <v>673</v>
      </c>
      <c r="E71" s="9" t="n">
        <f aca="false">D71*$J$5</f>
        <v>850.105263157895</v>
      </c>
      <c r="F71" s="9" t="n">
        <f aca="false">E71-C71</f>
        <v>-111.894736842105</v>
      </c>
      <c r="G71" s="13" t="n">
        <f aca="false">IF(AND(C71=0,E71=0),0,IF(C71=0,"New",(E71-C71)/C71))</f>
        <v>-0.116314695262064</v>
      </c>
      <c r="H71" s="9" t="n">
        <f aca="false">SUMIFS('Source 2025'!$Q:$Q,'Source 2025'!$B:$B,$A71,'Source 2025'!$A:$A,"Amount (NIS)")</f>
        <v>25707.7</v>
      </c>
      <c r="I71" s="9" t="n">
        <f aca="false">SUMIFS('Source 2026'!$Q:$Q,'Source 2026'!$B:$B,$A71,'Source 2026'!$A:$A,"Amount (NIS)")</f>
        <v>18182.5</v>
      </c>
      <c r="J71" s="9" t="n">
        <f aca="false">I71*$J$5</f>
        <v>22967.3684210526</v>
      </c>
      <c r="K71" s="9" t="n">
        <f aca="false">J71-H71</f>
        <v>-2740.33157894737</v>
      </c>
      <c r="L71" s="13" t="n">
        <f aca="false">IF(AND(H71=0,J71=0),0,IF(H71=0,"New",(J71-H71)/H71))</f>
        <v>-0.106595750648536</v>
      </c>
    </row>
    <row r="72" customFormat="false" ht="15" hidden="false" customHeight="true" outlineLevel="0" collapsed="false">
      <c r="A72" s="8" t="s">
        <v>94</v>
      </c>
      <c r="B72" s="8" t="str">
        <f aca="false">IFERROR(INDEX('Source 2026'!$C:$C,MATCH($A72,'Source 2026'!$B:$B,0)),IFERROR(INDEX('Source 2025'!$C:$C,MATCH($A72,'Source 2025'!$B:$B,0)),""))</f>
        <v>L חגורת גב +סגירה</v>
      </c>
      <c r="C72" s="9" t="n">
        <f aca="false">SUMIFS('Source 2025'!$Q:$Q,'Source 2025'!$B:$B,$A72,'Source 2025'!$A:$A,"Quantity (units)")</f>
        <v>164</v>
      </c>
      <c r="D72" s="9" t="n">
        <f aca="false">SUMIFS('Source 2026'!$Q:$Q,'Source 2026'!$B:$B,$A72,'Source 2026'!$A:$A,"Quantity (units)")</f>
        <v>82</v>
      </c>
      <c r="E72" s="9" t="n">
        <f aca="false">D72*$J$5</f>
        <v>103.578947368421</v>
      </c>
      <c r="F72" s="9" t="n">
        <f aca="false">E72-C72</f>
        <v>-60.421052631579</v>
      </c>
      <c r="G72" s="13" t="n">
        <f aca="false">IF(AND(C72=0,E72=0),0,IF(C72=0,"New",(E72-C72)/C72))</f>
        <v>-0.368421052631579</v>
      </c>
      <c r="H72" s="9" t="n">
        <f aca="false">SUMIFS('Source 2025'!$Q:$Q,'Source 2025'!$B:$B,$A72,'Source 2025'!$A:$A,"Amount (NIS)")</f>
        <v>15702.7</v>
      </c>
      <c r="I72" s="9" t="n">
        <f aca="false">SUMIFS('Source 2026'!$Q:$Q,'Source 2026'!$B:$B,$A72,'Source 2026'!$A:$A,"Amount (NIS)")</f>
        <v>8230.7</v>
      </c>
      <c r="J72" s="9" t="n">
        <f aca="false">I72*$J$5</f>
        <v>10396.6736842105</v>
      </c>
      <c r="K72" s="9" t="n">
        <f aca="false">J72-H72</f>
        <v>-5306.02631578947</v>
      </c>
      <c r="L72" s="13" t="n">
        <f aca="false">IF(AND(H72=0,J72=0),0,IF(H72=0,"New",(J72-H72)/H72))</f>
        <v>-0.337905348493538</v>
      </c>
    </row>
    <row r="73" customFormat="false" ht="15" hidden="false" customHeight="true" outlineLevel="0" collapsed="false">
      <c r="A73" s="8" t="s">
        <v>271</v>
      </c>
      <c r="B73" s="8" t="str">
        <f aca="false">IFERROR(INDEX('Source 2026'!$C:$C,MATCH($A73,'Source 2026'!$B:$B,0)),IFERROR(INDEX('Source 2025'!$C:$C,MATCH($A73,'Source 2025'!$B:$B,0)),""))</f>
        <v>מיישר בוניון-האלוקס ולגוס</v>
      </c>
      <c r="C73" s="9" t="n">
        <f aca="false">SUMIFS('Source 2025'!$Q:$Q,'Source 2025'!$B:$B,$A73,'Source 2025'!$A:$A,"Quantity (units)")</f>
        <v>830</v>
      </c>
      <c r="D73" s="9" t="n">
        <f aca="false">SUMIFS('Source 2026'!$Q:$Q,'Source 2026'!$B:$B,$A73,'Source 2026'!$A:$A,"Quantity (units)")</f>
        <v>654</v>
      </c>
      <c r="E73" s="9" t="n">
        <f aca="false">D73*$J$5</f>
        <v>826.105263157895</v>
      </c>
      <c r="F73" s="9" t="n">
        <f aca="false">E73-C73</f>
        <v>-3.89473684210532</v>
      </c>
      <c r="G73" s="13" t="n">
        <f aca="false">IF(AND(C73=0,E73=0),0,IF(C73=0,"New",(E73-C73)/C73))</f>
        <v>-0.00469245402663291</v>
      </c>
      <c r="H73" s="9" t="n">
        <f aca="false">SUMIFS('Source 2025'!$Q:$Q,'Source 2025'!$B:$B,$A73,'Source 2025'!$A:$A,"Amount (NIS)")</f>
        <v>33989.9</v>
      </c>
      <c r="I73" s="9" t="n">
        <f aca="false">SUMIFS('Source 2026'!$Q:$Q,'Source 2026'!$B:$B,$A73,'Source 2026'!$A:$A,"Amount (NIS)")</f>
        <v>26677.6</v>
      </c>
      <c r="J73" s="9" t="n">
        <f aca="false">I73*$J$5</f>
        <v>33698.0210526316</v>
      </c>
      <c r="K73" s="9" t="n">
        <f aca="false">J73-H73</f>
        <v>-291.878947368423</v>
      </c>
      <c r="L73" s="13" t="n">
        <f aca="false">IF(AND(H73=0,J73=0),0,IF(H73=0,"New",(J73-H73)/H73))</f>
        <v>-0.00858722583380424</v>
      </c>
    </row>
    <row r="74" customFormat="false" ht="15" hidden="false" customHeight="true" outlineLevel="0" collapsed="false">
      <c r="A74" s="8" t="s">
        <v>155</v>
      </c>
      <c r="B74" s="8" t="str">
        <f aca="false">IFERROR(INDEX('Source 2026'!$C:$C,MATCH($A74,'Source 2026'!$B:$B,0)),IFERROR(INDEX('Source 2025'!$C:$C,MATCH($A74,'Source 2025'!$B:$B,0)),""))</f>
        <v>S-M סד לאגודל</v>
      </c>
      <c r="C74" s="9" t="n">
        <f aca="false">SUMIFS('Source 2025'!$Q:$Q,'Source 2025'!$B:$B,$A74,'Source 2025'!$A:$A,"Quantity (units)")</f>
        <v>484</v>
      </c>
      <c r="D74" s="9" t="n">
        <f aca="false">SUMIFS('Source 2026'!$Q:$Q,'Source 2026'!$B:$B,$A74,'Source 2026'!$A:$A,"Quantity (units)")</f>
        <v>360</v>
      </c>
      <c r="E74" s="9" t="n">
        <f aca="false">D74*$J$5</f>
        <v>454.736842105263</v>
      </c>
      <c r="F74" s="9" t="n">
        <f aca="false">E74-C74</f>
        <v>-29.2631578947369</v>
      </c>
      <c r="G74" s="13" t="n">
        <f aca="false">IF(AND(C74=0,E74=0),0,IF(C74=0,"New",(E74-C74)/C74))</f>
        <v>-0.0604610700304481</v>
      </c>
      <c r="H74" s="9" t="n">
        <f aca="false">SUMIFS('Source 2025'!$Q:$Q,'Source 2025'!$B:$B,$A74,'Source 2025'!$A:$A,"Amount (NIS)")</f>
        <v>28166.5</v>
      </c>
      <c r="I74" s="9" t="n">
        <f aca="false">SUMIFS('Source 2026'!$Q:$Q,'Source 2026'!$B:$B,$A74,'Source 2026'!$A:$A,"Amount (NIS)")</f>
        <v>21127.7</v>
      </c>
      <c r="J74" s="9" t="n">
        <f aca="false">I74*$J$5</f>
        <v>26687.6210526316</v>
      </c>
      <c r="K74" s="9" t="n">
        <f aca="false">J74-H74</f>
        <v>-1478.87894736842</v>
      </c>
      <c r="L74" s="13" t="n">
        <f aca="false">IF(AND(H74=0,J74=0),0,IF(H74=0,"New",(J74-H74)/H74))</f>
        <v>-0.0525048886928949</v>
      </c>
    </row>
    <row r="75" customFormat="false" ht="15" hidden="false" customHeight="true" outlineLevel="0" collapsed="false">
      <c r="A75" s="8" t="s">
        <v>243</v>
      </c>
      <c r="B75" s="8" t="str">
        <f aca="false">IFERROR(INDEX('Source 2026'!$C:$C,MATCH($A75,'Source 2026'!$B:$B,0)),IFERROR(INDEX('Source 2025'!$C:$C,MATCH($A75,'Source 2025'!$B:$B,0)),""))</f>
        <v>S-M STRAP4U</v>
      </c>
      <c r="C75" s="9" t="n">
        <f aca="false">SUMIFS('Source 2025'!$Q:$Q,'Source 2025'!$B:$B,$A75,'Source 2025'!$A:$A,"Quantity (units)")</f>
        <v>496</v>
      </c>
      <c r="D75" s="9" t="n">
        <f aca="false">SUMIFS('Source 2026'!$Q:$Q,'Source 2026'!$B:$B,$A75,'Source 2026'!$A:$A,"Quantity (units)")</f>
        <v>89</v>
      </c>
      <c r="E75" s="9" t="n">
        <f aca="false">D75*$J$5</f>
        <v>112.421052631579</v>
      </c>
      <c r="F75" s="9" t="n">
        <f aca="false">E75-C75</f>
        <v>-383.578947368421</v>
      </c>
      <c r="G75" s="13" t="n">
        <f aca="false">IF(AND(C75=0,E75=0),0,IF(C75=0,"New",(E75-C75)/C75))</f>
        <v>-0.773344651952462</v>
      </c>
      <c r="H75" s="9" t="n">
        <f aca="false">SUMIFS('Source 2025'!$Q:$Q,'Source 2025'!$B:$B,$A75,'Source 2025'!$A:$A,"Amount (NIS)")</f>
        <v>8292.2</v>
      </c>
      <c r="I75" s="9" t="n">
        <f aca="false">SUMIFS('Source 2026'!$Q:$Q,'Source 2026'!$B:$B,$A75,'Source 2026'!$A:$A,"Amount (NIS)")</f>
        <v>1612.2</v>
      </c>
      <c r="J75" s="9" t="n">
        <f aca="false">I75*$J$5</f>
        <v>2036.46315789474</v>
      </c>
      <c r="K75" s="9" t="n">
        <f aca="false">J75-H75</f>
        <v>-6255.73684210526</v>
      </c>
      <c r="L75" s="13" t="n">
        <f aca="false">IF(AND(H75=0,J75=0),0,IF(H75=0,"New",(J75-H75)/H75))</f>
        <v>-0.754412199670204</v>
      </c>
    </row>
    <row r="76" customFormat="false" ht="15" hidden="false" customHeight="true" outlineLevel="0" collapsed="false">
      <c r="A76" s="8" t="s">
        <v>275</v>
      </c>
      <c r="B76" s="8" t="str">
        <f aca="false">IFERROR(INDEX('Source 2026'!$C:$C,MATCH($A76,'Source 2026'!$B:$B,0)),IFERROR(INDEX('Source 2025'!$C:$C,MATCH($A76,'Source 2025'!$B:$B,0)),""))</f>
        <v>L ימין CTS כפפות</v>
      </c>
      <c r="C76" s="9" t="n">
        <f aca="false">SUMIFS('Source 2025'!$Q:$Q,'Source 2025'!$B:$B,$A76,'Source 2025'!$A:$A,"Quantity (units)")</f>
        <v>0</v>
      </c>
      <c r="D76" s="9" t="n">
        <f aca="false">SUMIFS('Source 2026'!$Q:$Q,'Source 2026'!$B:$B,$A76,'Source 2026'!$A:$A,"Quantity (units)")</f>
        <v>64</v>
      </c>
      <c r="E76" s="9" t="n">
        <f aca="false">D76*$J$5</f>
        <v>80.8421052631579</v>
      </c>
      <c r="F76" s="9" t="n">
        <f aca="false">E76-C76</f>
        <v>80.8421052631579</v>
      </c>
      <c r="G76" s="13" t="str">
        <f aca="false">IF(AND(C76=0,E76=0),0,IF(C76=0,"New",(E76-C76)/C76))</f>
        <v>New</v>
      </c>
      <c r="H76" s="9" t="n">
        <f aca="false">SUMIFS('Source 2025'!$Q:$Q,'Source 2025'!$B:$B,$A76,'Source 2025'!$A:$A,"Amount (NIS)")</f>
        <v>0</v>
      </c>
      <c r="I76" s="9" t="n">
        <f aca="false">SUMIFS('Source 2026'!$Q:$Q,'Source 2026'!$B:$B,$A76,'Source 2026'!$A:$A,"Amount (NIS)")</f>
        <v>6431.2</v>
      </c>
      <c r="J76" s="9" t="n">
        <f aca="false">I76*$J$5</f>
        <v>8123.62105263158</v>
      </c>
      <c r="K76" s="9" t="n">
        <f aca="false">J76-H76</f>
        <v>8123.62105263158</v>
      </c>
      <c r="L76" s="13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164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9" t="n">
        <f aca="false">SUMIFS('Source 2025'!$Q:$Q,'Source 2025'!$B:$B,$A77,'Source 2025'!$A:$A,"Quantity (units)")</f>
        <v>161</v>
      </c>
      <c r="D77" s="9" t="n">
        <f aca="false">SUMIFS('Source 2026'!$Q:$Q,'Source 2026'!$B:$B,$A77,'Source 2026'!$A:$A,"Quantity (units)")</f>
        <v>95</v>
      </c>
      <c r="E77" s="9" t="n">
        <f aca="false">D77*$J$5</f>
        <v>120</v>
      </c>
      <c r="F77" s="9" t="n">
        <f aca="false">E77-C77</f>
        <v>-41</v>
      </c>
      <c r="G77" s="13" t="n">
        <f aca="false">IF(AND(C77=0,E77=0),0,IF(C77=0,"New",(E77-C77)/C77))</f>
        <v>-0.254658385093168</v>
      </c>
      <c r="H77" s="9" t="n">
        <f aca="false">SUMIFS('Source 2025'!$Q:$Q,'Source 2025'!$B:$B,$A77,'Source 2025'!$A:$A,"Amount (NIS)")</f>
        <v>14776.5</v>
      </c>
      <c r="I77" s="9" t="n">
        <f aca="false">SUMIFS('Source 2026'!$Q:$Q,'Source 2026'!$B:$B,$A77,'Source 2026'!$A:$A,"Amount (NIS)")</f>
        <v>8894.8</v>
      </c>
      <c r="J77" s="9" t="n">
        <f aca="false">I77*$J$5</f>
        <v>11235.5368421053</v>
      </c>
      <c r="K77" s="9" t="n">
        <f aca="false">J77-H77</f>
        <v>-3540.96315789474</v>
      </c>
      <c r="L77" s="13" t="n">
        <f aca="false">IF(AND(H77=0,J77=0),0,IF(H77=0,"New",(J77-H77)/H77))</f>
        <v>-0.23963476857813</v>
      </c>
    </row>
    <row r="78" customFormat="false" ht="15" hidden="false" customHeight="true" outlineLevel="0" collapsed="false">
      <c r="A78" s="8" t="s">
        <v>117</v>
      </c>
      <c r="B78" s="8" t="str">
        <f aca="false">IFERROR(INDEX('Source 2026'!$C:$C,MATCH($A78,'Source 2026'!$B:$B,0)),IFERROR(INDEX('Source 2025'!$C:$C,MATCH($A78,'Source 2025'!$B:$B,0)),""))</f>
        <v>גרב.כסף לסכרתים שחור35-38</v>
      </c>
      <c r="C78" s="9" t="n">
        <f aca="false">SUMIFS('Source 2025'!$Q:$Q,'Source 2025'!$B:$B,$A78,'Source 2025'!$A:$A,"Quantity (units)")</f>
        <v>438</v>
      </c>
      <c r="D78" s="9" t="n">
        <f aca="false">SUMIFS('Source 2026'!$Q:$Q,'Source 2026'!$B:$B,$A78,'Source 2026'!$A:$A,"Quantity (units)")</f>
        <v>176</v>
      </c>
      <c r="E78" s="9" t="n">
        <f aca="false">D78*$J$5</f>
        <v>222.315789473684</v>
      </c>
      <c r="F78" s="9" t="n">
        <f aca="false">E78-C78</f>
        <v>-215.684210526316</v>
      </c>
      <c r="G78" s="13" t="n">
        <f aca="false">IF(AND(C78=0,E78=0),0,IF(C78=0,"New",(E78-C78)/C78))</f>
        <v>-0.492429704397981</v>
      </c>
      <c r="H78" s="9" t="n">
        <f aca="false">SUMIFS('Source 2025'!$Q:$Q,'Source 2025'!$B:$B,$A78,'Source 2025'!$A:$A,"Amount (NIS)")</f>
        <v>9732.4</v>
      </c>
      <c r="I78" s="9" t="n">
        <f aca="false">SUMIFS('Source 2026'!$Q:$Q,'Source 2026'!$B:$B,$A78,'Source 2026'!$A:$A,"Amount (NIS)")</f>
        <v>3919.7</v>
      </c>
      <c r="J78" s="9" t="n">
        <f aca="false">I78*$J$5</f>
        <v>4951.2</v>
      </c>
      <c r="K78" s="9" t="n">
        <f aca="false">J78-H78</f>
        <v>-4781.2</v>
      </c>
      <c r="L78" s="13" t="n">
        <f aca="false">IF(AND(H78=0,J78=0),0,IF(H78=0,"New",(J78-H78)/H78))</f>
        <v>-0.491266285808228</v>
      </c>
    </row>
    <row r="79" customFormat="false" ht="15" hidden="false" customHeight="true" outlineLevel="0" collapsed="false">
      <c r="A79" s="8" t="s">
        <v>151</v>
      </c>
      <c r="B79" s="8" t="str">
        <f aca="false">IFERROR(INDEX('Source 2026'!$C:$C,MATCH($A79,'Source 2026'!$B:$B,0)),IFERROR(INDEX('Source 2025'!$C:$C,MATCH($A79,'Source 2025'!$B:$B,0)),""))</f>
        <v>חבק טניס</v>
      </c>
      <c r="C79" s="9" t="n">
        <f aca="false">SUMIFS('Source 2025'!$Q:$Q,'Source 2025'!$B:$B,$A79,'Source 2025'!$A:$A,"Quantity (units)")</f>
        <v>803</v>
      </c>
      <c r="D79" s="9" t="n">
        <f aca="false">SUMIFS('Source 2026'!$Q:$Q,'Source 2026'!$B:$B,$A79,'Source 2026'!$A:$A,"Quantity (units)")</f>
        <v>571</v>
      </c>
      <c r="E79" s="9" t="n">
        <f aca="false">D79*$J$5</f>
        <v>721.263157894737</v>
      </c>
      <c r="F79" s="9" t="n">
        <f aca="false">E79-C79</f>
        <v>-81.7368421052632</v>
      </c>
      <c r="G79" s="13" t="n">
        <f aca="false">IF(AND(C79=0,E79=0),0,IF(C79=0,"New",(E79-C79)/C79))</f>
        <v>-0.101789342596841</v>
      </c>
      <c r="H79" s="9" t="n">
        <f aca="false">SUMIFS('Source 2025'!$Q:$Q,'Source 2025'!$B:$B,$A79,'Source 2025'!$A:$A,"Amount (NIS)")</f>
        <v>21410.6</v>
      </c>
      <c r="I79" s="9" t="n">
        <f aca="false">SUMIFS('Source 2026'!$Q:$Q,'Source 2026'!$B:$B,$A79,'Source 2026'!$A:$A,"Amount (NIS)")</f>
        <v>15737.5</v>
      </c>
      <c r="J79" s="9" t="n">
        <f aca="false">I79*$J$5</f>
        <v>19878.9473684211</v>
      </c>
      <c r="K79" s="9" t="n">
        <f aca="false">J79-H79</f>
        <v>-1531.65263157895</v>
      </c>
      <c r="L79" s="13" t="n">
        <f aca="false">IF(AND(H79=0,J79=0),0,IF(H79=0,"New",(J79-H79)/H79))</f>
        <v>-0.07153711860382</v>
      </c>
    </row>
    <row r="80" customFormat="false" ht="15" hidden="false" customHeight="true" outlineLevel="0" collapsed="false">
      <c r="A80" s="8" t="s">
        <v>185</v>
      </c>
      <c r="B80" s="8" t="str">
        <f aca="false">IFERROR(INDEX('Source 2026'!$C:$C,MATCH($A80,'Source 2026'!$B:$B,0)),IFERROR(INDEX('Source 2025'!$C:$C,MATCH($A80,'Source 2025'!$B:$B,0)),""))</f>
        <v>מקבע קרסול</v>
      </c>
      <c r="C80" s="9" t="n">
        <f aca="false">SUMIFS('Source 2025'!$Q:$Q,'Source 2025'!$B:$B,$A80,'Source 2025'!$A:$A,"Quantity (units)")</f>
        <v>0</v>
      </c>
      <c r="D80" s="9" t="n">
        <f aca="false">SUMIFS('Source 2026'!$Q:$Q,'Source 2026'!$B:$B,$A80,'Source 2026'!$A:$A,"Quantity (units)")</f>
        <v>40</v>
      </c>
      <c r="E80" s="9" t="n">
        <f aca="false">D80*$J$5</f>
        <v>50.5263157894737</v>
      </c>
      <c r="F80" s="9" t="n">
        <f aca="false">E80-C80</f>
        <v>50.5263157894737</v>
      </c>
      <c r="G80" s="13" t="str">
        <f aca="false">IF(AND(C80=0,E80=0),0,IF(C80=0,"New",(E80-C80)/C80))</f>
        <v>New</v>
      </c>
      <c r="H80" s="9" t="n">
        <f aca="false">SUMIFS('Source 2025'!$Q:$Q,'Source 2025'!$B:$B,$A80,'Source 2025'!$A:$A,"Amount (NIS)")</f>
        <v>0</v>
      </c>
      <c r="I80" s="9" t="n">
        <f aca="false">SUMIFS('Source 2026'!$Q:$Q,'Source 2026'!$B:$B,$A80,'Source 2026'!$A:$A,"Amount (NIS)")</f>
        <v>5635.8</v>
      </c>
      <c r="J80" s="9" t="n">
        <f aca="false">I80*$J$5</f>
        <v>7118.90526315789</v>
      </c>
      <c r="K80" s="9" t="n">
        <f aca="false">J80-H80</f>
        <v>7118.90526315789</v>
      </c>
      <c r="L80" s="13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132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2025'!$Q:$Q,'Source 2025'!$B:$B,$A81,'Source 2025'!$A:$A,"Quantity (units)")</f>
        <v>871</v>
      </c>
      <c r="D81" s="9" t="n">
        <f aca="false">SUMIFS('Source 2026'!$Q:$Q,'Source 2026'!$B:$B,$A81,'Source 2026'!$A:$A,"Quantity (units)")</f>
        <v>320</v>
      </c>
      <c r="E81" s="9" t="n">
        <f aca="false">D81*$J$5</f>
        <v>404.21052631579</v>
      </c>
      <c r="F81" s="9" t="n">
        <f aca="false">E81-C81</f>
        <v>-466.789473684211</v>
      </c>
      <c r="G81" s="13" t="n">
        <f aca="false">IF(AND(C81=0,E81=0),0,IF(C81=0,"New",(E81-C81)/C81))</f>
        <v>-0.535923620762584</v>
      </c>
      <c r="H81" s="9" t="n">
        <f aca="false">SUMIFS('Source 2025'!$Q:$Q,'Source 2025'!$B:$B,$A81,'Source 2025'!$A:$A,"Amount (NIS)")</f>
        <v>8834.2</v>
      </c>
      <c r="I81" s="9" t="n">
        <f aca="false">SUMIFS('Source 2026'!$Q:$Q,'Source 2026'!$B:$B,$A81,'Source 2026'!$A:$A,"Amount (NIS)")</f>
        <v>3240.5</v>
      </c>
      <c r="J81" s="9" t="n">
        <f aca="false">I81*$J$5</f>
        <v>4093.26315789474</v>
      </c>
      <c r="K81" s="9" t="n">
        <f aca="false">J81-H81</f>
        <v>-4740.93684210526</v>
      </c>
      <c r="L81" s="13" t="n">
        <f aca="false">IF(AND(H81=0,J81=0),0,IF(H81=0,"New",(J81-H81)/H81))</f>
        <v>-0.536657178024639</v>
      </c>
    </row>
    <row r="82" customFormat="false" ht="15" hidden="false" customHeight="true" outlineLevel="0" collapsed="false">
      <c r="A82" s="8" t="s">
        <v>128</v>
      </c>
      <c r="B82" s="8" t="str">
        <f aca="false">IFERROR(INDEX('Source 2026'!$C:$C,MATCH($A82,'Source 2026'!$B:$B,0)),IFERROR(INDEX('Source 2025'!$C:$C,MATCH($A82,'Source 2025'!$B:$B,0)),""))</f>
        <v>S מגן קרסול עקב סגור+רצוע</v>
      </c>
      <c r="C82" s="9" t="n">
        <f aca="false">SUMIFS('Source 2025'!$Q:$Q,'Source 2025'!$B:$B,$A82,'Source 2025'!$A:$A,"Quantity (units)")</f>
        <v>288</v>
      </c>
      <c r="D82" s="9" t="n">
        <f aca="false">SUMIFS('Source 2026'!$Q:$Q,'Source 2026'!$B:$B,$A82,'Source 2026'!$A:$A,"Quantity (units)")</f>
        <v>191</v>
      </c>
      <c r="E82" s="9" t="n">
        <f aca="false">D82*$J$5</f>
        <v>241.263157894737</v>
      </c>
      <c r="F82" s="9" t="n">
        <f aca="false">E82-C82</f>
        <v>-46.7368421052632</v>
      </c>
      <c r="G82" s="13" t="n">
        <f aca="false">IF(AND(C82=0,E82=0),0,IF(C82=0,"New",(E82-C82)/C82))</f>
        <v>-0.162280701754386</v>
      </c>
      <c r="H82" s="9" t="n">
        <f aca="false">SUMIFS('Source 2025'!$Q:$Q,'Source 2025'!$B:$B,$A82,'Source 2025'!$A:$A,"Amount (NIS)")</f>
        <v>15220.9</v>
      </c>
      <c r="I82" s="9" t="n">
        <f aca="false">SUMIFS('Source 2026'!$Q:$Q,'Source 2026'!$B:$B,$A82,'Source 2026'!$A:$A,"Amount (NIS)")</f>
        <v>10242</v>
      </c>
      <c r="J82" s="9" t="n">
        <f aca="false">I82*$J$5</f>
        <v>12937.2631578947</v>
      </c>
      <c r="K82" s="9" t="n">
        <f aca="false">J82-H82</f>
        <v>-2283.63684210526</v>
      </c>
      <c r="L82" s="13" t="n">
        <f aca="false">IF(AND(H82=0,J82=0),0,IF(H82=0,"New",(J82-H82)/H82))</f>
        <v>-0.150032970593412</v>
      </c>
    </row>
    <row r="83" customFormat="false" ht="15" hidden="false" customHeight="true" outlineLevel="0" collapsed="false">
      <c r="A83" s="8" t="s">
        <v>208</v>
      </c>
      <c r="B83" s="8" t="str">
        <f aca="false">IFERROR(INDEX('Source 2026'!$C:$C,MATCH($A83,'Source 2026'!$B:$B,0)),IFERROR(INDEX('Source 2025'!$C:$C,MATCH($A83,'Source 2025'!$B:$B,0)),""))</f>
        <v>מדבקה לשחרור לחץ 2 יח</v>
      </c>
      <c r="C83" s="9" t="n">
        <f aca="false">SUMIFS('Source 2025'!$Q:$Q,'Source 2025'!$B:$B,$A83,'Source 2025'!$A:$A,"Quantity (units)")</f>
        <v>571</v>
      </c>
      <c r="D83" s="9" t="n">
        <f aca="false">SUMIFS('Source 2026'!$Q:$Q,'Source 2026'!$B:$B,$A83,'Source 2026'!$A:$A,"Quantity (units)")</f>
        <v>409</v>
      </c>
      <c r="E83" s="9" t="n">
        <f aca="false">D83*$J$5</f>
        <v>516.631578947368</v>
      </c>
      <c r="F83" s="9" t="n">
        <f aca="false">E83-C83</f>
        <v>-54.3684210526316</v>
      </c>
      <c r="G83" s="13" t="n">
        <f aca="false">IF(AND(C83=0,E83=0),0,IF(C83=0,"New",(E83-C83)/C83))</f>
        <v>-0.0952161489538206</v>
      </c>
      <c r="H83" s="9" t="n">
        <f aca="false">SUMIFS('Source 2025'!$Q:$Q,'Source 2025'!$B:$B,$A83,'Source 2025'!$A:$A,"Amount (NIS)")</f>
        <v>15313.6</v>
      </c>
      <c r="I83" s="9" t="n">
        <f aca="false">SUMIFS('Source 2026'!$Q:$Q,'Source 2026'!$B:$B,$A83,'Source 2026'!$A:$A,"Amount (NIS)")</f>
        <v>11036.9</v>
      </c>
      <c r="J83" s="9" t="n">
        <f aca="false">I83*$J$5</f>
        <v>13941.3473684211</v>
      </c>
      <c r="K83" s="9" t="n">
        <f aca="false">J83-H83</f>
        <v>-1372.25263157895</v>
      </c>
      <c r="L83" s="13" t="n">
        <f aca="false">IF(AND(H83=0,J83=0),0,IF(H83=0,"New",(J83-H83)/H83))</f>
        <v>-0.0896100610946446</v>
      </c>
    </row>
    <row r="84" customFormat="false" ht="15" hidden="false" customHeight="true" outlineLevel="0" collapsed="false">
      <c r="A84" s="8" t="s">
        <v>206</v>
      </c>
      <c r="B84" s="8" t="str">
        <f aca="false">IFERROR(INDEX('Source 2026'!$C:$C,MATCH($A84,'Source 2026'!$B:$B,0)),IFERROR(INDEX('Source 2025'!$C:$C,MATCH($A84,'Source 2025'!$B:$B,0)),""))</f>
        <v>סד ליישור אצבע</v>
      </c>
      <c r="C84" s="9" t="n">
        <f aca="false">SUMIFS('Source 2025'!$Q:$Q,'Source 2025'!$B:$B,$A84,'Source 2025'!$A:$A,"Quantity (units)")</f>
        <v>1303</v>
      </c>
      <c r="D84" s="9" t="n">
        <f aca="false">SUMIFS('Source 2026'!$Q:$Q,'Source 2026'!$B:$B,$A84,'Source 2026'!$A:$A,"Quantity (units)")</f>
        <v>1525</v>
      </c>
      <c r="E84" s="9" t="n">
        <f aca="false">D84*$J$5</f>
        <v>1926.31578947368</v>
      </c>
      <c r="F84" s="9" t="n">
        <f aca="false">E84-C84</f>
        <v>623.315789473684</v>
      </c>
      <c r="G84" s="13" t="n">
        <f aca="false">IF(AND(C84=0,E84=0),0,IF(C84=0,"New",(E84-C84)/C84))</f>
        <v>0.478369754008967</v>
      </c>
      <c r="H84" s="9" t="n">
        <f aca="false">SUMIFS('Source 2025'!$Q:$Q,'Source 2025'!$B:$B,$A84,'Source 2025'!$A:$A,"Amount (NIS)")</f>
        <v>18579.7</v>
      </c>
      <c r="I84" s="9" t="n">
        <f aca="false">SUMIFS('Source 2026'!$Q:$Q,'Source 2026'!$B:$B,$A84,'Source 2026'!$A:$A,"Amount (NIS)")</f>
        <v>22856</v>
      </c>
      <c r="J84" s="9" t="n">
        <f aca="false">I84*$J$5</f>
        <v>28870.7368421053</v>
      </c>
      <c r="K84" s="9" t="n">
        <f aca="false">J84-H84</f>
        <v>10291.0368421053</v>
      </c>
      <c r="L84" s="13" t="n">
        <f aca="false">IF(AND(H84=0,J84=0),0,IF(H84=0,"New",(J84-H84)/H84))</f>
        <v>0.553886060706323</v>
      </c>
    </row>
    <row r="85" customFormat="false" ht="15" hidden="false" customHeight="true" outlineLevel="0" collapsed="false">
      <c r="A85" s="8" t="s">
        <v>215</v>
      </c>
      <c r="B85" s="8" t="str">
        <f aca="false">IFERROR(INDEX('Source 2026'!$C:$C,MATCH($A85,'Source 2026'!$B:$B,0)),IFERROR(INDEX('Source 2025'!$C:$C,MATCH($A85,'Source 2025'!$B:$B,0)),""))</f>
        <v>S חגורה למנותחי בית החזה</v>
      </c>
      <c r="C85" s="9" t="n">
        <f aca="false">SUMIFS('Source 2025'!$Q:$Q,'Source 2025'!$B:$B,$A85,'Source 2025'!$A:$A,"Quantity (units)")</f>
        <v>63</v>
      </c>
      <c r="D85" s="9" t="n">
        <f aca="false">SUMIFS('Source 2026'!$Q:$Q,'Source 2026'!$B:$B,$A85,'Source 2026'!$A:$A,"Quantity (units)")</f>
        <v>94</v>
      </c>
      <c r="E85" s="9" t="n">
        <f aca="false">D85*$J$5</f>
        <v>118.736842105263</v>
      </c>
      <c r="F85" s="9" t="n">
        <f aca="false">E85-C85</f>
        <v>55.7368421052632</v>
      </c>
      <c r="G85" s="13" t="n">
        <f aca="false">IF(AND(C85=0,E85=0),0,IF(C85=0,"New",(E85-C85)/C85))</f>
        <v>0.884711779448621</v>
      </c>
      <c r="H85" s="9" t="n">
        <f aca="false">SUMIFS('Source 2025'!$Q:$Q,'Source 2025'!$B:$B,$A85,'Source 2025'!$A:$A,"Amount (NIS)")</f>
        <v>8325.8</v>
      </c>
      <c r="I85" s="9" t="n">
        <f aca="false">SUMIFS('Source 2026'!$Q:$Q,'Source 2026'!$B:$B,$A85,'Source 2026'!$A:$A,"Amount (NIS)")</f>
        <v>12508.9</v>
      </c>
      <c r="J85" s="9" t="n">
        <f aca="false">I85*$J$5</f>
        <v>15800.7157894737</v>
      </c>
      <c r="K85" s="9" t="n">
        <f aca="false">J85-H85</f>
        <v>7474.91578947368</v>
      </c>
      <c r="L85" s="13" t="n">
        <f aca="false">IF(AND(H85=0,J85=0),0,IF(H85=0,"New",(J85-H85)/H85))</f>
        <v>0.897801507299441</v>
      </c>
    </row>
    <row r="86" customFormat="false" ht="15" hidden="false" customHeight="true" outlineLevel="0" collapsed="false">
      <c r="A86" s="8" t="s">
        <v>260</v>
      </c>
      <c r="B86" s="8" t="str">
        <f aca="false">IFERROR(INDEX('Source 2026'!$C:$C,MATCH($A86,'Source 2026'!$B:$B,0)),IFERROR(INDEX('Source 2025'!$C:$C,MATCH($A86,'Source 2025'!$B:$B,0)),""))</f>
        <v>כפפות אגודל לחץ</v>
      </c>
      <c r="C86" s="9" t="n">
        <f aca="false">SUMIFS('Source 2025'!$Q:$Q,'Source 2025'!$B:$B,$A86,'Source 2025'!$A:$A,"Quantity (units)")</f>
        <v>395</v>
      </c>
      <c r="D86" s="9" t="n">
        <f aca="false">SUMIFS('Source 2026'!$Q:$Q,'Source 2026'!$B:$B,$A86,'Source 2026'!$A:$A,"Quantity (units)")</f>
        <v>247</v>
      </c>
      <c r="E86" s="9" t="n">
        <f aca="false">D86*$J$5</f>
        <v>312</v>
      </c>
      <c r="F86" s="9" t="n">
        <f aca="false">E86-C86</f>
        <v>-83</v>
      </c>
      <c r="G86" s="13" t="n">
        <f aca="false">IF(AND(C86=0,E86=0),0,IF(C86=0,"New",(E86-C86)/C86))</f>
        <v>-0.210126582278481</v>
      </c>
      <c r="H86" s="9" t="n">
        <f aca="false">SUMIFS('Source 2025'!$Q:$Q,'Source 2025'!$B:$B,$A86,'Source 2025'!$A:$A,"Amount (NIS)")</f>
        <v>11254.2</v>
      </c>
      <c r="I86" s="9" t="n">
        <f aca="false">SUMIFS('Source 2026'!$Q:$Q,'Source 2026'!$B:$B,$A86,'Source 2026'!$A:$A,"Amount (NIS)")</f>
        <v>7189.1</v>
      </c>
      <c r="J86" s="9" t="n">
        <f aca="false">I86*$J$5</f>
        <v>9080.96842105263</v>
      </c>
      <c r="K86" s="9" t="n">
        <f aca="false">J86-H86</f>
        <v>-2173.23157894737</v>
      </c>
      <c r="L86" s="13" t="n">
        <f aca="false">IF(AND(H86=0,J86=0),0,IF(H86=0,"New",(J86-H86)/H86))</f>
        <v>-0.193104048172893</v>
      </c>
    </row>
    <row r="87" customFormat="false" ht="15" hidden="false" customHeight="true" outlineLevel="0" collapsed="false">
      <c r="A87" s="8" t="s">
        <v>203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2025'!$Q:$Q,'Source 2025'!$B:$B,$A87,'Source 2025'!$A:$A,"Quantity (units)")</f>
        <v>308</v>
      </c>
      <c r="D87" s="9" t="n">
        <f aca="false">SUMIFS('Source 2026'!$Q:$Q,'Source 2026'!$B:$B,$A87,'Source 2026'!$A:$A,"Quantity (units)")</f>
        <v>185</v>
      </c>
      <c r="E87" s="9" t="n">
        <f aca="false">D87*$J$5</f>
        <v>233.684210526316</v>
      </c>
      <c r="F87" s="9" t="n">
        <f aca="false">E87-C87</f>
        <v>-74.3157894736842</v>
      </c>
      <c r="G87" s="13" t="n">
        <f aca="false">IF(AND(C87=0,E87=0),0,IF(C87=0,"New",(E87-C87)/C87))</f>
        <v>-0.241285030758715</v>
      </c>
      <c r="H87" s="9" t="n">
        <f aca="false">SUMIFS('Source 2025'!$Q:$Q,'Source 2025'!$B:$B,$A87,'Source 2025'!$A:$A,"Amount (NIS)")</f>
        <v>9804.1</v>
      </c>
      <c r="I87" s="9" t="n">
        <f aca="false">SUMIFS('Source 2026'!$Q:$Q,'Source 2026'!$B:$B,$A87,'Source 2026'!$A:$A,"Amount (NIS)")</f>
        <v>5808.7</v>
      </c>
      <c r="J87" s="9" t="n">
        <f aca="false">I87*$J$5</f>
        <v>7337.30526315789</v>
      </c>
      <c r="K87" s="9" t="n">
        <f aca="false">J87-H87</f>
        <v>-2466.79473684211</v>
      </c>
      <c r="L87" s="13" t="n">
        <f aca="false">IF(AND(H87=0,J87=0),0,IF(H87=0,"New",(J87-H87)/H87))</f>
        <v>-0.251608483883488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2025'!$Q:$Q,'Source 2025'!$B:$B,$A88,'Source 2025'!$A:$A,"Quantity (units)")</f>
        <v>201</v>
      </c>
      <c r="D88" s="9" t="n">
        <f aca="false">SUMIFS('Source 2026'!$Q:$Q,'Source 2026'!$B:$B,$A88,'Source 2026'!$A:$A,"Quantity (units)")</f>
        <v>65</v>
      </c>
      <c r="E88" s="9" t="n">
        <f aca="false">D88*$J$5</f>
        <v>82.1052631578947</v>
      </c>
      <c r="F88" s="9" t="n">
        <f aca="false">E88-C88</f>
        <v>-118.894736842105</v>
      </c>
      <c r="G88" s="13" t="n">
        <f aca="false">IF(AND(C88=0,E88=0),0,IF(C88=0,"New",(E88-C88)/C88))</f>
        <v>-0.591516103692066</v>
      </c>
      <c r="H88" s="9" t="n">
        <f aca="false">SUMIFS('Source 2025'!$Q:$Q,'Source 2025'!$B:$B,$A88,'Source 2025'!$A:$A,"Amount (NIS)")</f>
        <v>5852.8</v>
      </c>
      <c r="I88" s="9" t="n">
        <f aca="false">SUMIFS('Source 2026'!$Q:$Q,'Source 2026'!$B:$B,$A88,'Source 2026'!$A:$A,"Amount (NIS)")</f>
        <v>1918.6</v>
      </c>
      <c r="J88" s="9" t="n">
        <f aca="false">I88*$J$5</f>
        <v>2423.49473684211</v>
      </c>
      <c r="K88" s="9" t="n">
        <f aca="false">J88-H88</f>
        <v>-3429.3052631579</v>
      </c>
      <c r="L88" s="13" t="n">
        <f aca="false">IF(AND(H88=0,J88=0),0,IF(H88=0,"New",(J88-H88)/H88))</f>
        <v>-0.585925584875255</v>
      </c>
    </row>
    <row r="89" customFormat="false" ht="15" hidden="false" customHeight="true" outlineLevel="0" collapsed="false">
      <c r="A89" s="8" t="s">
        <v>159</v>
      </c>
      <c r="B89" s="8" t="str">
        <f aca="false">IFERROR(INDEX('Source 2026'!$C:$C,MATCH($A89,'Source 2026'!$B:$B,0)),IFERROR(INDEX('Source 2025'!$C:$C,MATCH($A89,'Source 2025'!$B:$B,0)),""))</f>
        <v>גרב.כסף לסכרתים אפור35-38</v>
      </c>
      <c r="C89" s="9" t="n">
        <f aca="false">SUMIFS('Source 2025'!$Q:$Q,'Source 2025'!$B:$B,$A89,'Source 2025'!$A:$A,"Quantity (units)")</f>
        <v>157</v>
      </c>
      <c r="D89" s="9" t="n">
        <f aca="false">SUMIFS('Source 2026'!$Q:$Q,'Source 2026'!$B:$B,$A89,'Source 2026'!$A:$A,"Quantity (units)")</f>
        <v>-9</v>
      </c>
      <c r="E89" s="9" t="n">
        <f aca="false">D89*$J$5</f>
        <v>-11.3684210526316</v>
      </c>
      <c r="F89" s="9" t="n">
        <f aca="false">E89-C89</f>
        <v>-168.368421052632</v>
      </c>
      <c r="G89" s="13" t="n">
        <f aca="false">IF(AND(C89=0,E89=0),0,IF(C89=0,"New",(E89-C89)/C89))</f>
        <v>-1.072410325176</v>
      </c>
      <c r="H89" s="9" t="n">
        <f aca="false">SUMIFS('Source 2025'!$Q:$Q,'Source 2025'!$B:$B,$A89,'Source 2025'!$A:$A,"Amount (NIS)")</f>
        <v>3499.7</v>
      </c>
      <c r="I89" s="9" t="n">
        <f aca="false">SUMIFS('Source 2026'!$Q:$Q,'Source 2026'!$B:$B,$A89,'Source 2026'!$A:$A,"Amount (NIS)")</f>
        <v>-191.9</v>
      </c>
      <c r="J89" s="9" t="n">
        <f aca="false">I89*$J$5</f>
        <v>-242.4</v>
      </c>
      <c r="K89" s="9" t="n">
        <f aca="false">J89-H89</f>
        <v>-3742.1</v>
      </c>
      <c r="L89" s="13" t="n">
        <f aca="false">IF(AND(H89=0,J89=0),0,IF(H89=0,"New",(J89-H89)/H89))</f>
        <v>-1.06926307969255</v>
      </c>
    </row>
    <row r="90" customFormat="false" ht="15" hidden="false" customHeight="true" outlineLevel="0" collapsed="false">
      <c r="A90" s="8" t="s">
        <v>329</v>
      </c>
      <c r="B90" s="8" t="str">
        <f aca="false">IFERROR(INDEX('Source 2026'!$C:$C,MATCH($A90,'Source 2026'!$B:$B,0)),IFERROR(INDEX('Source 2025'!$C:$C,MATCH($A90,'Source 2025'!$B:$B,0)),""))</f>
        <v>L-XL STRAP4U</v>
      </c>
      <c r="C90" s="9" t="n">
        <f aca="false">SUMIFS('Source 2025'!$Q:$Q,'Source 2025'!$B:$B,$A90,'Source 2025'!$A:$A,"Quantity (units)")</f>
        <v>328</v>
      </c>
      <c r="D90" s="9" t="n">
        <f aca="false">SUMIFS('Source 2026'!$Q:$Q,'Source 2026'!$B:$B,$A90,'Source 2026'!$A:$A,"Quantity (units)")</f>
        <v>118</v>
      </c>
      <c r="E90" s="9" t="n">
        <f aca="false">D90*$J$5</f>
        <v>149.052631578947</v>
      </c>
      <c r="F90" s="9" t="n">
        <f aca="false">E90-C90</f>
        <v>-178.947368421053</v>
      </c>
      <c r="G90" s="13" t="n">
        <f aca="false">IF(AND(C90=0,E90=0),0,IF(C90=0,"New",(E90-C90)/C90))</f>
        <v>-0.545571245186136</v>
      </c>
      <c r="H90" s="9" t="n">
        <f aca="false">SUMIFS('Source 2025'!$Q:$Q,'Source 2025'!$B:$B,$A90,'Source 2025'!$A:$A,"Amount (NIS)")</f>
        <v>5450</v>
      </c>
      <c r="I90" s="9" t="n">
        <f aca="false">SUMIFS('Source 2026'!$Q:$Q,'Source 2026'!$B:$B,$A90,'Source 2026'!$A:$A,"Amount (NIS)")</f>
        <v>1978.2</v>
      </c>
      <c r="J90" s="9" t="n">
        <f aca="false">I90*$J$5</f>
        <v>2498.77894736842</v>
      </c>
      <c r="K90" s="9" t="n">
        <f aca="false">J90-H90</f>
        <v>-2951.22105263158</v>
      </c>
      <c r="L90" s="13" t="n">
        <f aca="false">IF(AND(H90=0,J90=0),0,IF(H90=0,"New",(J90-H90)/H90))</f>
        <v>-0.541508450024143</v>
      </c>
    </row>
    <row r="91" customFormat="false" ht="15" hidden="false" customHeight="true" outlineLevel="0" collapsed="false">
      <c r="A91" s="8" t="s">
        <v>205</v>
      </c>
      <c r="B91" s="8" t="str">
        <f aca="false">IFERROR(INDEX('Source 2026'!$C:$C,MATCH($A91,'Source 2026'!$B:$B,0)),IFERROR(INDEX('Source 2025'!$C:$C,MATCH($A91,'Source 2025'!$B:$B,0)),""))</f>
        <v>חבק טניס אלבו</v>
      </c>
      <c r="C91" s="9" t="n">
        <f aca="false">SUMIFS('Source 2025'!$Q:$Q,'Source 2025'!$B:$B,$A91,'Source 2025'!$A:$A,"Quantity (units)")</f>
        <v>922</v>
      </c>
      <c r="D91" s="9" t="n">
        <f aca="false">SUMIFS('Source 2026'!$Q:$Q,'Source 2026'!$B:$B,$A91,'Source 2026'!$A:$A,"Quantity (units)")</f>
        <v>909</v>
      </c>
      <c r="E91" s="9" t="n">
        <f aca="false">D91*$J$5</f>
        <v>1148.21052631579</v>
      </c>
      <c r="F91" s="9" t="n">
        <f aca="false">E91-C91</f>
        <v>226.210526315789</v>
      </c>
      <c r="G91" s="13" t="n">
        <f aca="false">IF(AND(C91=0,E91=0),0,IF(C91=0,"New",(E91-C91)/C91))</f>
        <v>0.245347642424934</v>
      </c>
      <c r="H91" s="9" t="n">
        <f aca="false">SUMIFS('Source 2025'!$Q:$Q,'Source 2025'!$B:$B,$A91,'Source 2025'!$A:$A,"Amount (NIS)")</f>
        <v>62831.2</v>
      </c>
      <c r="I91" s="9" t="n">
        <f aca="false">SUMIFS('Source 2026'!$Q:$Q,'Source 2026'!$B:$B,$A91,'Source 2026'!$A:$A,"Amount (NIS)")</f>
        <v>66257.5</v>
      </c>
      <c r="J91" s="9" t="n">
        <f aca="false">I91*$J$5</f>
        <v>83693.6842105263</v>
      </c>
      <c r="K91" s="9" t="n">
        <f aca="false">J91-H91</f>
        <v>20862.4842105263</v>
      </c>
      <c r="L91" s="13" t="n">
        <f aca="false">IF(AND(H91=0,J91=0),0,IF(H91=0,"New",(J91-H91)/H91))</f>
        <v>0.332040199940894</v>
      </c>
    </row>
    <row r="92" customFormat="false" ht="15" hidden="false" customHeight="true" outlineLevel="0" collapsed="false">
      <c r="A92" s="8" t="s">
        <v>288</v>
      </c>
      <c r="B92" s="8" t="str">
        <f aca="false">IFERROR(INDEX('Source 2026'!$C:$C,MATCH($A92,'Source 2026'!$B:$B,0)),IFERROR(INDEX('Source 2025'!$C:$C,MATCH($A92,'Source 2025'!$B:$B,0)),""))</f>
        <v>11 אפורUG חגורת בטן</v>
      </c>
      <c r="C92" s="9" t="n">
        <f aca="false">SUMIFS('Source 2025'!$Q:$Q,'Source 2025'!$B:$B,$A92,'Source 2025'!$A:$A,"Quantity (units)")</f>
        <v>45</v>
      </c>
      <c r="D92" s="9" t="n">
        <f aca="false">SUMIFS('Source 2026'!$Q:$Q,'Source 2026'!$B:$B,$A92,'Source 2026'!$A:$A,"Quantity (units)")</f>
        <v>2</v>
      </c>
      <c r="E92" s="9" t="n">
        <f aca="false">D92*$J$5</f>
        <v>2.52631578947368</v>
      </c>
      <c r="F92" s="9" t="n">
        <f aca="false">E92-C92</f>
        <v>-42.4736842105263</v>
      </c>
      <c r="G92" s="13" t="n">
        <f aca="false">IF(AND(C92=0,E92=0),0,IF(C92=0,"New",(E92-C92)/C92))</f>
        <v>-0.943859649122807</v>
      </c>
      <c r="H92" s="9" t="n">
        <f aca="false">SUMIFS('Source 2025'!$Q:$Q,'Source 2025'!$B:$B,$A92,'Source 2025'!$A:$A,"Amount (NIS)")</f>
        <v>3611.3</v>
      </c>
      <c r="I92" s="9" t="n">
        <f aca="false">SUMIFS('Source 2026'!$Q:$Q,'Source 2026'!$B:$B,$A92,'Source 2026'!$A:$A,"Amount (NIS)")</f>
        <v>203.1</v>
      </c>
      <c r="J92" s="9" t="n">
        <f aca="false">I92*$J$5</f>
        <v>256.547368421053</v>
      </c>
      <c r="K92" s="9" t="n">
        <f aca="false">J92-H92</f>
        <v>-3354.75263157895</v>
      </c>
      <c r="L92" s="13" t="n">
        <f aca="false">IF(AND(H92=0,J92=0),0,IF(H92=0,"New",(J92-H92)/H92))</f>
        <v>-0.928959829307714</v>
      </c>
    </row>
    <row r="93" customFormat="false" ht="15" hidden="false" customHeight="true" outlineLevel="0" collapsed="false">
      <c r="A93" s="8" t="s">
        <v>127</v>
      </c>
      <c r="B93" s="8" t="str">
        <f aca="false">IFERROR(INDEX('Source 2026'!$C:$C,MATCH($A93,'Source 2026'!$B:$B,0)),IFERROR(INDEX('Source 2025'!$C:$C,MATCH($A93,'Source 2025'!$B:$B,0)),""))</f>
        <v>S-M חבק יד עם צמדןחום</v>
      </c>
      <c r="C93" s="9" t="n">
        <f aca="false">SUMIFS('Source 2025'!$Q:$Q,'Source 2025'!$B:$B,$A93,'Source 2025'!$A:$A,"Quantity (units)")</f>
        <v>218</v>
      </c>
      <c r="D93" s="9" t="n">
        <f aca="false">SUMIFS('Source 2026'!$Q:$Q,'Source 2026'!$B:$B,$A93,'Source 2026'!$A:$A,"Quantity (units)")</f>
        <v>118</v>
      </c>
      <c r="E93" s="9" t="n">
        <f aca="false">D93*$J$5</f>
        <v>149.052631578947</v>
      </c>
      <c r="F93" s="9" t="n">
        <f aca="false">E93-C93</f>
        <v>-68.9473684210526</v>
      </c>
      <c r="G93" s="13" t="n">
        <f aca="false">IF(AND(C93=0,E93=0),0,IF(C93=0,"New",(E93-C93)/C93))</f>
        <v>-0.316272332206663</v>
      </c>
      <c r="H93" s="9" t="n">
        <f aca="false">SUMIFS('Source 2025'!$Q:$Q,'Source 2025'!$B:$B,$A93,'Source 2025'!$A:$A,"Amount (NIS)")</f>
        <v>6935.2</v>
      </c>
      <c r="I93" s="9" t="n">
        <f aca="false">SUMIFS('Source 2026'!$Q:$Q,'Source 2026'!$B:$B,$A93,'Source 2026'!$A:$A,"Amount (NIS)")</f>
        <v>3707.3</v>
      </c>
      <c r="J93" s="9" t="n">
        <f aca="false">I93*$J$5</f>
        <v>4682.90526315789</v>
      </c>
      <c r="K93" s="9" t="n">
        <f aca="false">J93-H93</f>
        <v>-2252.29473684211</v>
      </c>
      <c r="L93" s="13" t="n">
        <f aca="false">IF(AND(H93=0,J93=0),0,IF(H93=0,"New",(J93-H93)/H93))</f>
        <v>-0.324762766299762</v>
      </c>
    </row>
    <row r="94" customFormat="false" ht="15" hidden="false" customHeight="true" outlineLevel="0" collapsed="false">
      <c r="A94" s="8" t="s">
        <v>157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9" t="n">
        <f aca="false">SUMIFS('Source 2025'!$Q:$Q,'Source 2025'!$B:$B,$A94,'Source 2025'!$A:$A,"Quantity (units)")</f>
        <v>218</v>
      </c>
      <c r="D94" s="9" t="n">
        <f aca="false">SUMIFS('Source 2026'!$Q:$Q,'Source 2026'!$B:$B,$A94,'Source 2026'!$A:$A,"Quantity (units)")</f>
        <v>103</v>
      </c>
      <c r="E94" s="9" t="n">
        <f aca="false">D94*$J$5</f>
        <v>130.105263157895</v>
      </c>
      <c r="F94" s="9" t="n">
        <f aca="false">E94-C94</f>
        <v>-87.8947368421053</v>
      </c>
      <c r="G94" s="13" t="n">
        <f aca="false">IF(AND(C94=0,E94=0),0,IF(C94=0,"New",(E94-C94)/C94))</f>
        <v>-0.403186866248189</v>
      </c>
      <c r="H94" s="9" t="n">
        <f aca="false">SUMIFS('Source 2025'!$Q:$Q,'Source 2025'!$B:$B,$A94,'Source 2025'!$A:$A,"Amount (NIS)")</f>
        <v>6229.2</v>
      </c>
      <c r="I94" s="9" t="n">
        <f aca="false">SUMIFS('Source 2026'!$Q:$Q,'Source 2026'!$B:$B,$A94,'Source 2026'!$A:$A,"Amount (NIS)")</f>
        <v>3003.9</v>
      </c>
      <c r="J94" s="9" t="n">
        <f aca="false">I94*$J$5</f>
        <v>3794.4</v>
      </c>
      <c r="K94" s="9" t="n">
        <f aca="false">J94-H94</f>
        <v>-2434.8</v>
      </c>
      <c r="L94" s="13" t="n">
        <f aca="false">IF(AND(H94=0,J94=0),0,IF(H94=0,"New",(J94-H94)/H94))</f>
        <v>-0.390868811404354</v>
      </c>
    </row>
    <row r="95" customFormat="false" ht="15" hidden="false" customHeight="true" outlineLevel="0" collapsed="false">
      <c r="A95" s="8" t="s">
        <v>274</v>
      </c>
      <c r="B95" s="8" t="str">
        <f aca="false">IFERROR(INDEX('Source 2026'!$C:$C,MATCH($A95,'Source 2026'!$B:$B,0)),IFERROR(INDEX('Source 2025'!$C:$C,MATCH($A95,'Source 2025'!$B:$B,0)),""))</f>
        <v>S ימין CTS כפפות</v>
      </c>
      <c r="C95" s="9" t="n">
        <f aca="false">SUMIFS('Source 2025'!$Q:$Q,'Source 2025'!$B:$B,$A95,'Source 2025'!$A:$A,"Quantity (units)")</f>
        <v>0</v>
      </c>
      <c r="D95" s="9" t="n">
        <f aca="false">SUMIFS('Source 2026'!$Q:$Q,'Source 2026'!$B:$B,$A95,'Source 2026'!$A:$A,"Quantity (units)")</f>
        <v>31</v>
      </c>
      <c r="E95" s="9" t="n">
        <f aca="false">D95*$J$5</f>
        <v>39.1578947368421</v>
      </c>
      <c r="F95" s="9" t="n">
        <f aca="false">E95-C95</f>
        <v>39.1578947368421</v>
      </c>
      <c r="G95" s="13" t="str">
        <f aca="false">IF(AND(C95=0,E95=0),0,IF(C95=0,"New",(E95-C95)/C95))</f>
        <v>New</v>
      </c>
      <c r="H95" s="9" t="n">
        <f aca="false">SUMIFS('Source 2025'!$Q:$Q,'Source 2025'!$B:$B,$A95,'Source 2025'!$A:$A,"Amount (NIS)")</f>
        <v>0</v>
      </c>
      <c r="I95" s="9" t="n">
        <f aca="false">SUMIFS('Source 2026'!$Q:$Q,'Source 2026'!$B:$B,$A95,'Source 2026'!$A:$A,"Amount (NIS)")</f>
        <v>3111.6</v>
      </c>
      <c r="J95" s="9" t="n">
        <f aca="false">I95*$J$5</f>
        <v>3930.44210526316</v>
      </c>
      <c r="K95" s="9" t="n">
        <f aca="false">J95-H95</f>
        <v>3930.44210526316</v>
      </c>
      <c r="L95" s="13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166</v>
      </c>
      <c r="B96" s="8" t="str">
        <f aca="false">IFERROR(INDEX('Source 2026'!$C:$C,MATCH($A96,'Source 2026'!$B:$B,0)),IFERROR(INDEX('Source 2025'!$C:$C,MATCH($A96,'Source 2025'!$B:$B,0)),""))</f>
        <v>מתלה ליד לילדים</v>
      </c>
      <c r="C96" s="9" t="n">
        <f aca="false">SUMIFS('Source 2025'!$Q:$Q,'Source 2025'!$B:$B,$A96,'Source 2025'!$A:$A,"Quantity (units)")</f>
        <v>299</v>
      </c>
      <c r="D96" s="9" t="n">
        <f aca="false">SUMIFS('Source 2026'!$Q:$Q,'Source 2026'!$B:$B,$A96,'Source 2026'!$A:$A,"Quantity (units)")</f>
        <v>236</v>
      </c>
      <c r="E96" s="9" t="n">
        <f aca="false">D96*$J$5</f>
        <v>298.105263157895</v>
      </c>
      <c r="F96" s="9" t="n">
        <f aca="false">E96-C96</f>
        <v>-0.89473684210526</v>
      </c>
      <c r="G96" s="13" t="n">
        <f aca="false">IF(AND(C96=0,E96=0),0,IF(C96=0,"New",(E96-C96)/C96))</f>
        <v>-0.00299243091005104</v>
      </c>
      <c r="H96" s="9" t="n">
        <f aca="false">SUMIFS('Source 2025'!$Q:$Q,'Source 2025'!$B:$B,$A96,'Source 2025'!$A:$A,"Amount (NIS)")</f>
        <v>13367.2</v>
      </c>
      <c r="I96" s="9" t="n">
        <f aca="false">SUMIFS('Source 2026'!$Q:$Q,'Source 2026'!$B:$B,$A96,'Source 2026'!$A:$A,"Amount (NIS)")</f>
        <v>10544.6</v>
      </c>
      <c r="J96" s="9" t="n">
        <f aca="false">I96*$J$5</f>
        <v>13319.4947368421</v>
      </c>
      <c r="K96" s="9" t="n">
        <f aca="false">J96-H96</f>
        <v>-47.7052631578954</v>
      </c>
      <c r="L96" s="13" t="n">
        <f aca="false">IF(AND(H96=0,J96=0),0,IF(H96=0,"New",(J96-H96)/H96))</f>
        <v>-0.00356882990887361</v>
      </c>
    </row>
    <row r="97" customFormat="false" ht="15" hidden="false" customHeight="true" outlineLevel="0" collapsed="false">
      <c r="A97" s="8" t="s">
        <v>92</v>
      </c>
      <c r="B97" s="8" t="str">
        <f aca="false">IFERROR(INDEX('Source 2026'!$C:$C,MATCH($A97,'Source 2026'!$B:$B,0)),IFERROR(INDEX('Source 2025'!$C:$C,MATCH($A97,'Source 2025'!$B:$B,0)),""))</f>
        <v>L מתלה רשת לזרוע שחור</v>
      </c>
      <c r="C97" s="9" t="n">
        <f aca="false">SUMIFS('Source 2025'!$Q:$Q,'Source 2025'!$B:$B,$A97,'Source 2025'!$A:$A,"Quantity (units)")</f>
        <v>2789</v>
      </c>
      <c r="D97" s="9" t="n">
        <f aca="false">SUMIFS('Source 2026'!$Q:$Q,'Source 2026'!$B:$B,$A97,'Source 2026'!$A:$A,"Quantity (units)")</f>
        <v>2847</v>
      </c>
      <c r="E97" s="9" t="n">
        <f aca="false">D97*$J$5</f>
        <v>3596.21052631579</v>
      </c>
      <c r="F97" s="9" t="n">
        <f aca="false">E97-C97</f>
        <v>807.210526315789</v>
      </c>
      <c r="G97" s="13" t="n">
        <f aca="false">IF(AND(C97=0,E97=0),0,IF(C97=0,"New",(E97-C97)/C97))</f>
        <v>0.289426506387877</v>
      </c>
      <c r="H97" s="9" t="n">
        <f aca="false">SUMIFS('Source 2025'!$Q:$Q,'Source 2025'!$B:$B,$A97,'Source 2025'!$A:$A,"Amount (NIS)")</f>
        <v>136637.6</v>
      </c>
      <c r="I97" s="9" t="n">
        <f aca="false">SUMIFS('Source 2026'!$Q:$Q,'Source 2026'!$B:$B,$A97,'Source 2026'!$A:$A,"Amount (NIS)")</f>
        <v>139434.1</v>
      </c>
      <c r="J97" s="9" t="n">
        <f aca="false">I97*$J$5</f>
        <v>176127.284210526</v>
      </c>
      <c r="K97" s="9" t="n">
        <f aca="false">J97-H97</f>
        <v>39489.6842105263</v>
      </c>
      <c r="L97" s="13" t="n">
        <f aca="false">IF(AND(H97=0,J97=0),0,IF(H97=0,"New",(J97-H97)/H97))</f>
        <v>0.289010376430253</v>
      </c>
    </row>
    <row r="98" customFormat="false" ht="15" hidden="false" customHeight="true" outlineLevel="0" collapsed="false">
      <c r="A98" s="8" t="s">
        <v>145</v>
      </c>
      <c r="B98" s="8" t="str">
        <f aca="false">IFERROR(INDEX('Source 2026'!$C:$C,MATCH($A98,'Source 2026'!$B:$B,0)),IFERROR(INDEX('Source 2025'!$C:$C,MATCH($A98,'Source 2025'!$B:$B,0)),""))</f>
        <v>תחבושת א.נצמ</v>
      </c>
      <c r="C98" s="9" t="n">
        <f aca="false">SUMIFS('Source 2025'!$Q:$Q,'Source 2025'!$B:$B,$A98,'Source 2025'!$A:$A,"Quantity (units)")</f>
        <v>980</v>
      </c>
      <c r="D98" s="9" t="n">
        <f aca="false">SUMIFS('Source 2026'!$Q:$Q,'Source 2026'!$B:$B,$A98,'Source 2026'!$A:$A,"Quantity (units)")</f>
        <v>697</v>
      </c>
      <c r="E98" s="9" t="n">
        <f aca="false">D98*$J$5</f>
        <v>880.421052631579</v>
      </c>
      <c r="F98" s="9" t="n">
        <f aca="false">E98-C98</f>
        <v>-99.5789473684212</v>
      </c>
      <c r="G98" s="13" t="n">
        <f aca="false">IF(AND(C98=0,E98=0),0,IF(C98=0,"New",(E98-C98)/C98))</f>
        <v>-0.101611170784103</v>
      </c>
      <c r="H98" s="9" t="n">
        <f aca="false">SUMIFS('Source 2025'!$Q:$Q,'Source 2025'!$B:$B,$A98,'Source 2025'!$A:$A,"Amount (NIS)")</f>
        <v>9936.3</v>
      </c>
      <c r="I98" s="9" t="n">
        <f aca="false">SUMIFS('Source 2026'!$Q:$Q,'Source 2026'!$B:$B,$A98,'Source 2026'!$A:$A,"Amount (NIS)")</f>
        <v>7156.9</v>
      </c>
      <c r="J98" s="9" t="n">
        <f aca="false">I98*$J$5</f>
        <v>9040.29473684211</v>
      </c>
      <c r="K98" s="9" t="n">
        <f aca="false">J98-H98</f>
        <v>-896.005263157895</v>
      </c>
      <c r="L98" s="13" t="n">
        <f aca="false">IF(AND(H98=0,J98=0),0,IF(H98=0,"New",(J98-H98)/H98))</f>
        <v>-0.0901749406879719</v>
      </c>
    </row>
    <row r="99" customFormat="false" ht="15" hidden="false" customHeight="true" outlineLevel="0" collapsed="false">
      <c r="A99" s="8" t="s">
        <v>264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9" t="n">
        <f aca="false">SUMIFS('Source 2025'!$Q:$Q,'Source 2025'!$B:$B,$A99,'Source 2025'!$A:$A,"Quantity (units)")</f>
        <v>34</v>
      </c>
      <c r="D99" s="9" t="n">
        <f aca="false">SUMIFS('Source 2026'!$Q:$Q,'Source 2026'!$B:$B,$A99,'Source 2026'!$A:$A,"Quantity (units)")</f>
        <v>0</v>
      </c>
      <c r="E99" s="9" t="n">
        <f aca="false">D99*$J$5</f>
        <v>0</v>
      </c>
      <c r="F99" s="9" t="n">
        <f aca="false">E99-C99</f>
        <v>-34</v>
      </c>
      <c r="G99" s="13" t="n">
        <f aca="false">IF(AND(C99=0,E99=0),0,IF(C99=0,"New",(E99-C99)/C99))</f>
        <v>-1</v>
      </c>
      <c r="H99" s="9" t="n">
        <f aca="false">SUMIFS('Source 2025'!$Q:$Q,'Source 2025'!$B:$B,$A99,'Source 2025'!$A:$A,"Amount (NIS)")</f>
        <v>2730.6</v>
      </c>
      <c r="I99" s="9" t="n">
        <f aca="false">SUMIFS('Source 2026'!$Q:$Q,'Source 2026'!$B:$B,$A99,'Source 2026'!$A:$A,"Amount (NIS)")</f>
        <v>68.2</v>
      </c>
      <c r="J99" s="9" t="n">
        <f aca="false">I99*$J$5</f>
        <v>86.1473684210526</v>
      </c>
      <c r="K99" s="9" t="n">
        <f aca="false">J99-H99</f>
        <v>-2644.45263157895</v>
      </c>
      <c r="L99" s="13" t="n">
        <f aca="false">IF(AND(H99=0,J99=0),0,IF(H99=0,"New",(J99-H99)/H99))</f>
        <v>-0.96845112121107</v>
      </c>
    </row>
    <row r="100" customFormat="false" ht="15" hidden="false" customHeight="true" outlineLevel="0" collapsed="false">
      <c r="A100" s="8" t="s">
        <v>234</v>
      </c>
      <c r="B100" s="8" t="str">
        <f aca="false">IFERROR(INDEX('Source 2026'!$C:$C,MATCH($A100,'Source 2026'!$B:$B,0)),IFERROR(INDEX('Source 2025'!$C:$C,MATCH($A100,'Source 2025'!$B:$B,0)),""))</f>
        <v>כפפות לחץ</v>
      </c>
      <c r="C100" s="9" t="n">
        <f aca="false">SUMIFS('Source 2025'!$Q:$Q,'Source 2025'!$B:$B,$A100,'Source 2025'!$A:$A,"Quantity (units)")</f>
        <v>258</v>
      </c>
      <c r="D100" s="9" t="n">
        <f aca="false">SUMIFS('Source 2026'!$Q:$Q,'Source 2026'!$B:$B,$A100,'Source 2026'!$A:$A,"Quantity (units)")</f>
        <v>162</v>
      </c>
      <c r="E100" s="9" t="n">
        <f aca="false">D100*$J$5</f>
        <v>204.631578947368</v>
      </c>
      <c r="F100" s="9" t="n">
        <f aca="false">E100-C100</f>
        <v>-53.3684210526316</v>
      </c>
      <c r="G100" s="13" t="n">
        <f aca="false">IF(AND(C100=0,E100=0),0,IF(C100=0,"New",(E100-C100)/C100))</f>
        <v>-0.206854345165239</v>
      </c>
      <c r="H100" s="9" t="n">
        <f aca="false">SUMIFS('Source 2025'!$Q:$Q,'Source 2025'!$B:$B,$A100,'Source 2025'!$A:$A,"Amount (NIS)")</f>
        <v>7344.8</v>
      </c>
      <c r="I100" s="9" t="n">
        <f aca="false">SUMIFS('Source 2026'!$Q:$Q,'Source 2026'!$B:$B,$A100,'Source 2026'!$A:$A,"Amount (NIS)")</f>
        <v>4690.8</v>
      </c>
      <c r="J100" s="9" t="n">
        <f aca="false">I100*$J$5</f>
        <v>5925.22105263158</v>
      </c>
      <c r="K100" s="9" t="n">
        <f aca="false">J100-H100</f>
        <v>-1419.57894736842</v>
      </c>
      <c r="L100" s="13" t="n">
        <f aca="false">IF(AND(H100=0,J100=0),0,IF(H100=0,"New",(J100-H100)/H100))</f>
        <v>-0.193276732840707</v>
      </c>
    </row>
    <row r="101" customFormat="false" ht="15" hidden="false" customHeight="true" outlineLevel="0" collapsed="false">
      <c r="A101" s="8" t="s">
        <v>122</v>
      </c>
      <c r="B101" s="8" t="str">
        <f aca="false">IFERROR(INDEX('Source 2026'!$C:$C,MATCH($A101,'Source 2026'!$B:$B,0)),IFERROR(INDEX('Source 2025'!$C:$C,MATCH($A101,'Source 2025'!$B:$B,0)),""))</f>
        <v>L סד לילה שחור לבוהן שמאל</v>
      </c>
      <c r="C101" s="9" t="n">
        <f aca="false">SUMIFS('Source 2025'!$Q:$Q,'Source 2025'!$B:$B,$A101,'Source 2025'!$A:$A,"Quantity (units)")</f>
        <v>87</v>
      </c>
      <c r="D101" s="9" t="n">
        <f aca="false">SUMIFS('Source 2026'!$Q:$Q,'Source 2026'!$B:$B,$A101,'Source 2026'!$A:$A,"Quantity (units)")</f>
        <v>40</v>
      </c>
      <c r="E101" s="9" t="n">
        <f aca="false">D101*$J$5</f>
        <v>50.5263157894737</v>
      </c>
      <c r="F101" s="9" t="n">
        <f aca="false">E101-C101</f>
        <v>-36.4736842105263</v>
      </c>
      <c r="G101" s="13" t="n">
        <f aca="false">IF(AND(C101=0,E101=0),0,IF(C101=0,"New",(E101-C101)/C101))</f>
        <v>-0.419237749546279</v>
      </c>
      <c r="H101" s="9" t="n">
        <f aca="false">SUMIFS('Source 2025'!$Q:$Q,'Source 2025'!$B:$B,$A101,'Source 2025'!$A:$A,"Amount (NIS)")</f>
        <v>5148.8</v>
      </c>
      <c r="I101" s="9" t="n">
        <f aca="false">SUMIFS('Source 2026'!$Q:$Q,'Source 2026'!$B:$B,$A101,'Source 2026'!$A:$A,"Amount (NIS)")</f>
        <v>2571.3</v>
      </c>
      <c r="J101" s="9" t="n">
        <f aca="false">I101*$J$5</f>
        <v>3247.95789473684</v>
      </c>
      <c r="K101" s="9" t="n">
        <f aca="false">J101-H101</f>
        <v>-1900.84210526316</v>
      </c>
      <c r="L101" s="13" t="n">
        <f aca="false">IF(AND(H101=0,J101=0),0,IF(H101=0,"New",(J101-H101)/H101))</f>
        <v>-0.369181577311832</v>
      </c>
    </row>
    <row r="102" customFormat="false" ht="15" hidden="false" customHeight="true" outlineLevel="0" collapsed="false">
      <c r="A102" s="8" t="s">
        <v>110</v>
      </c>
      <c r="B102" s="8" t="str">
        <f aca="false">IFERROR(INDEX('Source 2026'!$C:$C,MATCH($A102,'Source 2026'!$B:$B,0)),IFERROR(INDEX('Source 2025'!$C:$C,MATCH($A102,'Source 2025'!$B:$B,0)),""))</f>
        <v>חגורת גב +סגירה כפולה</v>
      </c>
      <c r="C102" s="9" t="n">
        <f aca="false">SUMIFS('Source 2025'!$Q:$Q,'Source 2025'!$B:$B,$A102,'Source 2025'!$A:$A,"Quantity (units)")</f>
        <v>65</v>
      </c>
      <c r="D102" s="9" t="n">
        <f aca="false">SUMIFS('Source 2026'!$Q:$Q,'Source 2026'!$B:$B,$A102,'Source 2026'!$A:$A,"Quantity (units)")</f>
        <v>36</v>
      </c>
      <c r="E102" s="9" t="n">
        <f aca="false">D102*$J$5</f>
        <v>45.4736842105263</v>
      </c>
      <c r="F102" s="9" t="n">
        <f aca="false">E102-C102</f>
        <v>-19.5263157894737</v>
      </c>
      <c r="G102" s="13" t="n">
        <f aca="false">IF(AND(C102=0,E102=0),0,IF(C102=0,"New",(E102-C102)/C102))</f>
        <v>-0.300404858299595</v>
      </c>
      <c r="H102" s="9" t="n">
        <f aca="false">SUMIFS('Source 2025'!$Q:$Q,'Source 2025'!$B:$B,$A102,'Source 2025'!$A:$A,"Amount (NIS)")</f>
        <v>6213.6</v>
      </c>
      <c r="I102" s="9" t="n">
        <f aca="false">SUMIFS('Source 2026'!$Q:$Q,'Source 2026'!$B:$B,$A102,'Source 2026'!$A:$A,"Amount (NIS)")</f>
        <v>3644.6</v>
      </c>
      <c r="J102" s="9" t="n">
        <f aca="false">I102*$J$5</f>
        <v>4603.70526315789</v>
      </c>
      <c r="K102" s="9" t="n">
        <f aca="false">J102-H102</f>
        <v>-1609.89473684211</v>
      </c>
      <c r="L102" s="13" t="n">
        <f aca="false">IF(AND(H102=0,J102=0),0,IF(H102=0,"New",(J102-H102)/H102))</f>
        <v>-0.259092110345389</v>
      </c>
    </row>
    <row r="103" customFormat="false" ht="15" hidden="false" customHeight="true" outlineLevel="0" collapsed="false">
      <c r="A103" s="8" t="s">
        <v>198</v>
      </c>
      <c r="B103" s="8" t="str">
        <f aca="false">IFERROR(INDEX('Source 2026'!$C:$C,MATCH($A103,'Source 2026'!$B:$B,0)),IFERROR(INDEX('Source 2025'!$C:$C,MATCH($A103,'Source 2025'!$B:$B,0)),""))</f>
        <v>רצועת ""פיקה""+כרית</v>
      </c>
      <c r="C103" s="9" t="n">
        <f aca="false">SUMIFS('Source 2025'!$Q:$Q,'Source 2025'!$B:$B,$A103,'Source 2025'!$A:$A,"Quantity (units)")</f>
        <v>40</v>
      </c>
      <c r="D103" s="9" t="n">
        <f aca="false">SUMIFS('Source 2026'!$Q:$Q,'Source 2026'!$B:$B,$A103,'Source 2026'!$A:$A,"Quantity (units)")</f>
        <v>12</v>
      </c>
      <c r="E103" s="9" t="n">
        <f aca="false">D103*$J$5</f>
        <v>15.1578947368421</v>
      </c>
      <c r="F103" s="9" t="n">
        <f aca="false">E103-C103</f>
        <v>-24.8421052631579</v>
      </c>
      <c r="G103" s="13" t="n">
        <f aca="false">IF(AND(C103=0,E103=0),0,IF(C103=0,"New",(E103-C103)/C103))</f>
        <v>-0.621052631578947</v>
      </c>
      <c r="H103" s="9" t="n">
        <f aca="false">SUMIFS('Source 2025'!$Q:$Q,'Source 2025'!$B:$B,$A103,'Source 2025'!$A:$A,"Amount (NIS)")</f>
        <v>3726.4</v>
      </c>
      <c r="I103" s="9" t="n">
        <f aca="false">SUMIFS('Source 2026'!$Q:$Q,'Source 2026'!$B:$B,$A103,'Source 2026'!$A:$A,"Amount (NIS)")</f>
        <v>1185.3</v>
      </c>
      <c r="J103" s="9" t="n">
        <f aca="false">I103*$J$5</f>
        <v>1497.22105263158</v>
      </c>
      <c r="K103" s="9" t="n">
        <f aca="false">J103-H103</f>
        <v>-2229.17894736842</v>
      </c>
      <c r="L103" s="13" t="n">
        <f aca="false">IF(AND(H103=0,J103=0),0,IF(H103=0,"New",(J103-H103)/H103))</f>
        <v>-0.598212469774694</v>
      </c>
    </row>
    <row r="104" customFormat="false" ht="15" hidden="false" customHeight="true" outlineLevel="0" collapsed="false">
      <c r="A104" s="8" t="s">
        <v>242</v>
      </c>
      <c r="B104" s="8" t="str">
        <f aca="false">IFERROR(INDEX('Source 2026'!$C:$C,MATCH($A104,'Source 2026'!$B:$B,0)),IFERROR(INDEX('Source 2025'!$C:$C,MATCH($A104,'Source 2025'!$B:$B,0)),""))</f>
        <v>כפפות לחץ</v>
      </c>
      <c r="C104" s="9" t="n">
        <f aca="false">SUMIFS('Source 2025'!$Q:$Q,'Source 2025'!$B:$B,$A104,'Source 2025'!$A:$A,"Quantity (units)")</f>
        <v>246</v>
      </c>
      <c r="D104" s="9" t="n">
        <f aca="false">SUMIFS('Source 2026'!$Q:$Q,'Source 2026'!$B:$B,$A104,'Source 2026'!$A:$A,"Quantity (units)")</f>
        <v>155</v>
      </c>
      <c r="E104" s="9" t="n">
        <f aca="false">D104*$J$5</f>
        <v>195.789473684211</v>
      </c>
      <c r="F104" s="9" t="n">
        <f aca="false">E104-C104</f>
        <v>-50.2105263157895</v>
      </c>
      <c r="G104" s="13" t="n">
        <f aca="false">IF(AND(C104=0,E104=0),0,IF(C104=0,"New",(E104-C104)/C104))</f>
        <v>-0.20410783055199</v>
      </c>
      <c r="H104" s="9" t="n">
        <f aca="false">SUMIFS('Source 2025'!$Q:$Q,'Source 2025'!$B:$B,$A104,'Source 2025'!$A:$A,"Amount (NIS)")</f>
        <v>6998.3</v>
      </c>
      <c r="I104" s="9" t="n">
        <f aca="false">SUMIFS('Source 2026'!$Q:$Q,'Source 2026'!$B:$B,$A104,'Source 2026'!$A:$A,"Amount (NIS)")</f>
        <v>4476.9</v>
      </c>
      <c r="J104" s="9" t="n">
        <f aca="false">I104*$J$5</f>
        <v>5655.03157894737</v>
      </c>
      <c r="K104" s="9" t="n">
        <f aca="false">J104-H104</f>
        <v>-1343.26842105263</v>
      </c>
      <c r="L104" s="13" t="n">
        <f aca="false">IF(AND(H104=0,J104=0),0,IF(H104=0,"New",(J104-H104)/H104))</f>
        <v>-0.19194210323259</v>
      </c>
    </row>
    <row r="105" customFormat="false" ht="15" hidden="false" customHeight="true" outlineLevel="0" collapsed="false">
      <c r="A105" s="8" t="s">
        <v>332</v>
      </c>
      <c r="B105" s="8" t="str">
        <f aca="false">IFERROR(INDEX('Source 2026'!$C:$C,MATCH($A105,'Source 2026'!$B:$B,0)),IFERROR(INDEX('Source 2025'!$C:$C,MATCH($A105,'Source 2025'!$B:$B,0)),""))</f>
        <v>תחבושת אלסטית מקררת</v>
      </c>
      <c r="C105" s="9" t="n">
        <f aca="false">SUMIFS('Source 2025'!$Q:$Q,'Source 2025'!$B:$B,$A105,'Source 2025'!$A:$A,"Quantity (units)")</f>
        <v>283</v>
      </c>
      <c r="D105" s="9" t="n">
        <f aca="false">SUMIFS('Source 2026'!$Q:$Q,'Source 2026'!$B:$B,$A105,'Source 2026'!$A:$A,"Quantity (units)")</f>
        <v>428</v>
      </c>
      <c r="E105" s="9" t="n">
        <f aca="false">D105*$J$5</f>
        <v>540.631578947368</v>
      </c>
      <c r="F105" s="9" t="n">
        <f aca="false">E105-C105</f>
        <v>257.631578947368</v>
      </c>
      <c r="G105" s="13" t="n">
        <f aca="false">IF(AND(C105=0,E105=0),0,IF(C105=0,"New",(E105-C105)/C105))</f>
        <v>0.910358936209783</v>
      </c>
      <c r="H105" s="9" t="n">
        <f aca="false">SUMIFS('Source 2025'!$Q:$Q,'Source 2025'!$B:$B,$A105,'Source 2025'!$A:$A,"Amount (NIS)")</f>
        <v>4566.7</v>
      </c>
      <c r="I105" s="9" t="n">
        <f aca="false">SUMIFS('Source 2026'!$Q:$Q,'Source 2026'!$B:$B,$A105,'Source 2026'!$A:$A,"Amount (NIS)")</f>
        <v>7064.7</v>
      </c>
      <c r="J105" s="9" t="n">
        <f aca="false">I105*$J$5</f>
        <v>8923.83157894737</v>
      </c>
      <c r="K105" s="9" t="n">
        <f aca="false">J105-H105</f>
        <v>4357.13157894737</v>
      </c>
      <c r="L105" s="13" t="n">
        <f aca="false">IF(AND(H105=0,J105=0),0,IF(H105=0,"New",(J105-H105)/H105))</f>
        <v>0.954109439846578</v>
      </c>
    </row>
    <row r="106" customFormat="false" ht="15" hidden="false" customHeight="true" outlineLevel="0" collapsed="false">
      <c r="A106" s="8" t="s">
        <v>186</v>
      </c>
      <c r="B106" s="8" t="str">
        <f aca="false">IFERROR(INDEX('Source 2026'!$C:$C,MATCH($A106,'Source 2026'!$B:$B,0)),IFERROR(INDEX('Source 2025'!$C:$C,MATCH($A106,'Source 2025'!$B:$B,0)),""))</f>
        <v>נצמדת בז' 20 מ""מ</v>
      </c>
      <c r="C106" s="9" t="n">
        <f aca="false">SUMIFS('Source 2025'!$Q:$Q,'Source 2025'!$B:$B,$A106,'Source 2025'!$A:$A,"Quantity (units)")</f>
        <v>1235</v>
      </c>
      <c r="D106" s="9" t="n">
        <f aca="false">SUMIFS('Source 2026'!$Q:$Q,'Source 2026'!$B:$B,$A106,'Source 2026'!$A:$A,"Quantity (units)")</f>
        <v>988</v>
      </c>
      <c r="E106" s="9" t="n">
        <f aca="false">D106*$J$5</f>
        <v>1248</v>
      </c>
      <c r="F106" s="9" t="n">
        <f aca="false">E106-C106</f>
        <v>13</v>
      </c>
      <c r="G106" s="13" t="n">
        <f aca="false">IF(AND(C106=0,E106=0),0,IF(C106=0,"New",(E106-C106)/C106))</f>
        <v>0.0105263157894737</v>
      </c>
      <c r="H106" s="9" t="n">
        <f aca="false">SUMIFS('Source 2025'!$Q:$Q,'Source 2025'!$B:$B,$A106,'Source 2025'!$A:$A,"Amount (NIS)")</f>
        <v>12532.2</v>
      </c>
      <c r="I106" s="9" t="n">
        <f aca="false">SUMIFS('Source 2026'!$Q:$Q,'Source 2026'!$B:$B,$A106,'Source 2026'!$A:$A,"Amount (NIS)")</f>
        <v>10070.6</v>
      </c>
      <c r="J106" s="9" t="n">
        <f aca="false">I106*$J$5</f>
        <v>12720.7578947368</v>
      </c>
      <c r="K106" s="9" t="n">
        <f aca="false">J106-H106</f>
        <v>188.557894736841</v>
      </c>
      <c r="L106" s="13" t="n">
        <f aca="false">IF(AND(H106=0,J106=0),0,IF(H106=0,"New",(J106-H106)/H106))</f>
        <v>0.0150458734090456</v>
      </c>
    </row>
    <row r="107" customFormat="false" ht="15" hidden="false" customHeight="true" outlineLevel="0" collapsed="false">
      <c r="A107" s="8" t="s">
        <v>316</v>
      </c>
      <c r="B107" s="8" t="str">
        <f aca="false">IFERROR(INDEX('Source 2026'!$C:$C,MATCH($A107,'Source 2026'!$B:$B,0)),IFERROR(INDEX('Source 2025'!$C:$C,MATCH($A107,'Source 2025'!$B:$B,0)),""))</f>
        <v>11 אפורUG חגורת בטן</v>
      </c>
      <c r="C107" s="9" t="n">
        <f aca="false">SUMIFS('Source 2025'!$Q:$Q,'Source 2025'!$B:$B,$A107,'Source 2025'!$A:$A,"Quantity (units)")</f>
        <v>32</v>
      </c>
      <c r="D107" s="9" t="n">
        <f aca="false">SUMIFS('Source 2026'!$Q:$Q,'Source 2026'!$B:$B,$A107,'Source 2026'!$A:$A,"Quantity (units)")</f>
        <v>1</v>
      </c>
      <c r="E107" s="9" t="n">
        <f aca="false">D107*$J$5</f>
        <v>1.26315789473684</v>
      </c>
      <c r="F107" s="9" t="n">
        <f aca="false">E107-C107</f>
        <v>-30.7368421052632</v>
      </c>
      <c r="G107" s="13" t="n">
        <f aca="false">IF(AND(C107=0,E107=0),0,IF(C107=0,"New",(E107-C107)/C107))</f>
        <v>-0.960526315789474</v>
      </c>
      <c r="H107" s="9" t="n">
        <f aca="false">SUMIFS('Source 2025'!$Q:$Q,'Source 2025'!$B:$B,$A107,'Source 2025'!$A:$A,"Amount (NIS)")</f>
        <v>2549.6</v>
      </c>
      <c r="I107" s="9" t="n">
        <f aca="false">SUMIFS('Source 2026'!$Q:$Q,'Source 2026'!$B:$B,$A107,'Source 2026'!$A:$A,"Amount (NIS)")</f>
        <v>132.3</v>
      </c>
      <c r="J107" s="9" t="n">
        <f aca="false">I107*$J$5</f>
        <v>167.115789473684</v>
      </c>
      <c r="K107" s="9" t="n">
        <f aca="false">J107-H107</f>
        <v>-2382.48421052632</v>
      </c>
      <c r="L107" s="13" t="n">
        <f aca="false">IF(AND(H107=0,J107=0),0,IF(H107=0,"New",(J107-H107)/H107))</f>
        <v>-0.934454114577312</v>
      </c>
    </row>
    <row r="108" customFormat="false" ht="15" hidden="false" customHeight="true" outlineLevel="0" collapsed="false">
      <c r="A108" s="8" t="s">
        <v>232</v>
      </c>
      <c r="B108" s="8" t="str">
        <f aca="false">IFERROR(INDEX('Source 2026'!$C:$C,MATCH($A108,'Source 2026'!$B:$B,0)),IFERROR(INDEX('Source 2025'!$C:$C,MATCH($A108,'Source 2025'!$B:$B,0)),""))</f>
        <v>כפפות אגודל לחץ</v>
      </c>
      <c r="C108" s="9" t="n">
        <f aca="false">SUMIFS('Source 2025'!$Q:$Q,'Source 2025'!$B:$B,$A108,'Source 2025'!$A:$A,"Quantity (units)")</f>
        <v>419</v>
      </c>
      <c r="D108" s="9" t="n">
        <f aca="false">SUMIFS('Source 2026'!$Q:$Q,'Source 2026'!$B:$B,$A108,'Source 2026'!$A:$A,"Quantity (units)")</f>
        <v>324</v>
      </c>
      <c r="E108" s="9" t="n">
        <f aca="false">D108*$J$5</f>
        <v>409.263157894737</v>
      </c>
      <c r="F108" s="9" t="n">
        <f aca="false">E108-C108</f>
        <v>-9.73684210526318</v>
      </c>
      <c r="G108" s="13" t="n">
        <f aca="false">IF(AND(C108=0,E108=0),0,IF(C108=0,"New",(E108-C108)/C108))</f>
        <v>-0.0232382866474062</v>
      </c>
      <c r="H108" s="9" t="n">
        <f aca="false">SUMIFS('Source 2025'!$Q:$Q,'Source 2025'!$B:$B,$A108,'Source 2025'!$A:$A,"Amount (NIS)")</f>
        <v>11927.2</v>
      </c>
      <c r="I108" s="9" t="n">
        <f aca="false">SUMIFS('Source 2026'!$Q:$Q,'Source 2026'!$B:$B,$A108,'Source 2026'!$A:$A,"Amount (NIS)")</f>
        <v>9579</v>
      </c>
      <c r="J108" s="9" t="n">
        <f aca="false">I108*$J$5</f>
        <v>12099.7894736842</v>
      </c>
      <c r="K108" s="9" t="n">
        <f aca="false">J108-H108</f>
        <v>172.589473684209</v>
      </c>
      <c r="L108" s="13" t="n">
        <f aca="false">IF(AND(H108=0,J108=0),0,IF(H108=0,"New",(J108-H108)/H108))</f>
        <v>0.0144702422768302</v>
      </c>
    </row>
    <row r="109" customFormat="false" ht="15" hidden="false" customHeight="true" outlineLevel="0" collapsed="false">
      <c r="A109" s="8" t="s">
        <v>331</v>
      </c>
      <c r="B109" s="8" t="str">
        <f aca="false">IFERROR(INDEX('Source 2026'!$C:$C,MATCH($A109,'Source 2026'!$B:$B,0)),IFERROR(INDEX('Source 2025'!$C:$C,MATCH($A109,'Source 2025'!$B:$B,0)),""))</f>
        <v>S-M STRAP4U</v>
      </c>
      <c r="C109" s="9" t="n">
        <f aca="false">SUMIFS('Source 2025'!$Q:$Q,'Source 2025'!$B:$B,$A109,'Source 2025'!$A:$A,"Quantity (units)")</f>
        <v>95</v>
      </c>
      <c r="D109" s="9" t="n">
        <f aca="false">SUMIFS('Source 2026'!$Q:$Q,'Source 2026'!$B:$B,$A109,'Source 2026'!$A:$A,"Quantity (units)")</f>
        <v>-57</v>
      </c>
      <c r="E109" s="9" t="n">
        <f aca="false">D109*$J$5</f>
        <v>-72</v>
      </c>
      <c r="F109" s="9" t="n">
        <f aca="false">E109-C109</f>
        <v>-167</v>
      </c>
      <c r="G109" s="13" t="n">
        <f aca="false">IF(AND(C109=0,E109=0),0,IF(C109=0,"New",(E109-C109)/C109))</f>
        <v>-1.75789473684211</v>
      </c>
      <c r="H109" s="9" t="n">
        <f aca="false">SUMIFS('Source 2025'!$Q:$Q,'Source 2025'!$B:$B,$A109,'Source 2025'!$A:$A,"Amount (NIS)")</f>
        <v>1673</v>
      </c>
      <c r="I109" s="9" t="n">
        <f aca="false">SUMIFS('Source 2026'!$Q:$Q,'Source 2026'!$B:$B,$A109,'Source 2026'!$A:$A,"Amount (NIS)")</f>
        <v>-564.6</v>
      </c>
      <c r="J109" s="9" t="n">
        <f aca="false">I109*$J$5</f>
        <v>-713.178947368421</v>
      </c>
      <c r="K109" s="9" t="n">
        <f aca="false">J109-H109</f>
        <v>-2386.17894736842</v>
      </c>
      <c r="L109" s="13" t="n">
        <f aca="false">IF(AND(H109=0,J109=0),0,IF(H109=0,"New",(J109-H109)/H109))</f>
        <v>-1.42628747601221</v>
      </c>
    </row>
    <row r="110" customFormat="false" ht="15" hidden="false" customHeight="true" outlineLevel="0" collapsed="false">
      <c r="A110" s="8" t="s">
        <v>324</v>
      </c>
      <c r="B110" s="8" t="str">
        <f aca="false">IFERROR(INDEX('Source 2026'!$C:$C,MATCH($A110,'Source 2026'!$B:$B,0)),IFERROR(INDEX('Source 2025'!$C:$C,MATCH($A110,'Source 2025'!$B:$B,0)),""))</f>
        <v>ג.כסף לסכרתיים אפור35-38</v>
      </c>
      <c r="C110" s="9" t="n">
        <f aca="false">SUMIFS('Source 2025'!$Q:$Q,'Source 2025'!$B:$B,$A110,'Source 2025'!$A:$A,"Quantity (units)")</f>
        <v>74</v>
      </c>
      <c r="D110" s="9" t="n">
        <f aca="false">SUMIFS('Source 2026'!$Q:$Q,'Source 2026'!$B:$B,$A110,'Source 2026'!$A:$A,"Quantity (units)")</f>
        <v>1</v>
      </c>
      <c r="E110" s="9" t="n">
        <f aca="false">D110*$J$5</f>
        <v>1.26315789473684</v>
      </c>
      <c r="F110" s="9" t="n">
        <f aca="false">E110-C110</f>
        <v>-72.7368421052632</v>
      </c>
      <c r="G110" s="13" t="n">
        <f aca="false">IF(AND(C110=0,E110=0),0,IF(C110=0,"New",(E110-C110)/C110))</f>
        <v>-0.982930298719772</v>
      </c>
      <c r="H110" s="9" t="n">
        <f aca="false">SUMIFS('Source 2025'!$Q:$Q,'Source 2025'!$B:$B,$A110,'Source 2025'!$A:$A,"Amount (NIS)")</f>
        <v>2161.6</v>
      </c>
      <c r="I110" s="9" t="n">
        <f aca="false">SUMIFS('Source 2026'!$Q:$Q,'Source 2026'!$B:$B,$A110,'Source 2026'!$A:$A,"Amount (NIS)")</f>
        <v>35</v>
      </c>
      <c r="J110" s="9" t="n">
        <f aca="false">I110*$J$5</f>
        <v>44.2105263157895</v>
      </c>
      <c r="K110" s="9" t="n">
        <f aca="false">J110-H110</f>
        <v>-2117.38947368421</v>
      </c>
      <c r="L110" s="13" t="n">
        <f aca="false">IF(AND(H110=0,J110=0),0,IF(H110=0,"New",(J110-H110)/H110))</f>
        <v>-0.979547313880556</v>
      </c>
    </row>
    <row r="111" customFormat="false" ht="15" hidden="false" customHeight="true" outlineLevel="0" collapsed="false">
      <c r="A111" s="8" t="s">
        <v>190</v>
      </c>
      <c r="B111" s="8" t="str">
        <f aca="false">IFERROR(INDEX('Source 2026'!$C:$C,MATCH($A111,'Source 2026'!$B:$B,0)),IFERROR(INDEX('Source 2025'!$C:$C,MATCH($A111,'Source 2025'!$B:$B,0)),""))</f>
        <v>9 מ""ס להתאמהX5 מדבקה גדולה</v>
      </c>
      <c r="C111" s="9" t="n">
        <f aca="false">SUMIFS('Source 2025'!$Q:$Q,'Source 2025'!$B:$B,$A111,'Source 2025'!$A:$A,"Quantity (units)")</f>
        <v>208</v>
      </c>
      <c r="D111" s="9" t="n">
        <f aca="false">SUMIFS('Source 2026'!$Q:$Q,'Source 2026'!$B:$B,$A111,'Source 2026'!$A:$A,"Quantity (units)")</f>
        <v>102</v>
      </c>
      <c r="E111" s="9" t="n">
        <f aca="false">D111*$J$5</f>
        <v>128.842105263158</v>
      </c>
      <c r="F111" s="9" t="n">
        <f aca="false">E111-C111</f>
        <v>-79.1578947368421</v>
      </c>
      <c r="G111" s="13" t="n">
        <f aca="false">IF(AND(C111=0,E111=0),0,IF(C111=0,"New",(E111-C111)/C111))</f>
        <v>-0.380566801619433</v>
      </c>
      <c r="H111" s="9" t="n">
        <f aca="false">SUMIFS('Source 2025'!$Q:$Q,'Source 2025'!$B:$B,$A111,'Source 2025'!$A:$A,"Amount (NIS)")</f>
        <v>4120.4</v>
      </c>
      <c r="I111" s="9" t="n">
        <f aca="false">SUMIFS('Source 2026'!$Q:$Q,'Source 2026'!$B:$B,$A111,'Source 2026'!$A:$A,"Amount (NIS)")</f>
        <v>2001.2</v>
      </c>
      <c r="J111" s="9" t="n">
        <f aca="false">I111*$J$5</f>
        <v>2527.83157894737</v>
      </c>
      <c r="K111" s="9" t="n">
        <f aca="false">J111-H111</f>
        <v>-1592.56842105263</v>
      </c>
      <c r="L111" s="13" t="n">
        <f aca="false">IF(AND(H111=0,J111=0),0,IF(H111=0,"New",(J111-H111)/H111))</f>
        <v>-0.386508208196445</v>
      </c>
    </row>
    <row r="112" customFormat="false" ht="15" hidden="false" customHeight="true" outlineLevel="0" collapsed="false">
      <c r="A112" s="8" t="s">
        <v>245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9" t="n">
        <f aca="false">SUMIFS('Source 2025'!$Q:$Q,'Source 2025'!$B:$B,$A112,'Source 2025'!$A:$A,"Quantity (units)")</f>
        <v>199</v>
      </c>
      <c r="D112" s="9" t="n">
        <f aca="false">SUMIFS('Source 2026'!$Q:$Q,'Source 2026'!$B:$B,$A112,'Source 2026'!$A:$A,"Quantity (units)")</f>
        <v>101</v>
      </c>
      <c r="E112" s="9" t="n">
        <f aca="false">D112*$J$5</f>
        <v>127.578947368421</v>
      </c>
      <c r="F112" s="9" t="n">
        <f aca="false">E112-C112</f>
        <v>-71.421052631579</v>
      </c>
      <c r="G112" s="13" t="n">
        <f aca="false">IF(AND(C112=0,E112=0),0,IF(C112=0,"New",(E112-C112)/C112))</f>
        <v>-0.358899761967734</v>
      </c>
      <c r="H112" s="9" t="n">
        <f aca="false">SUMIFS('Source 2025'!$Q:$Q,'Source 2025'!$B:$B,$A112,'Source 2025'!$A:$A,"Amount (NIS)")</f>
        <v>4320.4</v>
      </c>
      <c r="I112" s="9" t="n">
        <f aca="false">SUMIFS('Source 2026'!$Q:$Q,'Source 2026'!$B:$B,$A112,'Source 2026'!$A:$A,"Amount (NIS)")</f>
        <v>2224.3</v>
      </c>
      <c r="J112" s="9" t="n">
        <f aca="false">I112*$J$5</f>
        <v>2809.64210526316</v>
      </c>
      <c r="K112" s="9" t="n">
        <f aca="false">J112-H112</f>
        <v>-1510.75789473684</v>
      </c>
      <c r="L112" s="13" t="n">
        <f aca="false">IF(AND(H112=0,J112=0),0,IF(H112=0,"New",(J112-H112)/H112))</f>
        <v>-0.349680097846691</v>
      </c>
    </row>
    <row r="113" customFormat="false" ht="15" hidden="false" customHeight="true" outlineLevel="0" collapsed="false">
      <c r="A113" s="8" t="s">
        <v>90</v>
      </c>
      <c r="B113" s="8" t="str">
        <f aca="false">IFERROR(INDEX('Source 2026'!$C:$C,MATCH($A113,'Source 2026'!$B:$B,0)),IFERROR(INDEX('Source 2025'!$C:$C,MATCH($A113,'Source 2025'!$B:$B,0)),""))</f>
        <v>תרסיס דאודורנט לכף הרגל</v>
      </c>
      <c r="C113" s="9" t="n">
        <f aca="false">SUMIFS('Source 2025'!$Q:$Q,'Source 2025'!$B:$B,$A113,'Source 2025'!$A:$A,"Quantity (units)")</f>
        <v>583</v>
      </c>
      <c r="D113" s="9" t="n">
        <f aca="false">SUMIFS('Source 2026'!$Q:$Q,'Source 2026'!$B:$B,$A113,'Source 2026'!$A:$A,"Quantity (units)")</f>
        <v>536</v>
      </c>
      <c r="E113" s="9" t="n">
        <f aca="false">D113*$J$5</f>
        <v>677.052631578947</v>
      </c>
      <c r="F113" s="9" t="n">
        <f aca="false">E113-C113</f>
        <v>94.0526315789473</v>
      </c>
      <c r="G113" s="13" t="n">
        <f aca="false">IF(AND(C113=0,E113=0),0,IF(C113=0,"New",(E113-C113)/C113))</f>
        <v>0.161325268574524</v>
      </c>
      <c r="H113" s="9" t="n">
        <f aca="false">SUMIFS('Source 2025'!$Q:$Q,'Source 2025'!$B:$B,$A113,'Source 2025'!$A:$A,"Amount (NIS)")</f>
        <v>12662</v>
      </c>
      <c r="I113" s="9" t="n">
        <f aca="false">SUMIFS('Source 2026'!$Q:$Q,'Source 2026'!$B:$B,$A113,'Source 2026'!$A:$A,"Amount (NIS)")</f>
        <v>10680.7</v>
      </c>
      <c r="J113" s="9" t="n">
        <f aca="false">I113*$J$5</f>
        <v>13491.4105263158</v>
      </c>
      <c r="K113" s="9" t="n">
        <f aca="false">J113-H113</f>
        <v>829.410526315789</v>
      </c>
      <c r="L113" s="13" t="n">
        <f aca="false">IF(AND(H113=0,J113=0),0,IF(H113=0,"New",(J113-H113)/H113))</f>
        <v>0.0655039114133462</v>
      </c>
    </row>
    <row r="114" customFormat="false" ht="15" hidden="false" customHeight="true" outlineLevel="0" collapsed="false">
      <c r="A114" s="8" t="s">
        <v>202</v>
      </c>
      <c r="B114" s="8" t="str">
        <f aca="false">IFERROR(INDEX('Source 2026'!$C:$C,MATCH($A114,'Source 2026'!$B:$B,0)),IFERROR(INDEX('Source 2025'!$C:$C,MATCH($A114,'Source 2025'!$B:$B,0)),""))</f>
        <v>לגבס קצר יד</v>
      </c>
      <c r="C114" s="9" t="n">
        <f aca="false">SUMIFS('Source 2025'!$Q:$Q,'Source 2025'!$B:$B,$A114,'Source 2025'!$A:$A,"Quantity (units)")</f>
        <v>1526</v>
      </c>
      <c r="D114" s="9" t="n">
        <f aca="false">SUMIFS('Source 2026'!$Q:$Q,'Source 2026'!$B:$B,$A114,'Source 2026'!$A:$A,"Quantity (units)")</f>
        <v>1595</v>
      </c>
      <c r="E114" s="9" t="n">
        <f aca="false">D114*$J$5</f>
        <v>2014.73684210526</v>
      </c>
      <c r="F114" s="9" t="n">
        <f aca="false">E114-C114</f>
        <v>488.736842105263</v>
      </c>
      <c r="G114" s="13" t="n">
        <f aca="false">IF(AND(C114=0,E114=0),0,IF(C114=0,"New",(E114-C114)/C114))</f>
        <v>0.32027315996413</v>
      </c>
      <c r="H114" s="9" t="n">
        <f aca="false">SUMIFS('Source 2025'!$Q:$Q,'Source 2025'!$B:$B,$A114,'Source 2025'!$A:$A,"Amount (NIS)")</f>
        <v>50607.4</v>
      </c>
      <c r="I114" s="9" t="n">
        <f aca="false">SUMIFS('Source 2026'!$Q:$Q,'Source 2026'!$B:$B,$A114,'Source 2026'!$A:$A,"Amount (NIS)")</f>
        <v>52502.9</v>
      </c>
      <c r="J114" s="9" t="n">
        <f aca="false">I114*$J$5</f>
        <v>66319.4526315789</v>
      </c>
      <c r="K114" s="9" t="n">
        <f aca="false">J114-H114</f>
        <v>15712.0526315789</v>
      </c>
      <c r="L114" s="13" t="n">
        <f aca="false">IF(AND(H114=0,J114=0),0,IF(H114=0,"New",(J114-H114)/H114))</f>
        <v>0.3104694695159</v>
      </c>
    </row>
    <row r="115" customFormat="false" ht="15" hidden="false" customHeight="true" outlineLevel="0" collapsed="false">
      <c r="A115" s="8" t="s">
        <v>238</v>
      </c>
      <c r="B115" s="8" t="str">
        <f aca="false">IFERROR(INDEX('Source 2026'!$C:$C,MATCH($A115,'Source 2026'!$B:$B,0)),IFERROR(INDEX('Source 2025'!$C:$C,MATCH($A115,'Source 2025'!$B:$B,0)),""))</f>
        <v>מפריד הלוקס</v>
      </c>
      <c r="C115" s="9" t="n">
        <f aca="false">SUMIFS('Source 2025'!$Q:$Q,'Source 2025'!$B:$B,$A115,'Source 2025'!$A:$A,"Quantity (units)")</f>
        <v>106</v>
      </c>
      <c r="D115" s="9" t="n">
        <f aca="false">SUMIFS('Source 2026'!$Q:$Q,'Source 2026'!$B:$B,$A115,'Source 2026'!$A:$A,"Quantity (units)")</f>
        <v>57</v>
      </c>
      <c r="E115" s="9" t="n">
        <f aca="false">D115*$J$5</f>
        <v>72</v>
      </c>
      <c r="F115" s="9" t="n">
        <f aca="false">E115-C115</f>
        <v>-34</v>
      </c>
      <c r="G115" s="13" t="n">
        <f aca="false">IF(AND(C115=0,E115=0),0,IF(C115=0,"New",(E115-C115)/C115))</f>
        <v>-0.320754716981132</v>
      </c>
      <c r="H115" s="9" t="n">
        <f aca="false">SUMIFS('Source 2025'!$Q:$Q,'Source 2025'!$B:$B,$A115,'Source 2025'!$A:$A,"Amount (NIS)")</f>
        <v>4298.2</v>
      </c>
      <c r="I115" s="9" t="n">
        <f aca="false">SUMIFS('Source 2026'!$Q:$Q,'Source 2026'!$B:$B,$A115,'Source 2026'!$A:$A,"Amount (NIS)")</f>
        <v>2453.1</v>
      </c>
      <c r="J115" s="9" t="n">
        <f aca="false">I115*$J$5</f>
        <v>3098.65263157895</v>
      </c>
      <c r="K115" s="9" t="n">
        <f aca="false">J115-H115</f>
        <v>-1199.54736842105</v>
      </c>
      <c r="L115" s="13" t="n">
        <f aca="false">IF(AND(H115=0,J115=0),0,IF(H115=0,"New",(J115-H115)/H115))</f>
        <v>-0.279081329026349</v>
      </c>
    </row>
    <row r="116" customFormat="false" ht="15" hidden="false" customHeight="true" outlineLevel="0" collapsed="false">
      <c r="A116" s="8" t="s">
        <v>241</v>
      </c>
      <c r="B116" s="8" t="str">
        <f aca="false">IFERROR(INDEX('Source 2026'!$C:$C,MATCH($A116,'Source 2026'!$B:$B,0)),IFERROR(INDEX('Source 2025'!$C:$C,MATCH($A116,'Source 2025'!$B:$B,0)),""))</f>
        <v>כפפות לחץ</v>
      </c>
      <c r="C116" s="9" t="n">
        <f aca="false">SUMIFS('Source 2025'!$Q:$Q,'Source 2025'!$B:$B,$A116,'Source 2025'!$A:$A,"Quantity (units)")</f>
        <v>180</v>
      </c>
      <c r="D116" s="9" t="n">
        <f aca="false">SUMIFS('Source 2026'!$Q:$Q,'Source 2026'!$B:$B,$A116,'Source 2026'!$A:$A,"Quantity (units)")</f>
        <v>113</v>
      </c>
      <c r="E116" s="9" t="n">
        <f aca="false">D116*$J$5</f>
        <v>142.736842105263</v>
      </c>
      <c r="F116" s="9" t="n">
        <f aca="false">E116-C116</f>
        <v>-37.2631578947369</v>
      </c>
      <c r="G116" s="13" t="n">
        <f aca="false">IF(AND(C116=0,E116=0),0,IF(C116=0,"New",(E116-C116)/C116))</f>
        <v>-0.207017543859649</v>
      </c>
      <c r="H116" s="9" t="n">
        <f aca="false">SUMIFS('Source 2025'!$Q:$Q,'Source 2025'!$B:$B,$A116,'Source 2025'!$A:$A,"Amount (NIS)")</f>
        <v>5113.7</v>
      </c>
      <c r="I116" s="9" t="n">
        <f aca="false">SUMIFS('Source 2026'!$Q:$Q,'Source 2026'!$B:$B,$A116,'Source 2026'!$A:$A,"Amount (NIS)")</f>
        <v>3300.4</v>
      </c>
      <c r="J116" s="9" t="n">
        <f aca="false">I116*$J$5</f>
        <v>4168.92631578947</v>
      </c>
      <c r="K116" s="9" t="n">
        <f aca="false">J116-H116</f>
        <v>-944.773684210526</v>
      </c>
      <c r="L116" s="13" t="n">
        <f aca="false">IF(AND(H116=0,J116=0),0,IF(H116=0,"New",(J116-H116)/H116))</f>
        <v>-0.184753443536094</v>
      </c>
    </row>
    <row r="117" customFormat="false" ht="15" hidden="false" customHeight="true" outlineLevel="0" collapsed="false">
      <c r="A117" s="8" t="s">
        <v>233</v>
      </c>
      <c r="B117" s="8" t="str">
        <f aca="false">IFERROR(INDEX('Source 2026'!$C:$C,MATCH($A117,'Source 2026'!$B:$B,0)),IFERROR(INDEX('Source 2025'!$C:$C,MATCH($A117,'Source 2025'!$B:$B,0)),""))</f>
        <v>0 כרית חום וקור</v>
      </c>
      <c r="C117" s="9" t="n">
        <f aca="false">SUMIFS('Source 2025'!$Q:$Q,'Source 2025'!$B:$B,$A117,'Source 2025'!$A:$A,"Quantity (units)")</f>
        <v>21</v>
      </c>
      <c r="D117" s="9" t="n">
        <f aca="false">SUMIFS('Source 2026'!$Q:$Q,'Source 2026'!$B:$B,$A117,'Source 2026'!$A:$A,"Quantity (units)")</f>
        <v>67</v>
      </c>
      <c r="E117" s="9" t="n">
        <f aca="false">D117*$J$5</f>
        <v>84.6315789473684</v>
      </c>
      <c r="F117" s="9" t="n">
        <f aca="false">E117-C117</f>
        <v>63.6315789473684</v>
      </c>
      <c r="G117" s="13" t="n">
        <f aca="false">IF(AND(C117=0,E117=0),0,IF(C117=0,"New",(E117-C117)/C117))</f>
        <v>3.03007518796992</v>
      </c>
      <c r="H117" s="9" t="n">
        <f aca="false">SUMIFS('Source 2025'!$Q:$Q,'Source 2025'!$B:$B,$A117,'Source 2025'!$A:$A,"Amount (NIS)")</f>
        <v>826.4</v>
      </c>
      <c r="I117" s="9" t="n">
        <f aca="false">SUMIFS('Source 2026'!$Q:$Q,'Source 2026'!$B:$B,$A117,'Source 2026'!$A:$A,"Amount (NIS)")</f>
        <v>2616.2</v>
      </c>
      <c r="J117" s="9" t="n">
        <f aca="false">I117*$J$5</f>
        <v>3304.67368421053</v>
      </c>
      <c r="K117" s="9" t="n">
        <f aca="false">J117-H117</f>
        <v>2478.27368421053</v>
      </c>
      <c r="L117" s="13" t="n">
        <f aca="false">IF(AND(H117=0,J117=0),0,IF(H117=0,"New",(J117-H117)/H117))</f>
        <v>2.99887909512406</v>
      </c>
    </row>
    <row r="118" customFormat="false" ht="15" hidden="false" customHeight="true" outlineLevel="0" collapsed="false">
      <c r="A118" s="8" t="s">
        <v>174</v>
      </c>
      <c r="B118" s="8" t="str">
        <f aca="false">IFERROR(INDEX('Source 2026'!$C:$C,MATCH($A118,'Source 2026'!$B:$B,0)),IFERROR(INDEX('Source 2025'!$C:$C,MATCH($A118,'Source 2025'!$B:$B,0)),""))</f>
        <v>סד לאגודל</v>
      </c>
      <c r="C118" s="9" t="n">
        <f aca="false">SUMIFS('Source 2025'!$Q:$Q,'Source 2025'!$B:$B,$A118,'Source 2025'!$A:$A,"Quantity (units)")</f>
        <v>145</v>
      </c>
      <c r="D118" s="9" t="n">
        <f aca="false">SUMIFS('Source 2026'!$Q:$Q,'Source 2026'!$B:$B,$A118,'Source 2026'!$A:$A,"Quantity (units)")</f>
        <v>128</v>
      </c>
      <c r="E118" s="9" t="n">
        <f aca="false">D118*$J$5</f>
        <v>161.684210526316</v>
      </c>
      <c r="F118" s="9" t="n">
        <f aca="false">E118-C118</f>
        <v>16.6842105263158</v>
      </c>
      <c r="G118" s="13" t="n">
        <f aca="false">IF(AND(C118=0,E118=0),0,IF(C118=0,"New",(E118-C118)/C118))</f>
        <v>0.115063520871143</v>
      </c>
      <c r="H118" s="9" t="n">
        <f aca="false">SUMIFS('Source 2025'!$Q:$Q,'Source 2025'!$B:$B,$A118,'Source 2025'!$A:$A,"Amount (NIS)")</f>
        <v>14778.5</v>
      </c>
      <c r="I118" s="9" t="n">
        <f aca="false">SUMIFS('Source 2026'!$Q:$Q,'Source 2026'!$B:$B,$A118,'Source 2026'!$A:$A,"Amount (NIS)")</f>
        <v>13023.1</v>
      </c>
      <c r="J118" s="9" t="n">
        <f aca="false">I118*$J$5</f>
        <v>16450.2315789474</v>
      </c>
      <c r="K118" s="9" t="n">
        <f aca="false">J118-H118</f>
        <v>1671.73157894737</v>
      </c>
      <c r="L118" s="13" t="n">
        <f aca="false">IF(AND(H118=0,J118=0),0,IF(H118=0,"New",(J118-H118)/H118))</f>
        <v>0.113119164931987</v>
      </c>
    </row>
    <row r="119" customFormat="false" ht="15" hidden="false" customHeight="true" outlineLevel="0" collapsed="false">
      <c r="A119" s="8" t="s">
        <v>300</v>
      </c>
      <c r="B119" s="8" t="str">
        <f aca="false">IFERROR(INDEX('Source 2026'!$C:$C,MATCH($A119,'Source 2026'!$B:$B,0)),IFERROR(INDEX('Source 2025'!$C:$C,MATCH($A119,'Source 2025'!$B:$B,0)),""))</f>
        <v>S מגן קרסול שמאל</v>
      </c>
      <c r="C119" s="9" t="n">
        <f aca="false">SUMIFS('Source 2025'!$Q:$Q,'Source 2025'!$B:$B,$A119,'Source 2025'!$A:$A,"Quantity (units)")</f>
        <v>48</v>
      </c>
      <c r="D119" s="9" t="n">
        <f aca="false">SUMIFS('Source 2026'!$Q:$Q,'Source 2026'!$B:$B,$A119,'Source 2026'!$A:$A,"Quantity (units)")</f>
        <v>24</v>
      </c>
      <c r="E119" s="9" t="n">
        <f aca="false">D119*$J$5</f>
        <v>30.3157894736842</v>
      </c>
      <c r="F119" s="9" t="n">
        <f aca="false">E119-C119</f>
        <v>-17.6842105263158</v>
      </c>
      <c r="G119" s="13" t="n">
        <f aca="false">IF(AND(C119=0,E119=0),0,IF(C119=0,"New",(E119-C119)/C119))</f>
        <v>-0.368421052631579</v>
      </c>
      <c r="H119" s="9" t="n">
        <f aca="false">SUMIFS('Source 2025'!$Q:$Q,'Source 2025'!$B:$B,$A119,'Source 2025'!$A:$A,"Amount (NIS)")</f>
        <v>3556.9</v>
      </c>
      <c r="I119" s="9" t="n">
        <f aca="false">SUMIFS('Source 2026'!$Q:$Q,'Source 2026'!$B:$B,$A119,'Source 2026'!$A:$A,"Amount (NIS)")</f>
        <v>1803.2</v>
      </c>
      <c r="J119" s="9" t="n">
        <f aca="false">I119*$J$5</f>
        <v>2277.72631578947</v>
      </c>
      <c r="K119" s="9" t="n">
        <f aca="false">J119-H119</f>
        <v>-1279.17368421053</v>
      </c>
      <c r="L119" s="13" t="n">
        <f aca="false">IF(AND(H119=0,J119=0),0,IF(H119=0,"New",(J119-H119)/H119))</f>
        <v>-0.359631612980552</v>
      </c>
    </row>
    <row r="120" customFormat="false" ht="15" hidden="false" customHeight="true" outlineLevel="0" collapsed="false">
      <c r="A120" s="8" t="s">
        <v>165</v>
      </c>
      <c r="B120" s="8" t="str">
        <f aca="false">IFERROR(INDEX('Source 2026'!$C:$C,MATCH($A120,'Source 2026'!$B:$B,0)),IFERROR(INDEX('Source 2025'!$C:$C,MATCH($A120,'Source 2025'!$B:$B,0)),""))</f>
        <v>L-XL חגורת הריון</v>
      </c>
      <c r="C120" s="9" t="n">
        <f aca="false">SUMIFS('Source 2025'!$Q:$Q,'Source 2025'!$B:$B,$A120,'Source 2025'!$A:$A,"Quantity (units)")</f>
        <v>62</v>
      </c>
      <c r="D120" s="9" t="n">
        <f aca="false">SUMIFS('Source 2026'!$Q:$Q,'Source 2026'!$B:$B,$A120,'Source 2026'!$A:$A,"Quantity (units)")</f>
        <v>44</v>
      </c>
      <c r="E120" s="9" t="n">
        <f aca="false">D120*$J$5</f>
        <v>55.5789473684211</v>
      </c>
      <c r="F120" s="9" t="n">
        <f aca="false">E120-C120</f>
        <v>-6.42105263157895</v>
      </c>
      <c r="G120" s="13" t="n">
        <f aca="false">IF(AND(C120=0,E120=0),0,IF(C120=0,"New",(E120-C120)/C120))</f>
        <v>-0.103565365025467</v>
      </c>
      <c r="H120" s="9" t="n">
        <f aca="false">SUMIFS('Source 2025'!$Q:$Q,'Source 2025'!$B:$B,$A120,'Source 2025'!$A:$A,"Amount (NIS)")</f>
        <v>6256.2</v>
      </c>
      <c r="I120" s="9" t="n">
        <f aca="false">SUMIFS('Source 2026'!$Q:$Q,'Source 2026'!$B:$B,$A120,'Source 2026'!$A:$A,"Amount (NIS)")</f>
        <v>4505</v>
      </c>
      <c r="J120" s="9" t="n">
        <f aca="false">I120*$J$5</f>
        <v>5690.52631578947</v>
      </c>
      <c r="K120" s="9" t="n">
        <f aca="false">J120-H120</f>
        <v>-565.673684210527</v>
      </c>
      <c r="L120" s="13" t="n">
        <f aca="false">IF(AND(H120=0,J120=0),0,IF(H120=0,"New",(J120-H120)/H120))</f>
        <v>-0.0904180947237183</v>
      </c>
    </row>
    <row r="121" customFormat="false" ht="15" hidden="false" customHeight="true" outlineLevel="0" collapsed="false">
      <c r="A121" s="8" t="s">
        <v>223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2025'!$Q:$Q,'Source 2025'!$B:$B,$A121,'Source 2025'!$A:$A,"Quantity (units)")</f>
        <v>28</v>
      </c>
      <c r="D121" s="9" t="n">
        <f aca="false">SUMIFS('Source 2026'!$Q:$Q,'Source 2026'!$B:$B,$A121,'Source 2026'!$A:$A,"Quantity (units)")</f>
        <v>8</v>
      </c>
      <c r="E121" s="9" t="n">
        <f aca="false">D121*$J$5</f>
        <v>10.1052631578947</v>
      </c>
      <c r="F121" s="9" t="n">
        <f aca="false">E121-C121</f>
        <v>-17.8947368421053</v>
      </c>
      <c r="G121" s="13" t="n">
        <f aca="false">IF(AND(C121=0,E121=0),0,IF(C121=0,"New",(E121-C121)/C121))</f>
        <v>-0.639097744360902</v>
      </c>
      <c r="H121" s="9" t="n">
        <f aca="false">SUMIFS('Source 2025'!$Q:$Q,'Source 2025'!$B:$B,$A121,'Source 2025'!$A:$A,"Amount (NIS)")</f>
        <v>2272.7</v>
      </c>
      <c r="I121" s="9" t="n">
        <f aca="false">SUMIFS('Source 2026'!$Q:$Q,'Source 2026'!$B:$B,$A121,'Source 2026'!$A:$A,"Amount (NIS)")</f>
        <v>647.1</v>
      </c>
      <c r="J121" s="9" t="n">
        <f aca="false">I121*$J$5</f>
        <v>817.389473684211</v>
      </c>
      <c r="K121" s="9" t="n">
        <f aca="false">J121-H121</f>
        <v>-1455.31052631579</v>
      </c>
      <c r="L121" s="13" t="n">
        <f aca="false">IF(AND(H121=0,J121=0),0,IF(H121=0,"New",(J121-H121)/H121))</f>
        <v>-0.640344315710736</v>
      </c>
    </row>
    <row r="122" customFormat="false" ht="15" hidden="false" customHeight="true" outlineLevel="0" collapsed="false">
      <c r="A122" s="8" t="s">
        <v>184</v>
      </c>
      <c r="B122" s="8" t="str">
        <f aca="false">IFERROR(INDEX('Source 2026'!$C:$C,MATCH($A122,'Source 2026'!$B:$B,0)),IFERROR(INDEX('Source 2025'!$C:$C,MATCH($A122,'Source 2025'!$B:$B,0)),""))</f>
        <v>S-M סד לאגודל</v>
      </c>
      <c r="C122" s="9" t="n">
        <f aca="false">SUMIFS('Source 2025'!$Q:$Q,'Source 2025'!$B:$B,$A122,'Source 2025'!$A:$A,"Quantity (units)")</f>
        <v>2213</v>
      </c>
      <c r="D122" s="9" t="n">
        <f aca="false">SUMIFS('Source 2026'!$Q:$Q,'Source 2026'!$B:$B,$A122,'Source 2026'!$A:$A,"Quantity (units)")</f>
        <v>2170</v>
      </c>
      <c r="E122" s="9" t="n">
        <f aca="false">D122*$J$5</f>
        <v>2741.05263157895</v>
      </c>
      <c r="F122" s="9" t="n">
        <f aca="false">E122-C122</f>
        <v>528.052631578947</v>
      </c>
      <c r="G122" s="13" t="n">
        <f aca="false">IF(AND(C122=0,E122=0),0,IF(C122=0,"New",(E122-C122)/C122))</f>
        <v>0.238613932028444</v>
      </c>
      <c r="H122" s="9" t="n">
        <f aca="false">SUMIFS('Source 2025'!$Q:$Q,'Source 2025'!$B:$B,$A122,'Source 2025'!$A:$A,"Amount (NIS)")</f>
        <v>129432.9</v>
      </c>
      <c r="I122" s="9" t="n">
        <f aca="false">SUMIFS('Source 2026'!$Q:$Q,'Source 2026'!$B:$B,$A122,'Source 2026'!$A:$A,"Amount (NIS)")</f>
        <v>127810.9</v>
      </c>
      <c r="J122" s="9" t="n">
        <f aca="false">I122*$J$5</f>
        <v>161445.347368421</v>
      </c>
      <c r="K122" s="9" t="n">
        <f aca="false">J122-H122</f>
        <v>32012.447368421</v>
      </c>
      <c r="L122" s="13" t="n">
        <f aca="false">IF(AND(H122=0,J122=0),0,IF(H122=0,"New",(J122-H122)/H122))</f>
        <v>0.247328518239343</v>
      </c>
    </row>
    <row r="123" customFormat="false" ht="15" hidden="false" customHeight="true" outlineLevel="0" collapsed="false">
      <c r="A123" s="8" t="s">
        <v>236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9" t="n">
        <f aca="false">SUMIFS('Source 2025'!$Q:$Q,'Source 2025'!$B:$B,$A123,'Source 2025'!$A:$A,"Quantity (units)")</f>
        <v>244</v>
      </c>
      <c r="D123" s="9" t="n">
        <f aca="false">SUMIFS('Source 2026'!$Q:$Q,'Source 2026'!$B:$B,$A123,'Source 2026'!$A:$A,"Quantity (units)")</f>
        <v>183</v>
      </c>
      <c r="E123" s="9" t="n">
        <f aca="false">D123*$J$5</f>
        <v>231.157894736842</v>
      </c>
      <c r="F123" s="9" t="n">
        <f aca="false">E123-C123</f>
        <v>-12.8421052631579</v>
      </c>
      <c r="G123" s="13" t="n">
        <f aca="false">IF(AND(C123=0,E123=0),0,IF(C123=0,"New",(E123-C123)/C123))</f>
        <v>-0.0526315789473685</v>
      </c>
      <c r="H123" s="9" t="n">
        <f aca="false">SUMIFS('Source 2025'!$Q:$Q,'Source 2025'!$B:$B,$A123,'Source 2025'!$A:$A,"Amount (NIS)")</f>
        <v>6942.4</v>
      </c>
      <c r="I123" s="9" t="n">
        <f aca="false">SUMIFS('Source 2026'!$Q:$Q,'Source 2026'!$B:$B,$A123,'Source 2026'!$A:$A,"Amount (NIS)")</f>
        <v>5400.6</v>
      </c>
      <c r="J123" s="9" t="n">
        <f aca="false">I123*$J$5</f>
        <v>6821.81052631579</v>
      </c>
      <c r="K123" s="9" t="n">
        <f aca="false">J123-H123</f>
        <v>-120.58947368421</v>
      </c>
      <c r="L123" s="13" t="n">
        <f aca="false">IF(AND(H123=0,J123=0),0,IF(H123=0,"New",(J123-H123)/H123))</f>
        <v>-0.0173699979379192</v>
      </c>
    </row>
    <row r="124" customFormat="false" ht="15" hidden="false" customHeight="true" outlineLevel="0" collapsed="false">
      <c r="A124" s="8" t="s">
        <v>221</v>
      </c>
      <c r="B124" s="8" t="str">
        <f aca="false">IFERROR(INDEX('Source 2026'!$C:$C,MATCH($A124,'Source 2026'!$B:$B,0)),IFERROR(INDEX('Source 2025'!$C:$C,MATCH($A124,'Source 2025'!$B:$B,0)),""))</f>
        <v>0 חגורה למנותחי בית חזה</v>
      </c>
      <c r="C124" s="9" t="n">
        <f aca="false">SUMIFS('Source 2025'!$Q:$Q,'Source 2025'!$B:$B,$A124,'Source 2025'!$A:$A,"Quantity (units)")</f>
        <v>2</v>
      </c>
      <c r="D124" s="9" t="n">
        <f aca="false">SUMIFS('Source 2026'!$Q:$Q,'Source 2026'!$B:$B,$A124,'Source 2026'!$A:$A,"Quantity (units)")</f>
        <v>11</v>
      </c>
      <c r="E124" s="9" t="n">
        <f aca="false">D124*$J$5</f>
        <v>13.8947368421053</v>
      </c>
      <c r="F124" s="9" t="n">
        <f aca="false">E124-C124</f>
        <v>11.8947368421053</v>
      </c>
      <c r="G124" s="13" t="n">
        <f aca="false">IF(AND(C124=0,E124=0),0,IF(C124=0,"New",(E124-C124)/C124))</f>
        <v>5.94736842105263</v>
      </c>
      <c r="H124" s="9" t="n">
        <f aca="false">SUMIFS('Source 2025'!$Q:$Q,'Source 2025'!$B:$B,$A124,'Source 2025'!$A:$A,"Amount (NIS)")</f>
        <v>442.1</v>
      </c>
      <c r="I124" s="9" t="n">
        <f aca="false">SUMIFS('Source 2026'!$Q:$Q,'Source 2026'!$B:$B,$A124,'Source 2026'!$A:$A,"Amount (NIS)")</f>
        <v>1896.4</v>
      </c>
      <c r="J124" s="9" t="n">
        <f aca="false">I124*$J$5</f>
        <v>2395.45263157895</v>
      </c>
      <c r="K124" s="9" t="n">
        <f aca="false">J124-H124</f>
        <v>1953.35263157895</v>
      </c>
      <c r="L124" s="13" t="n">
        <f aca="false">IF(AND(H124=0,J124=0),0,IF(H124=0,"New",(J124-H124)/H124))</f>
        <v>4.41835021845498</v>
      </c>
    </row>
    <row r="125" customFormat="false" ht="15" hidden="false" customHeight="true" outlineLevel="0" collapsed="false">
      <c r="A125" s="8" t="s">
        <v>158</v>
      </c>
      <c r="B125" s="8" t="str">
        <f aca="false">IFERROR(INDEX('Source 2026'!$C:$C,MATCH($A125,'Source 2026'!$B:$B,0)),IFERROR(INDEX('Source 2025'!$C:$C,MATCH($A125,'Source 2025'!$B:$B,0)),""))</f>
        <v>כרית ליישור אצבע פטיש</v>
      </c>
      <c r="C125" s="9" t="n">
        <f aca="false">SUMIFS('Source 2025'!$Q:$Q,'Source 2025'!$B:$B,$A125,'Source 2025'!$A:$A,"Quantity (units)")</f>
        <v>235</v>
      </c>
      <c r="D125" s="9" t="n">
        <f aca="false">SUMIFS('Source 2026'!$Q:$Q,'Source 2026'!$B:$B,$A125,'Source 2026'!$A:$A,"Quantity (units)")</f>
        <v>177</v>
      </c>
      <c r="E125" s="9" t="n">
        <f aca="false">D125*$J$5</f>
        <v>223.578947368421</v>
      </c>
      <c r="F125" s="9" t="n">
        <f aca="false">E125-C125</f>
        <v>-11.421052631579</v>
      </c>
      <c r="G125" s="13" t="n">
        <f aca="false">IF(AND(C125=0,E125=0),0,IF(C125=0,"New",(E125-C125)/C125))</f>
        <v>-0.0486002239641658</v>
      </c>
      <c r="H125" s="9" t="n">
        <f aca="false">SUMIFS('Source 2025'!$Q:$Q,'Source 2025'!$B:$B,$A125,'Source 2025'!$A:$A,"Amount (NIS)")</f>
        <v>5701.6</v>
      </c>
      <c r="I125" s="9" t="n">
        <f aca="false">SUMIFS('Source 2026'!$Q:$Q,'Source 2026'!$B:$B,$A125,'Source 2026'!$A:$A,"Amount (NIS)")</f>
        <v>4296.7</v>
      </c>
      <c r="J125" s="9" t="n">
        <f aca="false">I125*$J$5</f>
        <v>5427.41052631579</v>
      </c>
      <c r="K125" s="9" t="n">
        <f aca="false">J125-H125</f>
        <v>-274.189473684211</v>
      </c>
      <c r="L125" s="13" t="n">
        <f aca="false">IF(AND(H125=0,J125=0),0,IF(H125=0,"New",(J125-H125)/H125))</f>
        <v>-0.0480899175116128</v>
      </c>
    </row>
    <row r="126" customFormat="false" ht="15" hidden="false" customHeight="true" outlineLevel="0" collapsed="false">
      <c r="A126" s="8" t="s">
        <v>138</v>
      </c>
      <c r="B126" s="8" t="str">
        <f aca="false">IFERROR(INDEX('Source 2026'!$C:$C,MATCH($A126,'Source 2026'!$B:$B,0)),IFERROR(INDEX('Source 2025'!$C:$C,MATCH($A126,'Source 2025'!$B:$B,0)),""))</f>
        <v>גרבי ג'ל לריכוך עור העקב</v>
      </c>
      <c r="C126" s="9" t="n">
        <f aca="false">SUMIFS('Source 2025'!$Q:$Q,'Source 2025'!$B:$B,$A126,'Source 2025'!$A:$A,"Quantity (units)")</f>
        <v>111</v>
      </c>
      <c r="D126" s="9" t="n">
        <f aca="false">SUMIFS('Source 2026'!$Q:$Q,'Source 2026'!$B:$B,$A126,'Source 2026'!$A:$A,"Quantity (units)")</f>
        <v>62</v>
      </c>
      <c r="E126" s="9" t="n">
        <f aca="false">D126*$J$5</f>
        <v>78.3157894736842</v>
      </c>
      <c r="F126" s="9" t="n">
        <f aca="false">E126-C126</f>
        <v>-32.6842105263158</v>
      </c>
      <c r="G126" s="13" t="n">
        <f aca="false">IF(AND(C126=0,E126=0),0,IF(C126=0,"New",(E126-C126)/C126))</f>
        <v>-0.294452347083926</v>
      </c>
      <c r="H126" s="9" t="n">
        <f aca="false">SUMIFS('Source 2025'!$Q:$Q,'Source 2025'!$B:$B,$A126,'Source 2025'!$A:$A,"Amount (NIS)")</f>
        <v>3384.7</v>
      </c>
      <c r="I126" s="9" t="n">
        <f aca="false">SUMIFS('Source 2026'!$Q:$Q,'Source 2026'!$B:$B,$A126,'Source 2026'!$A:$A,"Amount (NIS)")</f>
        <v>1987</v>
      </c>
      <c r="J126" s="9" t="n">
        <f aca="false">I126*$J$5</f>
        <v>2509.89473684211</v>
      </c>
      <c r="K126" s="9" t="n">
        <f aca="false">J126-H126</f>
        <v>-874.805263157895</v>
      </c>
      <c r="L126" s="13" t="n">
        <f aca="false">IF(AND(H126=0,J126=0),0,IF(H126=0,"New",(J126-H126)/H126))</f>
        <v>-0.258458729919312</v>
      </c>
    </row>
    <row r="127" customFormat="false" ht="15" hidden="false" customHeight="true" outlineLevel="0" collapsed="false">
      <c r="A127" s="8" t="s">
        <v>303</v>
      </c>
      <c r="B127" s="8" t="str">
        <f aca="false">IFERROR(INDEX('Source 2026'!$C:$C,MATCH($A127,'Source 2026'!$B:$B,0)),IFERROR(INDEX('Source 2025'!$C:$C,MATCH($A127,'Source 2025'!$B:$B,0)),""))</f>
        <v>קיבוע לאצבע הדק</v>
      </c>
      <c r="C127" s="9" t="n">
        <f aca="false">SUMIFS('Source 2025'!$Q:$Q,'Source 2025'!$B:$B,$A127,'Source 2025'!$A:$A,"Quantity (units)")</f>
        <v>217</v>
      </c>
      <c r="D127" s="9" t="n">
        <f aca="false">SUMIFS('Source 2026'!$Q:$Q,'Source 2026'!$B:$B,$A127,'Source 2026'!$A:$A,"Quantity (units)")</f>
        <v>158</v>
      </c>
      <c r="E127" s="9" t="n">
        <f aca="false">D127*$J$5</f>
        <v>199.578947368421</v>
      </c>
      <c r="F127" s="9" t="n">
        <f aca="false">E127-C127</f>
        <v>-17.421052631579</v>
      </c>
      <c r="G127" s="13" t="n">
        <f aca="false">IF(AND(C127=0,E127=0),0,IF(C127=0,"New",(E127-C127)/C127))</f>
        <v>-0.0802813485326219</v>
      </c>
      <c r="H127" s="9" t="n">
        <f aca="false">SUMIFS('Source 2025'!$Q:$Q,'Source 2025'!$B:$B,$A127,'Source 2025'!$A:$A,"Amount (NIS)")</f>
        <v>5300.6</v>
      </c>
      <c r="I127" s="9" t="n">
        <f aca="false">SUMIFS('Source 2026'!$Q:$Q,'Source 2026'!$B:$B,$A127,'Source 2026'!$A:$A,"Amount (NIS)")</f>
        <v>3912.8</v>
      </c>
      <c r="J127" s="9" t="n">
        <f aca="false">I127*$J$5</f>
        <v>4942.48421052632</v>
      </c>
      <c r="K127" s="9" t="n">
        <f aca="false">J127-H127</f>
        <v>-358.115789473684</v>
      </c>
      <c r="L127" s="13" t="n">
        <f aca="false">IF(AND(H127=0,J127=0),0,IF(H127=0,"New",(J127-H127)/H127))</f>
        <v>-0.0675613684250244</v>
      </c>
    </row>
    <row r="128" customFormat="false" ht="15" hidden="false" customHeight="true" outlineLevel="0" collapsed="false">
      <c r="A128" s="8" t="s">
        <v>172</v>
      </c>
      <c r="B128" s="8" t="str">
        <f aca="false">IFERROR(INDEX('Source 2026'!$C:$C,MATCH($A128,'Source 2026'!$B:$B,0)),IFERROR(INDEX('Source 2025'!$C:$C,MATCH($A128,'Source 2025'!$B:$B,0)),""))</f>
        <v>S מגן שוק</v>
      </c>
      <c r="C128" s="9" t="n">
        <f aca="false">SUMIFS('Source 2025'!$Q:$Q,'Source 2025'!$B:$B,$A128,'Source 2025'!$A:$A,"Quantity (units)")</f>
        <v>16</v>
      </c>
      <c r="D128" s="9" t="n">
        <f aca="false">SUMIFS('Source 2026'!$Q:$Q,'Source 2026'!$B:$B,$A128,'Source 2026'!$A:$A,"Quantity (units)")</f>
        <v>26</v>
      </c>
      <c r="E128" s="9" t="n">
        <f aca="false">D128*$J$5</f>
        <v>32.8421052631579</v>
      </c>
      <c r="F128" s="9" t="n">
        <f aca="false">E128-C128</f>
        <v>16.8421052631579</v>
      </c>
      <c r="G128" s="13" t="n">
        <f aca="false">IF(AND(C128=0,E128=0),0,IF(C128=0,"New",(E128-C128)/C128))</f>
        <v>1.05263157894737</v>
      </c>
      <c r="H128" s="9" t="n">
        <f aca="false">SUMIFS('Source 2025'!$Q:$Q,'Source 2025'!$B:$B,$A128,'Source 2025'!$A:$A,"Amount (NIS)")</f>
        <v>2172.2</v>
      </c>
      <c r="I128" s="9" t="n">
        <f aca="false">SUMIFS('Source 2026'!$Q:$Q,'Source 2026'!$B:$B,$A128,'Source 2026'!$A:$A,"Amount (NIS)")</f>
        <v>3489.8</v>
      </c>
      <c r="J128" s="9" t="n">
        <f aca="false">I128*$J$5</f>
        <v>4408.16842105263</v>
      </c>
      <c r="K128" s="9" t="n">
        <f aca="false">J128-H128</f>
        <v>2235.96842105263</v>
      </c>
      <c r="L128" s="13" t="n">
        <f aca="false">IF(AND(H128=0,J128=0),0,IF(H128=0,"New",(J128-H128)/H128))</f>
        <v>1.02935660669028</v>
      </c>
    </row>
    <row r="129" customFormat="false" ht="15" hidden="false" customHeight="true" outlineLevel="0" collapsed="false">
      <c r="A129" s="8" t="s">
        <v>239</v>
      </c>
      <c r="B129" s="8" t="str">
        <f aca="false">IFERROR(INDEX('Source 2026'!$C:$C,MATCH($A129,'Source 2026'!$B:$B,0)),IFERROR(INDEX('Source 2025'!$C:$C,MATCH($A129,'Source 2025'!$B:$B,0)),""))</f>
        <v>סד ליישור אצבע</v>
      </c>
      <c r="C129" s="9" t="n">
        <f aca="false">SUMIFS('Source 2025'!$Q:$Q,'Source 2025'!$B:$B,$A129,'Source 2025'!$A:$A,"Quantity (units)")</f>
        <v>2021</v>
      </c>
      <c r="D129" s="9" t="n">
        <f aca="false">SUMIFS('Source 2026'!$Q:$Q,'Source 2026'!$B:$B,$A129,'Source 2026'!$A:$A,"Quantity (units)")</f>
        <v>1845</v>
      </c>
      <c r="E129" s="9" t="n">
        <f aca="false">D129*$J$5</f>
        <v>2330.52631578947</v>
      </c>
      <c r="F129" s="9" t="n">
        <f aca="false">E129-C129</f>
        <v>309.526315789474</v>
      </c>
      <c r="G129" s="13" t="n">
        <f aca="false">IF(AND(C129=0,E129=0),0,IF(C129=0,"New",(E129-C129)/C129))</f>
        <v>0.153155030078908</v>
      </c>
      <c r="H129" s="9" t="n">
        <f aca="false">SUMIFS('Source 2025'!$Q:$Q,'Source 2025'!$B:$B,$A129,'Source 2025'!$A:$A,"Amount (NIS)")</f>
        <v>28832.9</v>
      </c>
      <c r="I129" s="9" t="n">
        <f aca="false">SUMIFS('Source 2026'!$Q:$Q,'Source 2026'!$B:$B,$A129,'Source 2026'!$A:$A,"Amount (NIS)")</f>
        <v>27547.4</v>
      </c>
      <c r="J129" s="9" t="n">
        <f aca="false">I129*$J$5</f>
        <v>34796.7157894737</v>
      </c>
      <c r="K129" s="9" t="n">
        <f aca="false">J129-H129</f>
        <v>5963.81578947368</v>
      </c>
      <c r="L129" s="13" t="n">
        <f aca="false">IF(AND(H129=0,J129=0),0,IF(H129=0,"New",(J129-H129)/H129))</f>
        <v>0.206840650419267</v>
      </c>
    </row>
    <row r="130" customFormat="false" ht="15" hidden="false" customHeight="true" outlineLevel="0" collapsed="false">
      <c r="A130" s="8" t="s">
        <v>363</v>
      </c>
      <c r="B130" s="8" t="str">
        <f aca="false">IFERROR(INDEX('Source 2026'!$C:$C,MATCH($A130,'Source 2026'!$B:$B,0)),IFERROR(INDEX('Source 2025'!$C:$C,MATCH($A130,'Source 2025'!$B:$B,0)),""))</f>
        <v>11 אפורUGחגורת בטן</v>
      </c>
      <c r="C130" s="9" t="n">
        <f aca="false">SUMIFS('Source 2025'!$Q:$Q,'Source 2025'!$B:$B,$A130,'Source 2025'!$A:$A,"Quantity (units)")</f>
        <v>15</v>
      </c>
      <c r="D130" s="9" t="n">
        <f aca="false">SUMIFS('Source 2026'!$Q:$Q,'Source 2026'!$B:$B,$A130,'Source 2026'!$A:$A,"Quantity (units)")</f>
        <v>0</v>
      </c>
      <c r="E130" s="9" t="n">
        <f aca="false">D130*$J$5</f>
        <v>0</v>
      </c>
      <c r="F130" s="9" t="n">
        <f aca="false">E130-C130</f>
        <v>-15</v>
      </c>
      <c r="G130" s="13" t="n">
        <f aca="false">IF(AND(C130=0,E130=0),0,IF(C130=0,"New",(E130-C130)/C130))</f>
        <v>-1</v>
      </c>
      <c r="H130" s="9" t="n">
        <f aca="false">SUMIFS('Source 2025'!$Q:$Q,'Source 2025'!$B:$B,$A130,'Source 2025'!$A:$A,"Amount (NIS)")</f>
        <v>1210.5</v>
      </c>
      <c r="I130" s="9" t="n">
        <f aca="false">SUMIFS('Source 2026'!$Q:$Q,'Source 2026'!$B:$B,$A130,'Source 2026'!$A:$A,"Amount (NIS)")</f>
        <v>25.9</v>
      </c>
      <c r="J130" s="9" t="n">
        <f aca="false">I130*$J$5</f>
        <v>32.7157894736842</v>
      </c>
      <c r="K130" s="9" t="n">
        <f aca="false">J130-H130</f>
        <v>-1177.78421052632</v>
      </c>
      <c r="L130" s="13" t="n">
        <f aca="false">IF(AND(H130=0,J130=0),0,IF(H130=0,"New",(J130-H130)/H130))</f>
        <v>-0.972973325507076</v>
      </c>
    </row>
    <row r="131" customFormat="false" ht="15" hidden="false" customHeight="true" outlineLevel="0" collapsed="false">
      <c r="A131" s="8" t="s">
        <v>177</v>
      </c>
      <c r="B131" s="8" t="str">
        <f aca="false">IFERROR(INDEX('Source 2026'!$C:$C,MATCH($A131,'Source 2026'!$B:$B,0)),IFERROR(INDEX('Source 2025'!$C:$C,MATCH($A131,'Source 2025'!$B:$B,0)),""))</f>
        <v>מגן קרסול עקב סגור+רצוע</v>
      </c>
      <c r="C131" s="9" t="n">
        <f aca="false">SUMIFS('Source 2025'!$Q:$Q,'Source 2025'!$B:$B,$A131,'Source 2025'!$A:$A,"Quantity (units)")</f>
        <v>83</v>
      </c>
      <c r="D131" s="9" t="n">
        <f aca="false">SUMIFS('Source 2026'!$Q:$Q,'Source 2026'!$B:$B,$A131,'Source 2026'!$A:$A,"Quantity (units)")</f>
        <v>59</v>
      </c>
      <c r="E131" s="9" t="n">
        <f aca="false">D131*$J$5</f>
        <v>74.5263157894737</v>
      </c>
      <c r="F131" s="9" t="n">
        <f aca="false">E131-C131</f>
        <v>-8.47368421052632</v>
      </c>
      <c r="G131" s="13" t="n">
        <f aca="false">IF(AND(C131=0,E131=0),0,IF(C131=0,"New",(E131-C131)/C131))</f>
        <v>-0.102092580849715</v>
      </c>
      <c r="H131" s="9" t="n">
        <f aca="false">SUMIFS('Source 2025'!$Q:$Q,'Source 2025'!$B:$B,$A131,'Source 2025'!$A:$A,"Amount (NIS)")</f>
        <v>4401.3</v>
      </c>
      <c r="I131" s="9" t="n">
        <f aca="false">SUMIFS('Source 2026'!$Q:$Q,'Source 2026'!$B:$B,$A131,'Source 2026'!$A:$A,"Amount (NIS)")</f>
        <v>3227.7</v>
      </c>
      <c r="J131" s="9" t="n">
        <f aca="false">I131*$J$5</f>
        <v>4077.09473684211</v>
      </c>
      <c r="K131" s="9" t="n">
        <f aca="false">J131-H131</f>
        <v>-324.205263157895</v>
      </c>
      <c r="L131" s="13" t="n">
        <f aca="false">IF(AND(H131=0,J131=0),0,IF(H131=0,"New",(J131-H131)/H131))</f>
        <v>-0.0736612508026936</v>
      </c>
    </row>
    <row r="132" customFormat="false" ht="15" hidden="false" customHeight="true" outlineLevel="0" collapsed="false">
      <c r="A132" s="8" t="s">
        <v>265</v>
      </c>
      <c r="B132" s="8" t="str">
        <f aca="false">IFERROR(INDEX('Source 2026'!$C:$C,MATCH($A132,'Source 2026'!$B:$B,0)),IFERROR(INDEX('Source 2025'!$C:$C,MATCH($A132,'Source 2025'!$B:$B,0)),""))</f>
        <v>כפפות לחץ</v>
      </c>
      <c r="C132" s="9" t="n">
        <f aca="false">SUMIFS('Source 2025'!$Q:$Q,'Source 2025'!$B:$B,$A132,'Source 2025'!$A:$A,"Quantity (units)")</f>
        <v>76</v>
      </c>
      <c r="D132" s="9" t="n">
        <f aca="false">SUMIFS('Source 2026'!$Q:$Q,'Source 2026'!$B:$B,$A132,'Source 2026'!$A:$A,"Quantity (units)")</f>
        <v>34</v>
      </c>
      <c r="E132" s="9" t="n">
        <f aca="false">D132*$J$5</f>
        <v>42.9473684210526</v>
      </c>
      <c r="F132" s="9" t="n">
        <f aca="false">E132-C132</f>
        <v>-33.0526315789474</v>
      </c>
      <c r="G132" s="13" t="n">
        <f aca="false">IF(AND(C132=0,E132=0),0,IF(C132=0,"New",(E132-C132)/C132))</f>
        <v>-0.434903047091413</v>
      </c>
      <c r="H132" s="9" t="n">
        <f aca="false">SUMIFS('Source 2025'!$Q:$Q,'Source 2025'!$B:$B,$A132,'Source 2025'!$A:$A,"Amount (NIS)")</f>
        <v>2156.6</v>
      </c>
      <c r="I132" s="9" t="n">
        <f aca="false">SUMIFS('Source 2026'!$Q:$Q,'Source 2026'!$B:$B,$A132,'Source 2026'!$A:$A,"Amount (NIS)")</f>
        <v>993.8</v>
      </c>
      <c r="J132" s="9" t="n">
        <f aca="false">I132*$J$5</f>
        <v>1255.32631578947</v>
      </c>
      <c r="K132" s="9" t="n">
        <f aca="false">J132-H132</f>
        <v>-901.273684210526</v>
      </c>
      <c r="L132" s="13" t="n">
        <f aca="false">IF(AND(H132=0,J132=0),0,IF(H132=0,"New",(J132-H132)/H132))</f>
        <v>-0.417914163132026</v>
      </c>
    </row>
    <row r="133" customFormat="false" ht="15" hidden="false" customHeight="true" outlineLevel="0" collapsed="false">
      <c r="A133" s="8" t="s">
        <v>113</v>
      </c>
      <c r="B133" s="8" t="str">
        <f aca="false">IFERROR(INDEX('Source 2026'!$C:$C,MATCH($A133,'Source 2026'!$B:$B,0)),IFERROR(INDEX('Source 2025'!$C:$C,MATCH($A133,'Source 2025'!$B:$B,0)),""))</f>
        <v>Sמיישר כתף יציב יישור ג.רחב</v>
      </c>
      <c r="C133" s="9" t="n">
        <f aca="false">SUMIFS('Source 2025'!$Q:$Q,'Source 2025'!$B:$B,$A133,'Source 2025'!$A:$A,"Quantity (units)")</f>
        <v>22</v>
      </c>
      <c r="D133" s="9" t="n">
        <f aca="false">SUMIFS('Source 2026'!$Q:$Q,'Source 2026'!$B:$B,$A133,'Source 2026'!$A:$A,"Quantity (units)")</f>
        <v>27</v>
      </c>
      <c r="E133" s="9" t="n">
        <f aca="false">D133*$J$5</f>
        <v>34.1052631578947</v>
      </c>
      <c r="F133" s="9" t="n">
        <f aca="false">E133-C133</f>
        <v>12.1052631578947</v>
      </c>
      <c r="G133" s="13" t="n">
        <f aca="false">IF(AND(C133=0,E133=0),0,IF(C133=0,"New",(E133-C133)/C133))</f>
        <v>0.550239234449761</v>
      </c>
      <c r="H133" s="9" t="n">
        <f aca="false">SUMIFS('Source 2025'!$Q:$Q,'Source 2025'!$B:$B,$A133,'Source 2025'!$A:$A,"Amount (NIS)")</f>
        <v>3604.4</v>
      </c>
      <c r="I133" s="9" t="n">
        <f aca="false">SUMIFS('Source 2026'!$Q:$Q,'Source 2026'!$B:$B,$A133,'Source 2026'!$A:$A,"Amount (NIS)")</f>
        <v>4676.4</v>
      </c>
      <c r="J133" s="9" t="n">
        <f aca="false">I133*$J$5</f>
        <v>5907.03157894737</v>
      </c>
      <c r="K133" s="9" t="n">
        <f aca="false">J133-H133</f>
        <v>2302.63157894737</v>
      </c>
      <c r="L133" s="13" t="n">
        <f aca="false">IF(AND(H133=0,J133=0),0,IF(H133=0,"New",(J133-H133)/H133))</f>
        <v>0.638839079721276</v>
      </c>
    </row>
    <row r="134" customFormat="false" ht="15" hidden="false" customHeight="true" outlineLevel="0" collapsed="false">
      <c r="A134" s="8" t="s">
        <v>228</v>
      </c>
      <c r="B134" s="8" t="str">
        <f aca="false">IFERROR(INDEX('Source 2026'!$C:$C,MATCH($A134,'Source 2026'!$B:$B,0)),IFERROR(INDEX('Source 2025'!$C:$C,MATCH($A134,'Source 2025'!$B:$B,0)),""))</f>
        <v>S מגן קרסול ימין</v>
      </c>
      <c r="C134" s="9" t="n">
        <f aca="false">SUMIFS('Source 2025'!$Q:$Q,'Source 2025'!$B:$B,$A134,'Source 2025'!$A:$A,"Quantity (units)")</f>
        <v>56</v>
      </c>
      <c r="D134" s="9" t="n">
        <f aca="false">SUMIFS('Source 2026'!$Q:$Q,'Source 2026'!$B:$B,$A134,'Source 2026'!$A:$A,"Quantity (units)")</f>
        <v>41</v>
      </c>
      <c r="E134" s="9" t="n">
        <f aca="false">D134*$J$5</f>
        <v>51.7894736842105</v>
      </c>
      <c r="F134" s="9" t="n">
        <f aca="false">E134-C134</f>
        <v>-4.21052631578948</v>
      </c>
      <c r="G134" s="13" t="n">
        <f aca="false">IF(AND(C134=0,E134=0),0,IF(C134=0,"New",(E134-C134)/C134))</f>
        <v>-0.0751879699248121</v>
      </c>
      <c r="H134" s="9" t="n">
        <f aca="false">SUMIFS('Source 2025'!$Q:$Q,'Source 2025'!$B:$B,$A134,'Source 2025'!$A:$A,"Amount (NIS)")</f>
        <v>4138</v>
      </c>
      <c r="I134" s="9" t="n">
        <f aca="false">SUMIFS('Source 2026'!$Q:$Q,'Source 2026'!$B:$B,$A134,'Source 2026'!$A:$A,"Amount (NIS)")</f>
        <v>3071.2</v>
      </c>
      <c r="J134" s="9" t="n">
        <f aca="false">I134*$J$5</f>
        <v>3879.41052631579</v>
      </c>
      <c r="K134" s="9" t="n">
        <f aca="false">J134-H134</f>
        <v>-258.589473684211</v>
      </c>
      <c r="L134" s="13" t="n">
        <f aca="false">IF(AND(H134=0,J134=0),0,IF(H134=0,"New",(J134-H134)/H134))</f>
        <v>-0.0624914146167739</v>
      </c>
    </row>
    <row r="135" customFormat="false" ht="15" hidden="false" customHeight="true" outlineLevel="0" collapsed="false">
      <c r="A135" s="8" t="s">
        <v>247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2025'!$Q:$Q,'Source 2025'!$B:$B,$A135,'Source 2025'!$A:$A,"Quantity (units)")</f>
        <v>54</v>
      </c>
      <c r="D135" s="9" t="n">
        <f aca="false">SUMIFS('Source 2026'!$Q:$Q,'Source 2026'!$B:$B,$A135,'Source 2026'!$A:$A,"Quantity (units)")</f>
        <v>39</v>
      </c>
      <c r="E135" s="9" t="n">
        <f aca="false">D135*$J$5</f>
        <v>49.2631578947368</v>
      </c>
      <c r="F135" s="9" t="n">
        <f aca="false">E135-C135</f>
        <v>-4.73684210526316</v>
      </c>
      <c r="G135" s="13" t="n">
        <f aca="false">IF(AND(C135=0,E135=0),0,IF(C135=0,"New",(E135-C135)/C135))</f>
        <v>-0.087719298245614</v>
      </c>
      <c r="H135" s="9" t="n">
        <f aca="false">SUMIFS('Source 2025'!$Q:$Q,'Source 2025'!$B:$B,$A135,'Source 2025'!$A:$A,"Amount (NIS)")</f>
        <v>4015.1</v>
      </c>
      <c r="I135" s="9" t="n">
        <f aca="false">SUMIFS('Source 2026'!$Q:$Q,'Source 2026'!$B:$B,$A135,'Source 2026'!$A:$A,"Amount (NIS)")</f>
        <v>2951.2</v>
      </c>
      <c r="J135" s="9" t="n">
        <f aca="false">I135*$J$5</f>
        <v>3727.83157894737</v>
      </c>
      <c r="K135" s="9" t="n">
        <f aca="false">J135-H135</f>
        <v>-287.268421052632</v>
      </c>
      <c r="L135" s="13" t="n">
        <f aca="false">IF(AND(H135=0,J135=0),0,IF(H135=0,"New",(J135-H135)/H135))</f>
        <v>-0.0715470152804742</v>
      </c>
    </row>
    <row r="136" customFormat="false" ht="15" hidden="false" customHeight="true" outlineLevel="0" collapsed="false">
      <c r="A136" s="8" t="s">
        <v>176</v>
      </c>
      <c r="B136" s="8" t="str">
        <f aca="false">IFERROR(INDEX('Source 2026'!$C:$C,MATCH($A136,'Source 2026'!$B:$B,0)),IFERROR(INDEX('Source 2025'!$C:$C,MATCH($A136,'Source 2025'!$B:$B,0)),""))</f>
        <v>S מגן ברך מחמם</v>
      </c>
      <c r="C136" s="9" t="n">
        <f aca="false">SUMIFS('Source 2025'!$Q:$Q,'Source 2025'!$B:$B,$A136,'Source 2025'!$A:$A,"Quantity (units)")</f>
        <v>30</v>
      </c>
      <c r="D136" s="9" t="n">
        <f aca="false">SUMIFS('Source 2026'!$Q:$Q,'Source 2026'!$B:$B,$A136,'Source 2026'!$A:$A,"Quantity (units)")</f>
        <v>8</v>
      </c>
      <c r="E136" s="9" t="n">
        <f aca="false">D136*$J$5</f>
        <v>10.1052631578947</v>
      </c>
      <c r="F136" s="9" t="n">
        <f aca="false">E136-C136</f>
        <v>-19.8947368421053</v>
      </c>
      <c r="G136" s="13" t="n">
        <f aca="false">IF(AND(C136=0,E136=0),0,IF(C136=0,"New",(E136-C136)/C136))</f>
        <v>-0.663157894736842</v>
      </c>
      <c r="H136" s="9" t="n">
        <f aca="false">SUMIFS('Source 2025'!$Q:$Q,'Source 2025'!$B:$B,$A136,'Source 2025'!$A:$A,"Amount (NIS)")</f>
        <v>1458.6</v>
      </c>
      <c r="I136" s="9" t="n">
        <f aca="false">SUMIFS('Source 2026'!$Q:$Q,'Source 2026'!$B:$B,$A136,'Source 2026'!$A:$A,"Amount (NIS)")</f>
        <v>395.8</v>
      </c>
      <c r="J136" s="9" t="n">
        <f aca="false">I136*$J$5</f>
        <v>499.957894736842</v>
      </c>
      <c r="K136" s="9" t="n">
        <f aca="false">J136-H136</f>
        <v>-958.642105263158</v>
      </c>
      <c r="L136" s="13" t="n">
        <f aca="false">IF(AND(H136=0,J136=0),0,IF(H136=0,"New",(J136-H136)/H136))</f>
        <v>-0.657234406460413</v>
      </c>
    </row>
    <row r="137" customFormat="false" ht="15" hidden="false" customHeight="true" outlineLevel="0" collapsed="false">
      <c r="A137" s="8" t="s">
        <v>293</v>
      </c>
      <c r="B137" s="8" t="str">
        <f aca="false">IFERROR(INDEX('Source 2026'!$C:$C,MATCH($A137,'Source 2026'!$B:$B,0)),IFERROR(INDEX('Source 2025'!$C:$C,MATCH($A137,'Source 2025'!$B:$B,0)),""))</f>
        <v>גרב כסף לסכרתיים לבן35-38</v>
      </c>
      <c r="C137" s="9" t="n">
        <f aca="false">SUMIFS('Source 2025'!$Q:$Q,'Source 2025'!$B:$B,$A137,'Source 2025'!$A:$A,"Quantity (units)")</f>
        <v>89</v>
      </c>
      <c r="D137" s="9" t="n">
        <f aca="false">SUMIFS('Source 2026'!$Q:$Q,'Source 2026'!$B:$B,$A137,'Source 2026'!$A:$A,"Quantity (units)")</f>
        <v>54</v>
      </c>
      <c r="E137" s="9" t="n">
        <f aca="false">D137*$J$5</f>
        <v>68.2105263157895</v>
      </c>
      <c r="F137" s="9" t="n">
        <f aca="false">E137-C137</f>
        <v>-20.7894736842105</v>
      </c>
      <c r="G137" s="13" t="n">
        <f aca="false">IF(AND(C137=0,E137=0),0,IF(C137=0,"New",(E137-C137)/C137))</f>
        <v>-0.233589591957422</v>
      </c>
      <c r="H137" s="9" t="n">
        <f aca="false">SUMIFS('Source 2025'!$Q:$Q,'Source 2025'!$B:$B,$A137,'Source 2025'!$A:$A,"Amount (NIS)")</f>
        <v>2600.4</v>
      </c>
      <c r="I137" s="9" t="n">
        <f aca="false">SUMIFS('Source 2026'!$Q:$Q,'Source 2026'!$B:$B,$A137,'Source 2026'!$A:$A,"Amount (NIS)")</f>
        <v>1575.2</v>
      </c>
      <c r="J137" s="9" t="n">
        <f aca="false">I137*$J$5</f>
        <v>1989.72631578947</v>
      </c>
      <c r="K137" s="9" t="n">
        <f aca="false">J137-H137</f>
        <v>-610.673684210527</v>
      </c>
      <c r="L137" s="13" t="n">
        <f aca="false">IF(AND(H137=0,J137=0),0,IF(H137=0,"New",(J137-H137)/H137))</f>
        <v>-0.234838364947903</v>
      </c>
    </row>
    <row r="138" customFormat="false" ht="15" hidden="false" customHeight="true" outlineLevel="0" collapsed="false">
      <c r="A138" s="8" t="s">
        <v>148</v>
      </c>
      <c r="B138" s="8" t="str">
        <f aca="false">IFERROR(INDEX('Source 2026'!$C:$C,MATCH($A138,'Source 2026'!$B:$B,0)),IFERROR(INDEX('Source 2025'!$C:$C,MATCH($A138,'Source 2025'!$B:$B,0)),""))</f>
        <v>S-Lטבעת אלסטית מסיליקון</v>
      </c>
      <c r="C138" s="9" t="n">
        <f aca="false">SUMIFS('Source 2025'!$Q:$Q,'Source 2025'!$B:$B,$A138,'Source 2025'!$A:$A,"Quantity (units)")</f>
        <v>223</v>
      </c>
      <c r="D138" s="9" t="n">
        <f aca="false">SUMIFS('Source 2026'!$Q:$Q,'Source 2026'!$B:$B,$A138,'Source 2026'!$A:$A,"Quantity (units)")</f>
        <v>131</v>
      </c>
      <c r="E138" s="9" t="n">
        <f aca="false">D138*$J$5</f>
        <v>165.473684210526</v>
      </c>
      <c r="F138" s="9" t="n">
        <f aca="false">E138-C138</f>
        <v>-57.5263157894737</v>
      </c>
      <c r="G138" s="13" t="n">
        <f aca="false">IF(AND(C138=0,E138=0),0,IF(C138=0,"New",(E138-C138)/C138))</f>
        <v>-0.257965541656833</v>
      </c>
      <c r="H138" s="9" t="n">
        <f aca="false">SUMIFS('Source 2025'!$Q:$Q,'Source 2025'!$B:$B,$A138,'Source 2025'!$A:$A,"Amount (NIS)")</f>
        <v>2310.4</v>
      </c>
      <c r="I138" s="9" t="n">
        <f aca="false">SUMIFS('Source 2026'!$Q:$Q,'Source 2026'!$B:$B,$A138,'Source 2026'!$A:$A,"Amount (NIS)")</f>
        <v>1378</v>
      </c>
      <c r="J138" s="9" t="n">
        <f aca="false">I138*$J$5</f>
        <v>1740.63157894737</v>
      </c>
      <c r="K138" s="9" t="n">
        <f aca="false">J138-H138</f>
        <v>-569.768421052632</v>
      </c>
      <c r="L138" s="13" t="n">
        <f aca="false">IF(AND(H138=0,J138=0),0,IF(H138=0,"New",(J138-H138)/H138))</f>
        <v>-0.246610293045634</v>
      </c>
    </row>
    <row r="139" customFormat="false" ht="15" hidden="false" customHeight="true" outlineLevel="0" collapsed="false">
      <c r="A139" s="8" t="s">
        <v>235</v>
      </c>
      <c r="B139" s="8" t="str">
        <f aca="false">IFERROR(INDEX('Source 2026'!$C:$C,MATCH($A139,'Source 2026'!$B:$B,0)),IFERROR(INDEX('Source 2025'!$C:$C,MATCH($A139,'Source 2025'!$B:$B,0)),""))</f>
        <v>0 רפידת לילדים אנטי ריח</v>
      </c>
      <c r="C139" s="9" t="n">
        <f aca="false">SUMIFS('Source 2025'!$Q:$Q,'Source 2025'!$B:$B,$A139,'Source 2025'!$A:$A,"Quantity (units)")</f>
        <v>140</v>
      </c>
      <c r="D139" s="9" t="n">
        <f aca="false">SUMIFS('Source 2026'!$Q:$Q,'Source 2026'!$B:$B,$A139,'Source 2026'!$A:$A,"Quantity (units)")</f>
        <v>56</v>
      </c>
      <c r="E139" s="9" t="n">
        <f aca="false">D139*$J$5</f>
        <v>70.7368421052632</v>
      </c>
      <c r="F139" s="9" t="n">
        <f aca="false">E139-C139</f>
        <v>-69.2631578947369</v>
      </c>
      <c r="G139" s="13" t="n">
        <f aca="false">IF(AND(C139=0,E139=0),0,IF(C139=0,"New",(E139-C139)/C139))</f>
        <v>-0.494736842105263</v>
      </c>
      <c r="H139" s="9" t="n">
        <f aca="false">SUMIFS('Source 2025'!$Q:$Q,'Source 2025'!$B:$B,$A139,'Source 2025'!$A:$A,"Amount (NIS)")</f>
        <v>1434.1</v>
      </c>
      <c r="I139" s="9" t="n">
        <f aca="false">SUMIFS('Source 2026'!$Q:$Q,'Source 2026'!$B:$B,$A139,'Source 2026'!$A:$A,"Amount (NIS)")</f>
        <v>574.5</v>
      </c>
      <c r="J139" s="9" t="n">
        <f aca="false">I139*$J$5</f>
        <v>725.684210526316</v>
      </c>
      <c r="K139" s="9" t="n">
        <f aca="false">J139-H139</f>
        <v>-708.415789473684</v>
      </c>
      <c r="L139" s="13" t="n">
        <f aca="false">IF(AND(H139=0,J139=0),0,IF(H139=0,"New",(J139-H139)/H139))</f>
        <v>-0.49397935253726</v>
      </c>
    </row>
    <row r="140" customFormat="false" ht="15" hidden="false" customHeight="true" outlineLevel="0" collapsed="false">
      <c r="A140" s="8" t="s">
        <v>305</v>
      </c>
      <c r="B140" s="8" t="str">
        <f aca="false">IFERROR(INDEX('Source 2026'!$C:$C,MATCH($A140,'Source 2026'!$B:$B,0)),IFERROR(INDEX('Source 2025'!$C:$C,MATCH($A140,'Source 2025'!$B:$B,0)),""))</f>
        <v>סד לילה לבוהן</v>
      </c>
      <c r="C140" s="9" t="n">
        <f aca="false">SUMIFS('Source 2025'!$Q:$Q,'Source 2025'!$B:$B,$A140,'Source 2025'!$A:$A,"Quantity (units)")</f>
        <v>-16</v>
      </c>
      <c r="D140" s="9" t="n">
        <f aca="false">SUMIFS('Source 2026'!$Q:$Q,'Source 2026'!$B:$B,$A140,'Source 2026'!$A:$A,"Quantity (units)")</f>
        <v>-3</v>
      </c>
      <c r="E140" s="9" t="n">
        <f aca="false">D140*$J$5</f>
        <v>-3.78947368421053</v>
      </c>
      <c r="F140" s="9" t="n">
        <f aca="false">E140-C140</f>
        <v>12.2105263157895</v>
      </c>
      <c r="G140" s="13" t="n">
        <f aca="false">IF(AND(C140=0,E140=0),0,IF(C140=0,"New",(E140-C140)/C140))</f>
        <v>-0.763157894736842</v>
      </c>
      <c r="H140" s="9" t="n">
        <f aca="false">SUMIFS('Source 2025'!$Q:$Q,'Source 2025'!$B:$B,$A140,'Source 2025'!$A:$A,"Amount (NIS)")</f>
        <v>-1026.6</v>
      </c>
      <c r="I140" s="9" t="n">
        <f aca="false">SUMIFS('Source 2026'!$Q:$Q,'Source 2026'!$B:$B,$A140,'Source 2026'!$A:$A,"Amount (NIS)")</f>
        <v>-192.5</v>
      </c>
      <c r="J140" s="9" t="n">
        <f aca="false">I140*$J$5</f>
        <v>-243.157894736842</v>
      </c>
      <c r="K140" s="9" t="n">
        <f aca="false">J140-H140</f>
        <v>783.442105263158</v>
      </c>
      <c r="L140" s="13" t="n">
        <f aca="false">IF(AND(H140=0,J140=0),0,IF(H140=0,"New",(J140-H140)/H140))</f>
        <v>-0.763142514380633</v>
      </c>
    </row>
    <row r="141" customFormat="false" ht="15" hidden="false" customHeight="true" outlineLevel="0" collapsed="false">
      <c r="A141" s="8" t="s">
        <v>141</v>
      </c>
      <c r="B141" s="8" t="str">
        <f aca="false">IFERROR(INDEX('Source 2026'!$C:$C,MATCH($A141,'Source 2026'!$B:$B,0)),IFERROR(INDEX('Source 2025'!$C:$C,MATCH($A141,'Source 2025'!$B:$B,0)),""))</f>
        <v>Lמ.ברך+כרית סיל.סביב לפיקה</v>
      </c>
      <c r="C141" s="9" t="n">
        <f aca="false">SUMIFS('Source 2025'!$Q:$Q,'Source 2025'!$B:$B,$A141,'Source 2025'!$A:$A,"Quantity (units)")</f>
        <v>-3</v>
      </c>
      <c r="D141" s="9" t="n">
        <f aca="false">SUMIFS('Source 2026'!$Q:$Q,'Source 2026'!$B:$B,$A141,'Source 2026'!$A:$A,"Quantity (units)")</f>
        <v>-9</v>
      </c>
      <c r="E141" s="9" t="n">
        <f aca="false">D141*$J$5</f>
        <v>-11.3684210526316</v>
      </c>
      <c r="F141" s="9" t="n">
        <f aca="false">E141-C141</f>
        <v>-8.36842105263158</v>
      </c>
      <c r="G141" s="13" t="n">
        <f aca="false">IF(AND(C141=0,E141=0),0,IF(C141=0,"New",(E141-C141)/C141))</f>
        <v>2.78947368421053</v>
      </c>
      <c r="H141" s="9" t="n">
        <f aca="false">SUMIFS('Source 2025'!$Q:$Q,'Source 2025'!$B:$B,$A141,'Source 2025'!$A:$A,"Amount (NIS)")</f>
        <v>-386.4</v>
      </c>
      <c r="I141" s="9" t="n">
        <f aca="false">SUMIFS('Source 2026'!$Q:$Q,'Source 2026'!$B:$B,$A141,'Source 2026'!$A:$A,"Amount (NIS)")</f>
        <v>-1207.9</v>
      </c>
      <c r="J141" s="9" t="n">
        <f aca="false">I141*$J$5</f>
        <v>-1525.76842105263</v>
      </c>
      <c r="K141" s="9" t="n">
        <f aca="false">J141-H141</f>
        <v>-1139.36842105263</v>
      </c>
      <c r="L141" s="13" t="n">
        <f aca="false">IF(AND(H141=0,J141=0),0,IF(H141=0,"New",(J141-H141)/H141))</f>
        <v>2.94867603792089</v>
      </c>
    </row>
    <row r="142" customFormat="false" ht="15" hidden="false" customHeight="true" outlineLevel="0" collapsed="false">
      <c r="A142" s="8" t="s">
        <v>173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2025'!$Q:$Q,'Source 2025'!$B:$B,$A142,'Source 2025'!$A:$A,"Quantity (units)")</f>
        <v>-6</v>
      </c>
      <c r="D142" s="9" t="n">
        <f aca="false">SUMIFS('Source 2026'!$Q:$Q,'Source 2026'!$B:$B,$A142,'Source 2026'!$A:$A,"Quantity (units)")</f>
        <v>-14</v>
      </c>
      <c r="E142" s="9" t="n">
        <f aca="false">D142*$J$5</f>
        <v>-17.6842105263158</v>
      </c>
      <c r="F142" s="9" t="n">
        <f aca="false">E142-C142</f>
        <v>-11.6842105263158</v>
      </c>
      <c r="G142" s="13" t="n">
        <f aca="false">IF(AND(C142=0,E142=0),0,IF(C142=0,"New",(E142-C142)/C142))</f>
        <v>1.94736842105263</v>
      </c>
      <c r="H142" s="9" t="n">
        <f aca="false">SUMIFS('Source 2025'!$Q:$Q,'Source 2025'!$B:$B,$A142,'Source 2025'!$A:$A,"Amount (NIS)")</f>
        <v>-445.1</v>
      </c>
      <c r="I142" s="9" t="n">
        <f aca="false">SUMIFS('Source 2026'!$Q:$Q,'Source 2026'!$B:$B,$A142,'Source 2026'!$A:$A,"Amount (NIS)")</f>
        <v>-1258.6</v>
      </c>
      <c r="J142" s="9" t="n">
        <f aca="false">I142*$J$5</f>
        <v>-1589.81052631579</v>
      </c>
      <c r="K142" s="9" t="n">
        <f aca="false">J142-H142</f>
        <v>-1144.71052631579</v>
      </c>
      <c r="L142" s="13" t="n">
        <f aca="false">IF(AND(H142=0,J142=0),0,IF(H142=0,"New",(J142-H142)/H142))</f>
        <v>2.57180527143516</v>
      </c>
    </row>
    <row r="143" customFormat="false" ht="15" hidden="false" customHeight="true" outlineLevel="0" collapsed="false">
      <c r="A143" s="8" t="s">
        <v>182</v>
      </c>
      <c r="B143" s="8" t="str">
        <f aca="false">IFERROR(INDEX('Source 2026'!$C:$C,MATCH($A143,'Source 2026'!$B:$B,0)),IFERROR(INDEX('Source 2025'!$C:$C,MATCH($A143,'Source 2025'!$B:$B,0)),""))</f>
        <v>סד ליישור אצבע</v>
      </c>
      <c r="C143" s="9" t="n">
        <f aca="false">SUMIFS('Source 2025'!$Q:$Q,'Source 2025'!$B:$B,$A143,'Source 2025'!$A:$A,"Quantity (units)")</f>
        <v>1840</v>
      </c>
      <c r="D143" s="9" t="n">
        <f aca="false">SUMIFS('Source 2026'!$Q:$Q,'Source 2026'!$B:$B,$A143,'Source 2026'!$A:$A,"Quantity (units)")</f>
        <v>1704</v>
      </c>
      <c r="E143" s="9" t="n">
        <f aca="false">D143*$J$5</f>
        <v>2152.42105263158</v>
      </c>
      <c r="F143" s="9" t="n">
        <f aca="false">E143-C143</f>
        <v>312.421052631579</v>
      </c>
      <c r="G143" s="13" t="n">
        <f aca="false">IF(AND(C143=0,E143=0),0,IF(C143=0,"New",(E143-C143)/C143))</f>
        <v>0.169794050343249</v>
      </c>
      <c r="H143" s="9" t="n">
        <f aca="false">SUMIFS('Source 2025'!$Q:$Q,'Source 2025'!$B:$B,$A143,'Source 2025'!$A:$A,"Amount (NIS)")</f>
        <v>26241.7</v>
      </c>
      <c r="I143" s="9" t="n">
        <f aca="false">SUMIFS('Source 2026'!$Q:$Q,'Source 2026'!$B:$B,$A143,'Source 2026'!$A:$A,"Amount (NIS)")</f>
        <v>25451.8</v>
      </c>
      <c r="J143" s="9" t="n">
        <f aca="false">I143*$J$5</f>
        <v>32149.6421052632</v>
      </c>
      <c r="K143" s="9" t="n">
        <f aca="false">J143-H143</f>
        <v>5907.94210526316</v>
      </c>
      <c r="L143" s="13" t="n">
        <f aca="false">IF(AND(H143=0,J143=0),0,IF(H143=0,"New",(J143-H143)/H143))</f>
        <v>0.225135646900283</v>
      </c>
    </row>
    <row r="144" customFormat="false" ht="15" hidden="false" customHeight="true" outlineLevel="0" collapsed="false">
      <c r="A144" s="8" t="s">
        <v>188</v>
      </c>
      <c r="B144" s="8" t="str">
        <f aca="false">IFERROR(INDEX('Source 2026'!$C:$C,MATCH($A144,'Source 2026'!$B:$B,0)),IFERROR(INDEX('Source 2025'!$C:$C,MATCH($A144,'Source 2025'!$B:$B,0)),""))</f>
        <v>סד ליישור אצבע</v>
      </c>
      <c r="C144" s="9" t="n">
        <f aca="false">SUMIFS('Source 2025'!$Q:$Q,'Source 2025'!$B:$B,$A144,'Source 2025'!$A:$A,"Quantity (units)")</f>
        <v>1128</v>
      </c>
      <c r="D144" s="9" t="n">
        <f aca="false">SUMIFS('Source 2026'!$Q:$Q,'Source 2026'!$B:$B,$A144,'Source 2026'!$A:$A,"Quantity (units)")</f>
        <v>1023</v>
      </c>
      <c r="E144" s="9" t="n">
        <f aca="false">D144*$J$5</f>
        <v>1292.21052631579</v>
      </c>
      <c r="F144" s="9" t="n">
        <f aca="false">E144-C144</f>
        <v>164.210526315789</v>
      </c>
      <c r="G144" s="13" t="n">
        <f aca="false">IF(AND(C144=0,E144=0),0,IF(C144=0,"New",(E144-C144)/C144))</f>
        <v>0.145576707726764</v>
      </c>
      <c r="H144" s="9" t="n">
        <f aca="false">SUMIFS('Source 2025'!$Q:$Q,'Source 2025'!$B:$B,$A144,'Source 2025'!$A:$A,"Amount (NIS)")</f>
        <v>16083.8</v>
      </c>
      <c r="I144" s="9" t="n">
        <f aca="false">SUMIFS('Source 2026'!$Q:$Q,'Source 2026'!$B:$B,$A144,'Source 2026'!$A:$A,"Amount (NIS)")</f>
        <v>15302.1</v>
      </c>
      <c r="J144" s="9" t="n">
        <f aca="false">I144*$J$5</f>
        <v>19328.9684210526</v>
      </c>
      <c r="K144" s="9" t="n">
        <f aca="false">J144-H144</f>
        <v>3245.16842105263</v>
      </c>
      <c r="L144" s="13" t="n">
        <f aca="false">IF(AND(H144=0,J144=0),0,IF(H144=0,"New",(J144-H144)/H144))</f>
        <v>0.20176627544813</v>
      </c>
    </row>
    <row r="145" customFormat="false" ht="15" hidden="false" customHeight="true" outlineLevel="0" collapsed="false">
      <c r="A145" s="8" t="s">
        <v>108</v>
      </c>
      <c r="B145" s="8" t="str">
        <f aca="false">IFERROR(INDEX('Source 2026'!$C:$C,MATCH($A145,'Source 2026'!$B:$B,0)),IFERROR(INDEX('Source 2025'!$C:$C,MATCH($A145,'Source 2025'!$B:$B,0)),""))</f>
        <v>סד לאגודל</v>
      </c>
      <c r="C145" s="9" t="n">
        <f aca="false">SUMIFS('Source 2025'!$Q:$Q,'Source 2025'!$B:$B,$A145,'Source 2025'!$A:$A,"Quantity (units)")</f>
        <v>194</v>
      </c>
      <c r="D145" s="9" t="n">
        <f aca="false">SUMIFS('Source 2026'!$Q:$Q,'Source 2026'!$B:$B,$A145,'Source 2026'!$A:$A,"Quantity (units)")</f>
        <v>141</v>
      </c>
      <c r="E145" s="9" t="n">
        <f aca="false">D145*$J$5</f>
        <v>178.105263157895</v>
      </c>
      <c r="F145" s="9" t="n">
        <f aca="false">E145-C145</f>
        <v>-15.8947368421053</v>
      </c>
      <c r="G145" s="13" t="n">
        <f aca="false">IF(AND(C145=0,E145=0),0,IF(C145=0,"New",(E145-C145)/C145))</f>
        <v>-0.0819316332067281</v>
      </c>
      <c r="H145" s="9" t="n">
        <f aca="false">SUMIFS('Source 2025'!$Q:$Q,'Source 2025'!$B:$B,$A145,'Source 2025'!$A:$A,"Amount (NIS)")</f>
        <v>4329.5</v>
      </c>
      <c r="I145" s="9" t="n">
        <f aca="false">SUMIFS('Source 2026'!$Q:$Q,'Source 2026'!$B:$B,$A145,'Source 2026'!$A:$A,"Amount (NIS)")</f>
        <v>3548.1</v>
      </c>
      <c r="J145" s="9" t="n">
        <f aca="false">I145*$J$5</f>
        <v>4481.81052631579</v>
      </c>
      <c r="K145" s="9" t="n">
        <f aca="false">J145-H145</f>
        <v>152.31052631579</v>
      </c>
      <c r="L145" s="13" t="n">
        <f aca="false">IF(AND(H145=0,J145=0),0,IF(H145=0,"New",(J145-H145)/H145))</f>
        <v>0.0351797035028963</v>
      </c>
    </row>
    <row r="146" customFormat="false" ht="15" hidden="false" customHeight="true" outlineLevel="0" collapsed="false">
      <c r="A146" s="8" t="s">
        <v>180</v>
      </c>
      <c r="B146" s="8" t="str">
        <f aca="false">IFERROR(INDEX('Source 2026'!$C:$C,MATCH($A146,'Source 2026'!$B:$B,0)),IFERROR(INDEX('Source 2025'!$C:$C,MATCH($A146,'Source 2025'!$B:$B,0)),""))</f>
        <v>35-38 גרב.כסף לסכרתים לבן</v>
      </c>
      <c r="C146" s="9" t="n">
        <f aca="false">SUMIFS('Source 2025'!$Q:$Q,'Source 2025'!$B:$B,$A146,'Source 2025'!$A:$A,"Quantity (units)")</f>
        <v>188</v>
      </c>
      <c r="D146" s="9" t="n">
        <f aca="false">SUMIFS('Source 2026'!$Q:$Q,'Source 2026'!$B:$B,$A146,'Source 2026'!$A:$A,"Quantity (units)")</f>
        <v>152</v>
      </c>
      <c r="E146" s="9" t="n">
        <f aca="false">D146*$J$5</f>
        <v>192</v>
      </c>
      <c r="F146" s="9" t="n">
        <f aca="false">E146-C146</f>
        <v>4</v>
      </c>
      <c r="G146" s="13" t="n">
        <f aca="false">IF(AND(C146=0,E146=0),0,IF(C146=0,"New",(E146-C146)/C146))</f>
        <v>0.0212765957446809</v>
      </c>
      <c r="H146" s="9" t="n">
        <f aca="false">SUMIFS('Source 2025'!$Q:$Q,'Source 2025'!$B:$B,$A146,'Source 2025'!$A:$A,"Amount (NIS)")</f>
        <v>4182</v>
      </c>
      <c r="I146" s="9" t="n">
        <f aca="false">SUMIFS('Source 2026'!$Q:$Q,'Source 2026'!$B:$B,$A146,'Source 2026'!$A:$A,"Amount (NIS)")</f>
        <v>3446.8</v>
      </c>
      <c r="J146" s="9" t="n">
        <f aca="false">I146*$J$5</f>
        <v>4353.85263157895</v>
      </c>
      <c r="K146" s="9" t="n">
        <f aca="false">J146-H146</f>
        <v>171.852631578948</v>
      </c>
      <c r="L146" s="13" t="n">
        <f aca="false">IF(AND(H146=0,J146=0),0,IF(H146=0,"New",(J146-H146)/H146))</f>
        <v>0.0410934078381032</v>
      </c>
    </row>
    <row r="147" customFormat="false" ht="15" hidden="false" customHeight="true" outlineLevel="0" collapsed="false">
      <c r="A147" s="8" t="s">
        <v>341</v>
      </c>
      <c r="B147" s="8" t="str">
        <f aca="false">IFERROR(INDEX('Source 2026'!$C:$C,MATCH($A147,'Source 2026'!$B:$B,0)),IFERROR(INDEX('Source 2025'!$C:$C,MATCH($A147,'Source 2025'!$B:$B,0)),""))</f>
        <v>XXL מגן ברך ארוך עם כרית</v>
      </c>
      <c r="C147" s="9" t="n">
        <f aca="false">SUMIFS('Source 2025'!$Q:$Q,'Source 2025'!$B:$B,$A147,'Source 2025'!$A:$A,"Quantity (units)")</f>
        <v>-4</v>
      </c>
      <c r="D147" s="9" t="n">
        <f aca="false">SUMIFS('Source 2026'!$Q:$Q,'Source 2026'!$B:$B,$A147,'Source 2026'!$A:$A,"Quantity (units)")</f>
        <v>0</v>
      </c>
      <c r="E147" s="9" t="n">
        <f aca="false">D147*$J$5</f>
        <v>0</v>
      </c>
      <c r="F147" s="9" t="n">
        <f aca="false">E147-C147</f>
        <v>4</v>
      </c>
      <c r="G147" s="13" t="n">
        <f aca="false">IF(AND(C147=0,E147=0),0,IF(C147=0,"New",(E147-C147)/C147))</f>
        <v>-1</v>
      </c>
      <c r="H147" s="9" t="n">
        <f aca="false">SUMIFS('Source 2025'!$Q:$Q,'Source 2025'!$B:$B,$A147,'Source 2025'!$A:$A,"Amount (NIS)")</f>
        <v>-730.8</v>
      </c>
      <c r="I147" s="9" t="n">
        <f aca="false">SUMIFS('Source 2026'!$Q:$Q,'Source 2026'!$B:$B,$A147,'Source 2026'!$A:$A,"Amount (NIS)")</f>
        <v>0</v>
      </c>
      <c r="J147" s="9" t="n">
        <f aca="false">I147*$J$5</f>
        <v>0</v>
      </c>
      <c r="K147" s="9" t="n">
        <f aca="false">J147-H147</f>
        <v>730.8</v>
      </c>
      <c r="L147" s="13" t="n">
        <f aca="false">IF(AND(H147=0,J147=0),0,IF(H147=0,"New",(J147-H147)/H147))</f>
        <v>-1</v>
      </c>
    </row>
    <row r="148" customFormat="false" ht="15" hidden="false" customHeight="true" outlineLevel="0" collapsed="false">
      <c r="A148" s="8" t="s">
        <v>178</v>
      </c>
      <c r="B148" s="8" t="str">
        <f aca="false">IFERROR(INDEX('Source 2026'!$C:$C,MATCH($A148,'Source 2026'!$B:$B,0)),IFERROR(INDEX('Source 2025'!$C:$C,MATCH($A148,'Source 2025'!$B:$B,0)),""))</f>
        <v>חגורת גב +סגירה כפולה</v>
      </c>
      <c r="C148" s="9" t="n">
        <f aca="false">SUMIFS('Source 2025'!$Q:$Q,'Source 2025'!$B:$B,$A148,'Source 2025'!$A:$A,"Quantity (units)")</f>
        <v>11</v>
      </c>
      <c r="D148" s="9" t="n">
        <f aca="false">SUMIFS('Source 2026'!$Q:$Q,'Source 2026'!$B:$B,$A148,'Source 2026'!$A:$A,"Quantity (units)")</f>
        <v>3</v>
      </c>
      <c r="E148" s="9" t="n">
        <f aca="false">D148*$J$5</f>
        <v>3.78947368421053</v>
      </c>
      <c r="F148" s="9" t="n">
        <f aca="false">E148-C148</f>
        <v>-7.21052631578947</v>
      </c>
      <c r="G148" s="13" t="n">
        <f aca="false">IF(AND(C148=0,E148=0),0,IF(C148=0,"New",(E148-C148)/C148))</f>
        <v>-0.655502392344498</v>
      </c>
      <c r="H148" s="9" t="n">
        <f aca="false">SUMIFS('Source 2025'!$Q:$Q,'Source 2025'!$B:$B,$A148,'Source 2025'!$A:$A,"Amount (NIS)")</f>
        <v>1035.5</v>
      </c>
      <c r="I148" s="9" t="n">
        <f aca="false">SUMIFS('Source 2026'!$Q:$Q,'Source 2026'!$B:$B,$A148,'Source 2026'!$A:$A,"Amount (NIS)")</f>
        <v>314.7</v>
      </c>
      <c r="J148" s="9" t="n">
        <f aca="false">I148*$J$5</f>
        <v>397.515789473684</v>
      </c>
      <c r="K148" s="9" t="n">
        <f aca="false">J148-H148</f>
        <v>-637.984210526316</v>
      </c>
      <c r="L148" s="13" t="n">
        <f aca="false">IF(AND(H148=0,J148=0),0,IF(H148=0,"New",(J148-H148)/H148))</f>
        <v>-0.616112226486061</v>
      </c>
    </row>
    <row r="149" customFormat="false" ht="15" hidden="false" customHeight="true" outlineLevel="0" collapsed="false">
      <c r="A149" s="8" t="s">
        <v>139</v>
      </c>
      <c r="B149" s="8" t="str">
        <f aca="false">IFERROR(INDEX('Source 2026'!$C:$C,MATCH($A149,'Source 2026'!$B:$B,0)),IFERROR(INDEX('Source 2025'!$C:$C,MATCH($A149,'Source 2025'!$B:$B,0)),""))</f>
        <v>S מגן ברך</v>
      </c>
      <c r="C149" s="9" t="n">
        <f aca="false">SUMIFS('Source 2025'!$Q:$Q,'Source 2025'!$B:$B,$A149,'Source 2025'!$A:$A,"Quantity (units)")</f>
        <v>82</v>
      </c>
      <c r="D149" s="9" t="n">
        <f aca="false">SUMIFS('Source 2026'!$Q:$Q,'Source 2026'!$B:$B,$A149,'Source 2026'!$A:$A,"Quantity (units)")</f>
        <v>78</v>
      </c>
      <c r="E149" s="9" t="n">
        <f aca="false">D149*$J$5</f>
        <v>98.5263157894737</v>
      </c>
      <c r="F149" s="9" t="n">
        <f aca="false">E149-C149</f>
        <v>16.5263157894737</v>
      </c>
      <c r="G149" s="13" t="n">
        <f aca="false">IF(AND(C149=0,E149=0),0,IF(C149=0,"New",(E149-C149)/C149))</f>
        <v>0.201540436456996</v>
      </c>
      <c r="H149" s="9" t="n">
        <f aca="false">SUMIFS('Source 2025'!$Q:$Q,'Source 2025'!$B:$B,$A149,'Source 2025'!$A:$A,"Amount (NIS)")</f>
        <v>10943</v>
      </c>
      <c r="I149" s="9" t="n">
        <f aca="false">SUMIFS('Source 2026'!$Q:$Q,'Source 2026'!$B:$B,$A149,'Source 2026'!$A:$A,"Amount (NIS)")</f>
        <v>10297.7</v>
      </c>
      <c r="J149" s="9" t="n">
        <f aca="false">I149*$J$5</f>
        <v>13007.6210526316</v>
      </c>
      <c r="K149" s="9" t="n">
        <f aca="false">J149-H149</f>
        <v>2064.62105263158</v>
      </c>
      <c r="L149" s="13" t="n">
        <f aca="false">IF(AND(H149=0,J149=0),0,IF(H149=0,"New",(J149-H149)/H149))</f>
        <v>0.188670479085404</v>
      </c>
    </row>
    <row r="150" customFormat="false" ht="15" hidden="false" customHeight="true" outlineLevel="0" collapsed="false">
      <c r="A150" s="8" t="s">
        <v>207</v>
      </c>
      <c r="B150" s="8" t="str">
        <f aca="false">IFERROR(INDEX('Source 2026'!$C:$C,MATCH($A150,'Source 2026'!$B:$B,0)),IFERROR(INDEX('Source 2025'!$C:$C,MATCH($A150,'Source 2025'!$B:$B,0)),""))</f>
        <v>מדרס מטטרזלי לנעלי עקב</v>
      </c>
      <c r="C150" s="9" t="n">
        <f aca="false">SUMIFS('Source 2025'!$Q:$Q,'Source 2025'!$B:$B,$A150,'Source 2025'!$A:$A,"Quantity (units)")</f>
        <v>44</v>
      </c>
      <c r="D150" s="9" t="n">
        <f aca="false">SUMIFS('Source 2026'!$Q:$Q,'Source 2026'!$B:$B,$A150,'Source 2026'!$A:$A,"Quantity (units)")</f>
        <v>13</v>
      </c>
      <c r="E150" s="9" t="n">
        <f aca="false">D150*$J$5</f>
        <v>16.4210526315789</v>
      </c>
      <c r="F150" s="9" t="n">
        <f aca="false">E150-C150</f>
        <v>-27.5789473684211</v>
      </c>
      <c r="G150" s="13" t="n">
        <f aca="false">IF(AND(C150=0,E150=0),0,IF(C150=0,"New",(E150-C150)/C150))</f>
        <v>-0.626794258373206</v>
      </c>
      <c r="H150" s="9" t="n">
        <f aca="false">SUMIFS('Source 2025'!$Q:$Q,'Source 2025'!$B:$B,$A150,'Source 2025'!$A:$A,"Amount (NIS)")</f>
        <v>891.9</v>
      </c>
      <c r="I150" s="9" t="n">
        <f aca="false">SUMIFS('Source 2026'!$Q:$Q,'Source 2026'!$B:$B,$A150,'Source 2026'!$A:$A,"Amount (NIS)")</f>
        <v>266.4</v>
      </c>
      <c r="J150" s="9" t="n">
        <f aca="false">I150*$J$5</f>
        <v>336.505263157895</v>
      </c>
      <c r="K150" s="9" t="n">
        <f aca="false">J150-H150</f>
        <v>-555.394736842105</v>
      </c>
      <c r="L150" s="13" t="n">
        <f aca="false">IF(AND(H150=0,J150=0),0,IF(H150=0,"New",(J150-H150)/H150))</f>
        <v>-0.622709650007966</v>
      </c>
    </row>
    <row r="151" customFormat="false" ht="15" hidden="false" customHeight="true" outlineLevel="0" collapsed="false">
      <c r="A151" s="8" t="s">
        <v>292</v>
      </c>
      <c r="B151" s="8" t="str">
        <f aca="false">IFERROR(INDEX('Source 2026'!$C:$C,MATCH($A151,'Source 2026'!$B:$B,0)),IFERROR(INDEX('Source 2025'!$C:$C,MATCH($A151,'Source 2025'!$B:$B,0)),""))</f>
        <v>11אפורUGחגורת בטן</v>
      </c>
      <c r="C151" s="9" t="n">
        <f aca="false">SUMIFS('Source 2025'!$Q:$Q,'Source 2025'!$B:$B,$A151,'Source 2025'!$A:$A,"Quantity (units)")</f>
        <v>8</v>
      </c>
      <c r="D151" s="9" t="n">
        <f aca="false">SUMIFS('Source 2026'!$Q:$Q,'Source 2026'!$B:$B,$A151,'Source 2026'!$A:$A,"Quantity (units)")</f>
        <v>0</v>
      </c>
      <c r="E151" s="9" t="n">
        <f aca="false">D151*$J$5</f>
        <v>0</v>
      </c>
      <c r="F151" s="9" t="n">
        <f aca="false">E151-C151</f>
        <v>-8</v>
      </c>
      <c r="G151" s="13" t="n">
        <f aca="false">IF(AND(C151=0,E151=0),0,IF(C151=0,"New",(E151-C151)/C151))</f>
        <v>-1</v>
      </c>
      <c r="H151" s="9" t="n">
        <f aca="false">SUMIFS('Source 2025'!$Q:$Q,'Source 2025'!$B:$B,$A151,'Source 2025'!$A:$A,"Amount (NIS)")</f>
        <v>635.4</v>
      </c>
      <c r="I151" s="9" t="n">
        <f aca="false">SUMIFS('Source 2026'!$Q:$Q,'Source 2026'!$B:$B,$A151,'Source 2026'!$A:$A,"Amount (NIS)")</f>
        <v>17</v>
      </c>
      <c r="J151" s="9" t="n">
        <f aca="false">I151*$J$5</f>
        <v>21.4736842105263</v>
      </c>
      <c r="K151" s="9" t="n">
        <f aca="false">J151-H151</f>
        <v>-613.926315789474</v>
      </c>
      <c r="L151" s="13" t="n">
        <f aca="false">IF(AND(H151=0,J151=0),0,IF(H151=0,"New",(J151-H151)/H151))</f>
        <v>-0.966204462998857</v>
      </c>
    </row>
    <row r="152" customFormat="false" ht="15" hidden="false" customHeight="true" outlineLevel="0" collapsed="false">
      <c r="A152" s="8" t="s">
        <v>252</v>
      </c>
      <c r="B152" s="8" t="str">
        <f aca="false">IFERROR(INDEX('Source 2026'!$C:$C,MATCH($A152,'Source 2026'!$B:$B,0)),IFERROR(INDEX('Source 2025'!$C:$C,MATCH($A152,'Source 2025'!$B:$B,0)),""))</f>
        <v>גרבי כסף לסכרת מידה</v>
      </c>
      <c r="C152" s="9" t="n">
        <f aca="false">SUMIFS('Source 2025'!$Q:$Q,'Source 2025'!$B:$B,$A152,'Source 2025'!$A:$A,"Quantity (units)")</f>
        <v>39</v>
      </c>
      <c r="D152" s="9" t="n">
        <f aca="false">SUMIFS('Source 2026'!$Q:$Q,'Source 2026'!$B:$B,$A152,'Source 2026'!$A:$A,"Quantity (units)")</f>
        <v>18</v>
      </c>
      <c r="E152" s="9" t="n">
        <f aca="false">D152*$J$5</f>
        <v>22.7368421052632</v>
      </c>
      <c r="F152" s="9" t="n">
        <f aca="false">E152-C152</f>
        <v>-16.2631578947368</v>
      </c>
      <c r="G152" s="13" t="n">
        <f aca="false">IF(AND(C152=0,E152=0),0,IF(C152=0,"New",(E152-C152)/C152))</f>
        <v>-0.417004048582996</v>
      </c>
      <c r="H152" s="9" t="n">
        <f aca="false">SUMIFS('Source 2025'!$Q:$Q,'Source 2025'!$B:$B,$A152,'Source 2025'!$A:$A,"Amount (NIS)")</f>
        <v>1147.9</v>
      </c>
      <c r="I152" s="9" t="n">
        <f aca="false">SUMIFS('Source 2026'!$Q:$Q,'Source 2026'!$B:$B,$A152,'Source 2026'!$A:$A,"Amount (NIS)")</f>
        <v>530.1</v>
      </c>
      <c r="J152" s="9" t="n">
        <f aca="false">I152*$J$5</f>
        <v>669.6</v>
      </c>
      <c r="K152" s="9" t="n">
        <f aca="false">J152-H152</f>
        <v>-478.3</v>
      </c>
      <c r="L152" s="13" t="n">
        <f aca="false">IF(AND(H152=0,J152=0),0,IF(H152=0,"New",(J152-H152)/H152))</f>
        <v>-0.4166739263002</v>
      </c>
    </row>
    <row r="153" customFormat="false" ht="15" hidden="false" customHeight="true" outlineLevel="0" collapsed="false">
      <c r="A153" s="8" t="s">
        <v>170</v>
      </c>
      <c r="B153" s="8" t="str">
        <f aca="false">IFERROR(INDEX('Source 2026'!$C:$C,MATCH($A153,'Source 2026'!$B:$B,0)),IFERROR(INDEX('Source 2025'!$C:$C,MATCH($A153,'Source 2025'!$B:$B,0)),""))</f>
        <v>37-38 מדרסי סיליק.לח.סכרת</v>
      </c>
      <c r="C153" s="9" t="n">
        <f aca="false">SUMIFS('Source 2025'!$Q:$Q,'Source 2025'!$B:$B,$A153,'Source 2025'!$A:$A,"Quantity (units)")</f>
        <v>-6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6</v>
      </c>
      <c r="G153" s="13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-615.6</v>
      </c>
      <c r="I153" s="9" t="n">
        <f aca="false">SUMIFS('Source 2026'!$Q:$Q,'Source 2026'!$B:$B,$A153,'Source 2026'!$A:$A,"Amount (NIS)")</f>
        <v>0</v>
      </c>
      <c r="J153" s="9" t="n">
        <f aca="false">I153*$J$5</f>
        <v>0</v>
      </c>
      <c r="K153" s="9" t="n">
        <f aca="false">J153-H153</f>
        <v>615.6</v>
      </c>
      <c r="L153" s="13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109</v>
      </c>
      <c r="B154" s="8" t="str">
        <f aca="false">IFERROR(INDEX('Source 2026'!$C:$C,MATCH($A154,'Source 2026'!$B:$B,0)),IFERROR(INDEX('Source 2025'!$C:$C,MATCH($A154,'Source 2025'!$B:$B,0)),""))</f>
        <v>S תומך זרוע וכתף</v>
      </c>
      <c r="C154" s="9" t="n">
        <f aca="false">SUMIFS('Source 2025'!$Q:$Q,'Source 2025'!$B:$B,$A154,'Source 2025'!$A:$A,"Quantity (units)")</f>
        <v>13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9.73684210526316</v>
      </c>
      <c r="G154" s="13" t="n">
        <f aca="false">IF(AND(C154=0,E154=0),0,IF(C154=0,"New",(E154-C154)/C154))</f>
        <v>0.748987854251012</v>
      </c>
      <c r="H154" s="9" t="n">
        <f aca="false">SUMIFS('Source 2025'!$Q:$Q,'Source 2025'!$B:$B,$A154,'Source 2025'!$A:$A,"Amount (NIS)")</f>
        <v>2138.2</v>
      </c>
      <c r="I154" s="9" t="n">
        <f aca="false">SUMIFS('Source 2026'!$Q:$Q,'Source 2026'!$B:$B,$A154,'Source 2026'!$A:$A,"Amount (NIS)")</f>
        <v>2741</v>
      </c>
      <c r="J154" s="9" t="n">
        <f aca="false">I154*$J$5</f>
        <v>3462.31578947368</v>
      </c>
      <c r="K154" s="9" t="n">
        <f aca="false">J154-H154</f>
        <v>1324.11578947368</v>
      </c>
      <c r="L154" s="13" t="n">
        <f aca="false">IF(AND(H154=0,J154=0),0,IF(H154=0,"New",(J154-H154)/H154))</f>
        <v>0.619266574442842</v>
      </c>
    </row>
    <row r="155" customFormat="false" ht="15" hidden="false" customHeight="true" outlineLevel="0" collapsed="false">
      <c r="A155" s="8" t="s">
        <v>154</v>
      </c>
      <c r="B155" s="8" t="str">
        <f aca="false">IFERROR(INDEX('Source 2026'!$C:$C,MATCH($A155,'Source 2026'!$B:$B,0)),IFERROR(INDEX('Source 2025'!$C:$C,MATCH($A155,'Source 2025'!$B:$B,0)),""))</f>
        <v>S חבק יד</v>
      </c>
      <c r="C155" s="9" t="n">
        <f aca="false">SUMIFS('Source 2025'!$Q:$Q,'Source 2025'!$B:$B,$A155,'Source 2025'!$A:$A,"Quantity (units)")</f>
        <v>34</v>
      </c>
      <c r="D155" s="9" t="n">
        <f aca="false">SUMIFS('Source 2026'!$Q:$Q,'Source 2026'!$B:$B,$A155,'Source 2026'!$A:$A,"Quantity (units)")</f>
        <v>26</v>
      </c>
      <c r="E155" s="9" t="n">
        <f aca="false">D155*$J$5</f>
        <v>32.8421052631579</v>
      </c>
      <c r="F155" s="9" t="n">
        <f aca="false">E155-C155</f>
        <v>-1.15789473684211</v>
      </c>
      <c r="G155" s="13" t="n">
        <f aca="false">IF(AND(C155=0,E155=0),0,IF(C155=0,"New",(E155-C155)/C155))</f>
        <v>-0.0340557275541797</v>
      </c>
      <c r="H155" s="9" t="n">
        <f aca="false">SUMIFS('Source 2025'!$Q:$Q,'Source 2025'!$B:$B,$A155,'Source 2025'!$A:$A,"Amount (NIS)")</f>
        <v>2534.3</v>
      </c>
      <c r="I155" s="9" t="n">
        <f aca="false">SUMIFS('Source 2026'!$Q:$Q,'Source 2026'!$B:$B,$A155,'Source 2026'!$A:$A,"Amount (NIS)")</f>
        <v>1944.3</v>
      </c>
      <c r="J155" s="9" t="n">
        <f aca="false">I155*$J$5</f>
        <v>2455.95789473684</v>
      </c>
      <c r="K155" s="9" t="n">
        <f aca="false">J155-H155</f>
        <v>-78.3421052631579</v>
      </c>
      <c r="L155" s="13" t="n">
        <f aca="false">IF(AND(H155=0,J155=0),0,IF(H155=0,"New",(J155-H155)/H155))</f>
        <v>-0.0309127195924547</v>
      </c>
    </row>
    <row r="156" customFormat="false" ht="15" hidden="false" customHeight="true" outlineLevel="0" collapsed="false">
      <c r="A156" s="8" t="s">
        <v>269</v>
      </c>
      <c r="B156" s="8" t="str">
        <f aca="false">IFERROR(INDEX('Source 2026'!$C:$C,MATCH($A156,'Source 2026'!$B:$B,0)),IFERROR(INDEX('Source 2025'!$C:$C,MATCH($A156,'Source 2025'!$B:$B,0)),""))</f>
        <v>M חבק יד אגודלי</v>
      </c>
      <c r="C156" s="9" t="n">
        <f aca="false">SUMIFS('Source 2025'!$Q:$Q,'Source 2025'!$B:$B,$A156,'Source 2025'!$A:$A,"Quantity (units)")</f>
        <v>-11</v>
      </c>
      <c r="D156" s="9" t="n">
        <f aca="false">SUMIFS('Source 2026'!$Q:$Q,'Source 2026'!$B:$B,$A156,'Source 2026'!$A:$A,"Quantity (units)")</f>
        <v>-2</v>
      </c>
      <c r="E156" s="9" t="n">
        <f aca="false">D156*$J$5</f>
        <v>-2.52631578947368</v>
      </c>
      <c r="F156" s="9" t="n">
        <f aca="false">E156-C156</f>
        <v>8.47368421052632</v>
      </c>
      <c r="G156" s="13" t="n">
        <f aca="false">IF(AND(C156=0,E156=0),0,IF(C156=0,"New",(E156-C156)/C156))</f>
        <v>-0.770334928229665</v>
      </c>
      <c r="H156" s="9" t="n">
        <f aca="false">SUMIFS('Source 2025'!$Q:$Q,'Source 2025'!$B:$B,$A156,'Source 2025'!$A:$A,"Amount (NIS)")</f>
        <v>-699.8</v>
      </c>
      <c r="I156" s="9" t="n">
        <f aca="false">SUMIFS('Source 2026'!$Q:$Q,'Source 2026'!$B:$B,$A156,'Source 2026'!$A:$A,"Amount (NIS)")</f>
        <v>-124</v>
      </c>
      <c r="J156" s="9" t="n">
        <f aca="false">I156*$J$5</f>
        <v>-156.631578947368</v>
      </c>
      <c r="K156" s="9" t="n">
        <f aca="false">J156-H156</f>
        <v>543.168421052632</v>
      </c>
      <c r="L156" s="13" t="n">
        <f aca="false">IF(AND(H156=0,J156=0),0,IF(H156=0,"New",(J156-H156)/H156))</f>
        <v>-0.776176651975753</v>
      </c>
    </row>
    <row r="157" customFormat="false" ht="15" hidden="false" customHeight="true" outlineLevel="0" collapsed="false">
      <c r="A157" s="8" t="s">
        <v>255</v>
      </c>
      <c r="B157" s="8" t="str">
        <f aca="false">IFERROR(INDEX('Source 2026'!$C:$C,MATCH($A157,'Source 2026'!$B:$B,0)),IFERROR(INDEX('Source 2025'!$C:$C,MATCH($A157,'Source 2025'!$B:$B,0)),""))</f>
        <v>Sחגורה למנותחי בטן</v>
      </c>
      <c r="C157" s="9" t="n">
        <f aca="false">SUMIFS('Source 2025'!$Q:$Q,'Source 2025'!$B:$B,$A157,'Source 2025'!$A:$A,"Quantity (units)")</f>
        <v>6</v>
      </c>
      <c r="D157" s="9" t="n">
        <f aca="false">SUMIFS('Source 2026'!$Q:$Q,'Source 2026'!$B:$B,$A157,'Source 2026'!$A:$A,"Quantity (units)")</f>
        <v>1</v>
      </c>
      <c r="E157" s="9" t="n">
        <f aca="false">D157*$J$5</f>
        <v>1.26315789473684</v>
      </c>
      <c r="F157" s="9" t="n">
        <f aca="false">E157-C157</f>
        <v>-4.73684210526316</v>
      </c>
      <c r="G157" s="13" t="n">
        <f aca="false">IF(AND(C157=0,E157=0),0,IF(C157=0,"New",(E157-C157)/C157))</f>
        <v>-0.789473684210526</v>
      </c>
      <c r="H157" s="9" t="n">
        <f aca="false">SUMIFS('Source 2025'!$Q:$Q,'Source 2025'!$B:$B,$A157,'Source 2025'!$A:$A,"Amount (NIS)")</f>
        <v>630.4</v>
      </c>
      <c r="I157" s="9" t="n">
        <f aca="false">SUMIFS('Source 2026'!$Q:$Q,'Source 2026'!$B:$B,$A157,'Source 2026'!$A:$A,"Amount (NIS)")</f>
        <v>99.2</v>
      </c>
      <c r="J157" s="9" t="n">
        <f aca="false">I157*$J$5</f>
        <v>125.305263157895</v>
      </c>
      <c r="K157" s="9" t="n">
        <f aca="false">J157-H157</f>
        <v>-505.094736842105</v>
      </c>
      <c r="L157" s="13" t="n">
        <f aca="false">IF(AND(H157=0,J157=0),0,IF(H157=0,"New",(J157-H157)/H157))</f>
        <v>-0.80122896072669</v>
      </c>
    </row>
    <row r="158" customFormat="false" ht="15" hidden="false" customHeight="true" outlineLevel="0" collapsed="false">
      <c r="A158" s="8" t="s">
        <v>328</v>
      </c>
      <c r="B158" s="8" t="str">
        <f aca="false">IFERROR(INDEX('Source 2026'!$C:$C,MATCH($A158,'Source 2026'!$B:$B,0)),IFERROR(INDEX('Source 2025'!$C:$C,MATCH($A158,'Source 2025'!$B:$B,0)),""))</f>
        <v>סד לילה לבוהן</v>
      </c>
      <c r="C158" s="9" t="n">
        <f aca="false">SUMIFS('Source 2025'!$Q:$Q,'Source 2025'!$B:$B,$A158,'Source 2025'!$A:$A,"Quantity (units)")</f>
        <v>-12</v>
      </c>
      <c r="D158" s="9" t="n">
        <f aca="false">SUMIFS('Source 2026'!$Q:$Q,'Source 2026'!$B:$B,$A158,'Source 2026'!$A:$A,"Quantity (units)")</f>
        <v>-4</v>
      </c>
      <c r="E158" s="9" t="n">
        <f aca="false">D158*$J$5</f>
        <v>-5.05263157894737</v>
      </c>
      <c r="F158" s="9" t="n">
        <f aca="false">E158-C158</f>
        <v>6.94736842105263</v>
      </c>
      <c r="G158" s="13" t="n">
        <f aca="false">IF(AND(C158=0,E158=0),0,IF(C158=0,"New",(E158-C158)/C158))</f>
        <v>-0.578947368421053</v>
      </c>
      <c r="H158" s="9" t="n">
        <f aca="false">SUMIFS('Source 2025'!$Q:$Q,'Source 2025'!$B:$B,$A158,'Source 2025'!$A:$A,"Amount (NIS)")</f>
        <v>-769.9</v>
      </c>
      <c r="I158" s="9" t="n">
        <f aca="false">SUMIFS('Source 2026'!$Q:$Q,'Source 2026'!$B:$B,$A158,'Source 2026'!$A:$A,"Amount (NIS)")</f>
        <v>-256.6</v>
      </c>
      <c r="J158" s="9" t="n">
        <f aca="false">I158*$J$5</f>
        <v>-324.126315789474</v>
      </c>
      <c r="K158" s="9" t="n">
        <f aca="false">J158-H158</f>
        <v>445.773684210526</v>
      </c>
      <c r="L158" s="13" t="n">
        <f aca="false">IF(AND(H158=0,J158=0),0,IF(H158=0,"New",(J158-H158)/H158))</f>
        <v>-0.5790020576835</v>
      </c>
    </row>
    <row r="159" customFormat="false" ht="15" hidden="false" customHeight="true" outlineLevel="0" collapsed="false">
      <c r="A159" s="8" t="s">
        <v>286</v>
      </c>
      <c r="B159" s="8" t="str">
        <f aca="false">IFERROR(INDEX('Source 2026'!$C:$C,MATCH($A159,'Source 2026'!$B:$B,0)),IFERROR(INDEX('Source 2025'!$C:$C,MATCH($A159,'Source 2025'!$B:$B,0)),""))</f>
        <v>M'חגורת גב+סגירה כפו בז</v>
      </c>
      <c r="C159" s="9" t="n">
        <f aca="false">SUMIFS('Source 2025'!$Q:$Q,'Source 2025'!$B:$B,$A159,'Source 2025'!$A:$A,"Quantity (units)")</f>
        <v>-12</v>
      </c>
      <c r="D159" s="9" t="n">
        <f aca="false">SUMIFS('Source 2026'!$Q:$Q,'Source 2026'!$B:$B,$A159,'Source 2026'!$A:$A,"Quantity (units)")</f>
        <v>-17</v>
      </c>
      <c r="E159" s="9" t="n">
        <f aca="false">D159*$J$5</f>
        <v>-21.4736842105263</v>
      </c>
      <c r="F159" s="9" t="n">
        <f aca="false">E159-C159</f>
        <v>-9.47368421052632</v>
      </c>
      <c r="G159" s="13" t="n">
        <f aca="false">IF(AND(C159=0,E159=0),0,IF(C159=0,"New",(E159-C159)/C159))</f>
        <v>0.789473684210526</v>
      </c>
      <c r="H159" s="9" t="n">
        <f aca="false">SUMIFS('Source 2025'!$Q:$Q,'Source 2025'!$B:$B,$A159,'Source 2025'!$A:$A,"Amount (NIS)")</f>
        <v>-1099.2</v>
      </c>
      <c r="I159" s="9" t="n">
        <f aca="false">SUMIFS('Source 2026'!$Q:$Q,'Source 2026'!$B:$B,$A159,'Source 2026'!$A:$A,"Amount (NIS)")</f>
        <v>-1561.8</v>
      </c>
      <c r="J159" s="9" t="n">
        <f aca="false">I159*$J$5</f>
        <v>-1972.8</v>
      </c>
      <c r="K159" s="9" t="n">
        <f aca="false">J159-H159</f>
        <v>-873.6</v>
      </c>
      <c r="L159" s="13" t="n">
        <f aca="false">IF(AND(H159=0,J159=0),0,IF(H159=0,"New",(J159-H159)/H159))</f>
        <v>0.794759825327511</v>
      </c>
    </row>
    <row r="160" customFormat="false" ht="15" hidden="false" customHeight="true" outlineLevel="0" collapsed="false">
      <c r="A160" s="8" t="s">
        <v>213</v>
      </c>
      <c r="B160" s="8" t="str">
        <f aca="false">IFERROR(INDEX('Source 2026'!$C:$C,MATCH($A160,'Source 2026'!$B:$B,0)),IFERROR(INDEX('Source 2025'!$C:$C,MATCH($A160,'Source 2025'!$B:$B,0)),""))</f>
        <v>S מגן שוק</v>
      </c>
      <c r="C160" s="9" t="n">
        <f aca="false">SUMIFS('Source 2025'!$Q:$Q,'Source 2025'!$B:$B,$A160,'Source 2025'!$A:$A,"Quantity (units)")</f>
        <v>-5</v>
      </c>
      <c r="D160" s="9" t="n">
        <f aca="false">SUMIFS('Source 2026'!$Q:$Q,'Source 2026'!$B:$B,$A160,'Source 2026'!$A:$A,"Quantity (units)")</f>
        <v>0</v>
      </c>
      <c r="E160" s="9" t="n">
        <f aca="false">D160*$J$5</f>
        <v>0</v>
      </c>
      <c r="F160" s="9" t="n">
        <f aca="false">E160-C160</f>
        <v>5</v>
      </c>
      <c r="G160" s="13" t="n">
        <f aca="false">IF(AND(C160=0,E160=0),0,IF(C160=0,"New",(E160-C160)/C160))</f>
        <v>-1</v>
      </c>
      <c r="H160" s="9" t="n">
        <f aca="false">SUMIFS('Source 2025'!$Q:$Q,'Source 2025'!$B:$B,$A160,'Source 2025'!$A:$A,"Amount (NIS)")</f>
        <v>-450.5</v>
      </c>
      <c r="I160" s="9" t="n">
        <f aca="false">SUMIFS('Source 2026'!$Q:$Q,'Source 2026'!$B:$B,$A160,'Source 2026'!$A:$A,"Amount (NIS)")</f>
        <v>0</v>
      </c>
      <c r="J160" s="9" t="n">
        <f aca="false">I160*$J$5</f>
        <v>0</v>
      </c>
      <c r="K160" s="9" t="n">
        <f aca="false">J160-H160</f>
        <v>450.5</v>
      </c>
      <c r="L160" s="13" t="n">
        <f aca="false">IF(AND(H160=0,J160=0),0,IF(H160=0,"New",(J160-H160)/H160))</f>
        <v>-1</v>
      </c>
    </row>
    <row r="161" customFormat="false" ht="15" hidden="false" customHeight="true" outlineLevel="0" collapsed="false">
      <c r="A161" s="8" t="s">
        <v>216</v>
      </c>
      <c r="B161" s="8" t="str">
        <f aca="false">IFERROR(INDEX('Source 2026'!$C:$C,MATCH($A161,'Source 2026'!$B:$B,0)),IFERROR(INDEX('Source 2025'!$C:$C,MATCH($A161,'Source 2025'!$B:$B,0)),""))</f>
        <v>להסרת עור קשה</v>
      </c>
      <c r="C161" s="9" t="n">
        <f aca="false">SUMIFS('Source 2025'!$Q:$Q,'Source 2025'!$B:$B,$A161,'Source 2025'!$A:$A,"Quantity (units)")</f>
        <v>68</v>
      </c>
      <c r="D161" s="9" t="n">
        <f aca="false">SUMIFS('Source 2026'!$Q:$Q,'Source 2026'!$B:$B,$A161,'Source 2026'!$A:$A,"Quantity (units)")</f>
        <v>50</v>
      </c>
      <c r="E161" s="9" t="n">
        <f aca="false">D161*$J$5</f>
        <v>63.1578947368421</v>
      </c>
      <c r="F161" s="9" t="n">
        <f aca="false">E161-C161</f>
        <v>-4.8421052631579</v>
      </c>
      <c r="G161" s="13" t="n">
        <f aca="false">IF(AND(C161=0,E161=0),0,IF(C161=0,"New",(E161-C161)/C161))</f>
        <v>-0.0712074303405573</v>
      </c>
      <c r="H161" s="9" t="n">
        <f aca="false">SUMIFS('Source 2025'!$Q:$Q,'Source 2025'!$B:$B,$A161,'Source 2025'!$A:$A,"Amount (NIS)")</f>
        <v>1686.8</v>
      </c>
      <c r="I161" s="9" t="n">
        <f aca="false">SUMIFS('Source 2026'!$Q:$Q,'Source 2026'!$B:$B,$A161,'Source 2026'!$A:$A,"Amount (NIS)")</f>
        <v>1237.6</v>
      </c>
      <c r="J161" s="9" t="n">
        <f aca="false">I161*$J$5</f>
        <v>1563.28421052632</v>
      </c>
      <c r="K161" s="9" t="n">
        <f aca="false">J161-H161</f>
        <v>-123.515789473684</v>
      </c>
      <c r="L161" s="13" t="n">
        <f aca="false">IF(AND(H161=0,J161=0),0,IF(H161=0,"New",(J161-H161)/H161))</f>
        <v>-0.0732249166905884</v>
      </c>
    </row>
    <row r="162" customFormat="false" ht="15" hidden="false" customHeight="true" outlineLevel="0" collapsed="false">
      <c r="A162" s="8" t="s">
        <v>194</v>
      </c>
      <c r="B162" s="8" t="str">
        <f aca="false">IFERROR(INDEX('Source 2026'!$C:$C,MATCH($A162,'Source 2026'!$B:$B,0)),IFERROR(INDEX('Source 2025'!$C:$C,MATCH($A162,'Source 2025'!$B:$B,0)),""))</f>
        <v>Sמ.ברך מוצלב+ספירלות בצדדים</v>
      </c>
      <c r="C162" s="9" t="n">
        <f aca="false">SUMIFS('Source 2025'!$Q:$Q,'Source 2025'!$B:$B,$A162,'Source 2025'!$A:$A,"Quantity (units)")</f>
        <v>7</v>
      </c>
      <c r="D162" s="9" t="n">
        <f aca="false">SUMIFS('Source 2026'!$Q:$Q,'Source 2026'!$B:$B,$A162,'Source 2026'!$A:$A,"Quantity (units)")</f>
        <v>3</v>
      </c>
      <c r="E162" s="9" t="n">
        <f aca="false">D162*$J$5</f>
        <v>3.78947368421053</v>
      </c>
      <c r="F162" s="9" t="n">
        <f aca="false">E162-C162</f>
        <v>-3.21052631578947</v>
      </c>
      <c r="G162" s="13" t="n">
        <f aca="false">IF(AND(C162=0,E162=0),0,IF(C162=0,"New",(E162-C162)/C162))</f>
        <v>-0.458646616541353</v>
      </c>
      <c r="H162" s="9" t="n">
        <f aca="false">SUMIFS('Source 2025'!$Q:$Q,'Source 2025'!$B:$B,$A162,'Source 2025'!$A:$A,"Amount (NIS)")</f>
        <v>745.3</v>
      </c>
      <c r="I162" s="9" t="n">
        <f aca="false">SUMIFS('Source 2026'!$Q:$Q,'Source 2026'!$B:$B,$A162,'Source 2026'!$A:$A,"Amount (NIS)")</f>
        <v>322.6</v>
      </c>
      <c r="J162" s="9" t="n">
        <f aca="false">I162*$J$5</f>
        <v>407.494736842105</v>
      </c>
      <c r="K162" s="9" t="n">
        <f aca="false">J162-H162</f>
        <v>-337.805263157895</v>
      </c>
      <c r="L162" s="13" t="n">
        <f aca="false">IF(AND(H162=0,J162=0),0,IF(H162=0,"New",(J162-H162)/H162))</f>
        <v>-0.453247367714873</v>
      </c>
    </row>
    <row r="163" customFormat="false" ht="15" hidden="false" customHeight="true" outlineLevel="0" collapsed="false">
      <c r="A163" s="8" t="s">
        <v>217</v>
      </c>
      <c r="B163" s="8" t="str">
        <f aca="false">IFERROR(INDEX('Source 2026'!$C:$C,MATCH($A163,'Source 2026'!$B:$B,0)),IFERROR(INDEX('Source 2025'!$C:$C,MATCH($A163,'Source 2025'!$B:$B,0)),""))</f>
        <v>סכינים למקצוע</v>
      </c>
      <c r="C163" s="9" t="n">
        <f aca="false">SUMIFS('Source 2025'!$Q:$Q,'Source 2025'!$B:$B,$A163,'Source 2025'!$A:$A,"Quantity (units)")</f>
        <v>97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-33.8421052631579</v>
      </c>
      <c r="G163" s="13" t="n">
        <f aca="false">IF(AND(C163=0,E163=0),0,IF(C163=0,"New",(E163-C163)/C163))</f>
        <v>-0.348887683125339</v>
      </c>
      <c r="H163" s="9" t="n">
        <f aca="false">SUMIFS('Source 2025'!$Q:$Q,'Source 2025'!$B:$B,$A163,'Source 2025'!$A:$A,"Amount (NIS)")</f>
        <v>791.2</v>
      </c>
      <c r="I163" s="9" t="n">
        <f aca="false">SUMIFS('Source 2026'!$Q:$Q,'Source 2026'!$B:$B,$A163,'Source 2026'!$A:$A,"Amount (NIS)")</f>
        <v>387.7</v>
      </c>
      <c r="J163" s="9" t="n">
        <f aca="false">I163*$J$5</f>
        <v>489.726315789474</v>
      </c>
      <c r="K163" s="9" t="n">
        <f aca="false">J163-H163</f>
        <v>-301.473684210526</v>
      </c>
      <c r="L163" s="13" t="n">
        <f aca="false">IF(AND(H163=0,J163=0),0,IF(H163=0,"New",(J163-H163)/H163))</f>
        <v>-0.381033473471343</v>
      </c>
    </row>
    <row r="164" customFormat="false" ht="15" hidden="false" customHeight="true" outlineLevel="0" collapsed="false">
      <c r="A164" s="8" t="s">
        <v>364</v>
      </c>
      <c r="B164" s="8" t="str">
        <f aca="false">IFERROR(INDEX('Source 2026'!$C:$C,MATCH($A164,'Source 2026'!$B:$B,0)),IFERROR(INDEX('Source 2025'!$C:$C,MATCH($A164,'Source 2025'!$B:$B,0)),""))</f>
        <v>כרית שינה חלומי</v>
      </c>
      <c r="C164" s="9" t="n">
        <f aca="false">SUMIFS('Source 2025'!$Q:$Q,'Source 2025'!$B:$B,$A164,'Source 2025'!$A:$A,"Quantity (units)")</f>
        <v>-3</v>
      </c>
      <c r="D164" s="9" t="n">
        <f aca="false">SUMIFS('Source 2026'!$Q:$Q,'Source 2026'!$B:$B,$A164,'Source 2026'!$A:$A,"Quantity (units)")</f>
        <v>0</v>
      </c>
      <c r="E164" s="9" t="n">
        <f aca="false">D164*$J$5</f>
        <v>0</v>
      </c>
      <c r="F164" s="9" t="n">
        <f aca="false">E164-C164</f>
        <v>3</v>
      </c>
      <c r="G164" s="13" t="n">
        <f aca="false">IF(AND(C164=0,E164=0),0,IF(C164=0,"New",(E164-C164)/C164))</f>
        <v>-1</v>
      </c>
      <c r="H164" s="9" t="n">
        <f aca="false">SUMIFS('Source 2025'!$Q:$Q,'Source 2025'!$B:$B,$A164,'Source 2025'!$A:$A,"Amount (NIS)")</f>
        <v>-393.2</v>
      </c>
      <c r="I164" s="9" t="n">
        <f aca="false">SUMIFS('Source 2026'!$Q:$Q,'Source 2026'!$B:$B,$A164,'Source 2026'!$A:$A,"Amount (NIS)")</f>
        <v>0</v>
      </c>
      <c r="J164" s="9" t="n">
        <f aca="false">I164*$J$5</f>
        <v>0</v>
      </c>
      <c r="K164" s="9" t="n">
        <f aca="false">J164-H164</f>
        <v>393.2</v>
      </c>
      <c r="L164" s="13" t="n">
        <f aca="false">IF(AND(H164=0,J164=0),0,IF(H164=0,"New",(J164-H164)/H164))</f>
        <v>-1</v>
      </c>
    </row>
    <row r="165" customFormat="false" ht="15" hidden="false" customHeight="true" outlineLevel="0" collapsed="false">
      <c r="A165" s="8" t="s">
        <v>295</v>
      </c>
      <c r="B165" s="8" t="str">
        <f aca="false">IFERROR(INDEX('Source 2026'!$C:$C,MATCH($A165,'Source 2026'!$B:$B,0)),IFERROR(INDEX('Source 2025'!$C:$C,MATCH($A165,'Source 2025'!$B:$B,0)),""))</f>
        <v>מגן זרת מסיליקון</v>
      </c>
      <c r="C165" s="9" t="n">
        <f aca="false">SUMIFS('Source 2025'!$Q:$Q,'Source 2025'!$B:$B,$A165,'Source 2025'!$A:$A,"Quantity (units)")</f>
        <v>84</v>
      </c>
      <c r="D165" s="9" t="n">
        <f aca="false">SUMIFS('Source 2026'!$Q:$Q,'Source 2026'!$B:$B,$A165,'Source 2026'!$A:$A,"Quantity (units)")</f>
        <v>69</v>
      </c>
      <c r="E165" s="9" t="n">
        <f aca="false">D165*$J$5</f>
        <v>87.1578947368421</v>
      </c>
      <c r="F165" s="9" t="n">
        <f aca="false">E165-C165</f>
        <v>3.1578947368421</v>
      </c>
      <c r="G165" s="13" t="n">
        <f aca="false">IF(AND(C165=0,E165=0),0,IF(C165=0,"New",(E165-C165)/C165))</f>
        <v>0.0375939849624059</v>
      </c>
      <c r="H165" s="9" t="n">
        <f aca="false">SUMIFS('Source 2025'!$Q:$Q,'Source 2025'!$B:$B,$A165,'Source 2025'!$A:$A,"Amount (NIS)")</f>
        <v>2147.5</v>
      </c>
      <c r="I165" s="9" t="n">
        <f aca="false">SUMIFS('Source 2026'!$Q:$Q,'Source 2026'!$B:$B,$A165,'Source 2026'!$A:$A,"Amount (NIS)")</f>
        <v>1774.1</v>
      </c>
      <c r="J165" s="9" t="n">
        <f aca="false">I165*$J$5</f>
        <v>2240.96842105263</v>
      </c>
      <c r="K165" s="9" t="n">
        <f aca="false">J165-H165</f>
        <v>93.4684210526311</v>
      </c>
      <c r="L165" s="13" t="n">
        <f aca="false">IF(AND(H165=0,J165=0),0,IF(H165=0,"New",(J165-H165)/H165))</f>
        <v>0.043524293854543</v>
      </c>
    </row>
    <row r="166" customFormat="false" ht="15" hidden="false" customHeight="true" outlineLevel="0" collapsed="false">
      <c r="A166" s="8" t="s">
        <v>126</v>
      </c>
      <c r="B166" s="8" t="str">
        <f aca="false">IFERROR(INDEX('Source 2026'!$C:$C,MATCH($A166,'Source 2026'!$B:$B,0)),IFERROR(INDEX('Source 2025'!$C:$C,MATCH($A166,'Source 2025'!$B:$B,0)),""))</f>
        <v>S ח.בטן לאחר ניתוח</v>
      </c>
      <c r="C166" s="9" t="n">
        <f aca="false">SUMIFS('Source 2025'!$Q:$Q,'Source 2025'!$B:$B,$A166,'Source 2025'!$A:$A,"Quantity (units)")</f>
        <v>10</v>
      </c>
      <c r="D166" s="9" t="n">
        <f aca="false">SUMIFS('Source 2026'!$Q:$Q,'Source 2026'!$B:$B,$A166,'Source 2026'!$A:$A,"Quantity (units)")</f>
        <v>14</v>
      </c>
      <c r="E166" s="9" t="n">
        <f aca="false">D166*$J$5</f>
        <v>17.6842105263158</v>
      </c>
      <c r="F166" s="9" t="n">
        <f aca="false">E166-C166</f>
        <v>7.68421052631579</v>
      </c>
      <c r="G166" s="13" t="n">
        <f aca="false">IF(AND(C166=0,E166=0),0,IF(C166=0,"New",(E166-C166)/C166))</f>
        <v>0.768421052631579</v>
      </c>
      <c r="H166" s="9" t="n">
        <f aca="false">SUMIFS('Source 2025'!$Q:$Q,'Source 2025'!$B:$B,$A166,'Source 2025'!$A:$A,"Amount (NIS)")</f>
        <v>882.9</v>
      </c>
      <c r="I166" s="9" t="n">
        <f aca="false">SUMIFS('Source 2026'!$Q:$Q,'Source 2026'!$B:$B,$A166,'Source 2026'!$A:$A,"Amount (NIS)")</f>
        <v>1249.8</v>
      </c>
      <c r="J166" s="9" t="n">
        <f aca="false">I166*$J$5</f>
        <v>1578.69473684211</v>
      </c>
      <c r="K166" s="9" t="n">
        <f aca="false">J166-H166</f>
        <v>695.794736842105</v>
      </c>
      <c r="L166" s="13" t="n">
        <f aca="false">IF(AND(H166=0,J166=0),0,IF(H166=0,"New",(J166-H166)/H166))</f>
        <v>0.788078759590107</v>
      </c>
    </row>
    <row r="167" customFormat="false" ht="15" hidden="false" customHeight="true" outlineLevel="0" collapsed="false">
      <c r="A167" s="8" t="s">
        <v>299</v>
      </c>
      <c r="B167" s="8" t="str">
        <f aca="false">IFERROR(INDEX('Source 2026'!$C:$C,MATCH($A167,'Source 2026'!$B:$B,0)),IFERROR(INDEX('Source 2025'!$C:$C,MATCH($A167,'Source 2025'!$B:$B,0)),""))</f>
        <v>L מגן למפרק כתף</v>
      </c>
      <c r="C167" s="9" t="n">
        <f aca="false">SUMIFS('Source 2025'!$Q:$Q,'Source 2025'!$B:$B,$A167,'Source 2025'!$A:$A,"Quantity (units)")</f>
        <v>-2</v>
      </c>
      <c r="D167" s="9" t="n">
        <f aca="false">SUMIFS('Source 2026'!$Q:$Q,'Source 2026'!$B:$B,$A167,'Source 2026'!$A:$A,"Quantity (units)")</f>
        <v>-1</v>
      </c>
      <c r="E167" s="9" t="n">
        <f aca="false">D167*$J$5</f>
        <v>-1.26315789473684</v>
      </c>
      <c r="F167" s="9" t="n">
        <f aca="false">E167-C167</f>
        <v>0.736842105263158</v>
      </c>
      <c r="G167" s="13" t="n">
        <f aca="false">IF(AND(C167=0,E167=0),0,IF(C167=0,"New",(E167-C167)/C167))</f>
        <v>-0.368421052631579</v>
      </c>
      <c r="H167" s="9" t="n">
        <f aca="false">SUMIFS('Source 2025'!$Q:$Q,'Source 2025'!$B:$B,$A167,'Source 2025'!$A:$A,"Amount (NIS)")</f>
        <v>-570.3</v>
      </c>
      <c r="I167" s="9" t="n">
        <f aca="false">SUMIFS('Source 2026'!$Q:$Q,'Source 2026'!$B:$B,$A167,'Source 2026'!$A:$A,"Amount (NIS)")</f>
        <v>-208.4</v>
      </c>
      <c r="J167" s="9" t="n">
        <f aca="false">I167*$J$5</f>
        <v>-263.242105263158</v>
      </c>
      <c r="K167" s="9" t="n">
        <f aca="false">J167-H167</f>
        <v>307.057894736842</v>
      </c>
      <c r="L167" s="13" t="n">
        <f aca="false">IF(AND(H167=0,J167=0),0,IF(H167=0,"New",(J167-H167)/H167))</f>
        <v>-0.538414684791938</v>
      </c>
    </row>
    <row r="168" customFormat="false" ht="15" hidden="false" customHeight="true" outlineLevel="0" collapsed="false">
      <c r="A168" s="8" t="s">
        <v>225</v>
      </c>
      <c r="B168" s="8" t="str">
        <f aca="false">IFERROR(INDEX('Source 2026'!$C:$C,MATCH($A168,'Source 2026'!$B:$B,0)),IFERROR(INDEX('Source 2025'!$C:$C,MATCH($A168,'Source 2025'!$B:$B,0)),""))</f>
        <v>רפ.אורטופדית ספורט זוג35</v>
      </c>
      <c r="C168" s="9" t="n">
        <f aca="false">SUMIFS('Source 2025'!$Q:$Q,'Source 2025'!$B:$B,$A168,'Source 2025'!$A:$A,"Quantity (units)")</f>
        <v>3</v>
      </c>
      <c r="D168" s="9" t="n">
        <f aca="false">SUMIFS('Source 2026'!$Q:$Q,'Source 2026'!$B:$B,$A168,'Source 2026'!$A:$A,"Quantity (units)")</f>
        <v>-6</v>
      </c>
      <c r="E168" s="9" t="n">
        <f aca="false">D168*$J$5</f>
        <v>-7.57894736842105</v>
      </c>
      <c r="F168" s="9" t="n">
        <f aca="false">E168-C168</f>
        <v>-10.5789473684211</v>
      </c>
      <c r="G168" s="13" t="n">
        <f aca="false">IF(AND(C168=0,E168=0),0,IF(C168=0,"New",(E168-C168)/C168))</f>
        <v>-3.52631578947368</v>
      </c>
      <c r="H168" s="9" t="n">
        <f aca="false">SUMIFS('Source 2025'!$Q:$Q,'Source 2025'!$B:$B,$A168,'Source 2025'!$A:$A,"Amount (NIS)")</f>
        <v>121</v>
      </c>
      <c r="I168" s="9" t="n">
        <f aca="false">SUMIFS('Source 2026'!$Q:$Q,'Source 2026'!$B:$B,$A168,'Source 2026'!$A:$A,"Amount (NIS)")</f>
        <v>-215.2</v>
      </c>
      <c r="J168" s="9" t="n">
        <f aca="false">I168*$J$5</f>
        <v>-271.831578947368</v>
      </c>
      <c r="K168" s="9" t="n">
        <f aca="false">J168-H168</f>
        <v>-392.831578947368</v>
      </c>
      <c r="L168" s="13" t="n">
        <f aca="false">IF(AND(H168=0,J168=0),0,IF(H168=0,"New",(J168-H168)/H168))</f>
        <v>-3.24654197477164</v>
      </c>
    </row>
    <row r="169" customFormat="false" ht="15" hidden="false" customHeight="true" outlineLevel="0" collapsed="false">
      <c r="A169" s="8" t="s">
        <v>181</v>
      </c>
      <c r="B169" s="8" t="str">
        <f aca="false">IFERROR(INDEX('Source 2026'!$C:$C,MATCH($A169,'Source 2026'!$B:$B,0)),IFERROR(INDEX('Source 2025'!$C:$C,MATCH($A169,'Source 2025'!$B:$B,0)),""))</f>
        <v>S חגורת שבר לצד ימין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0</v>
      </c>
      <c r="E169" s="9" t="n">
        <f aca="false">D169*$J$5</f>
        <v>0</v>
      </c>
      <c r="F169" s="9" t="n">
        <f aca="false">E169-C169</f>
        <v>2</v>
      </c>
      <c r="G169" s="13" t="n">
        <f aca="false">IF(AND(C169=0,E169=0),0,IF(C169=0,"New",(E169-C169)/C169))</f>
        <v>-1</v>
      </c>
      <c r="H169" s="9" t="n">
        <f aca="false">SUMIFS('Source 2025'!$Q:$Q,'Source 2025'!$B:$B,$A169,'Source 2025'!$A:$A,"Amount (NIS)")</f>
        <v>-332.2</v>
      </c>
      <c r="I169" s="9" t="n">
        <f aca="false">SUMIFS('Source 2026'!$Q:$Q,'Source 2026'!$B:$B,$A169,'Source 2026'!$A:$A,"Amount (NIS)")</f>
        <v>0</v>
      </c>
      <c r="J169" s="9" t="n">
        <f aca="false">I169*$J$5</f>
        <v>0</v>
      </c>
      <c r="K169" s="9" t="n">
        <f aca="false">J169-H169</f>
        <v>332.2</v>
      </c>
      <c r="L169" s="13" t="n">
        <f aca="false">IF(AND(H169=0,J169=0),0,IF(H169=0,"New",(J169-H169)/H169))</f>
        <v>-1</v>
      </c>
    </row>
    <row r="170" customFormat="false" ht="15" hidden="false" customHeight="true" outlineLevel="0" collapsed="false">
      <c r="A170" s="8" t="s">
        <v>291</v>
      </c>
      <c r="B170" s="8" t="str">
        <f aca="false">IFERROR(INDEX('Source 2026'!$C:$C,MATCH($A170,'Source 2026'!$B:$B,0)),IFERROR(INDEX('Source 2025'!$C:$C,MATCH($A170,'Source 2025'!$B:$B,0)),""))</f>
        <v>S חגורת שבר לצד שמאל</v>
      </c>
      <c r="C170" s="9" t="n">
        <f aca="false">SUMIFS('Source 2025'!$Q:$Q,'Source 2025'!$B:$B,$A170,'Source 2025'!$A:$A,"Quantity (units)")</f>
        <v>-1</v>
      </c>
      <c r="D170" s="9" t="n">
        <f aca="false">SUMIFS('Source 2026'!$Q:$Q,'Source 2026'!$B:$B,$A170,'Source 2026'!$A:$A,"Quantity (units)")</f>
        <v>0</v>
      </c>
      <c r="E170" s="9" t="n">
        <f aca="false">D170*$J$5</f>
        <v>0</v>
      </c>
      <c r="F170" s="9" t="n">
        <f aca="false">E170-C170</f>
        <v>1</v>
      </c>
      <c r="G170" s="13" t="n">
        <f aca="false">IF(AND(C170=0,E170=0),0,IF(C170=0,"New",(E170-C170)/C170))</f>
        <v>-1</v>
      </c>
      <c r="H170" s="9" t="n">
        <f aca="false">SUMIFS('Source 2025'!$Q:$Q,'Source 2025'!$B:$B,$A170,'Source 2025'!$A:$A,"Amount (NIS)")</f>
        <v>-166.1</v>
      </c>
      <c r="I170" s="9" t="n">
        <f aca="false">SUMIFS('Source 2026'!$Q:$Q,'Source 2026'!$B:$B,$A170,'Source 2026'!$A:$A,"Amount (NIS)")</f>
        <v>162.5</v>
      </c>
      <c r="J170" s="9" t="n">
        <f aca="false">I170*$J$5</f>
        <v>205.263157894737</v>
      </c>
      <c r="K170" s="9" t="n">
        <f aca="false">J170-H170</f>
        <v>371.363157894737</v>
      </c>
      <c r="L170" s="13" t="n">
        <f aca="false">IF(AND(H170=0,J170=0),0,IF(H170=0,"New",(J170-H170)/H170))</f>
        <v>-2.23578060141323</v>
      </c>
    </row>
    <row r="171" customFormat="false" ht="15" hidden="false" customHeight="true" outlineLevel="0" collapsed="false">
      <c r="A171" s="8" t="s">
        <v>222</v>
      </c>
      <c r="B171" s="8" t="str">
        <f aca="false">IFERROR(INDEX('Source 2026'!$C:$C,MATCH($A171,'Source 2026'!$B:$B,0)),IFERROR(INDEX('Source 2025'!$C:$C,MATCH($A171,'Source 2025'!$B:$B,0)),""))</f>
        <v>S ח.הריון מכנס למניעת כאבים</v>
      </c>
      <c r="C171" s="9" t="n">
        <f aca="false">SUMIFS('Source 2025'!$Q:$Q,'Source 2025'!$B:$B,$A171,'Source 2025'!$A:$A,"Quantity (units)")</f>
        <v>0</v>
      </c>
      <c r="D171" s="9" t="n">
        <f aca="false">SUMIFS('Source 2026'!$Q:$Q,'Source 2026'!$B:$B,$A171,'Source 2026'!$A:$A,"Quantity (units)")</f>
        <v>-1</v>
      </c>
      <c r="E171" s="9" t="n">
        <f aca="false">D171*$J$5</f>
        <v>-1.26315789473684</v>
      </c>
      <c r="F171" s="9" t="n">
        <f aca="false">E171-C171</f>
        <v>-1.26315789473684</v>
      </c>
      <c r="G171" s="13" t="str">
        <f aca="false">IF(AND(C171=0,E171=0),0,IF(C171=0,"New",(E171-C171)/C171))</f>
        <v>New</v>
      </c>
      <c r="H171" s="9" t="n">
        <f aca="false">SUMIFS('Source 2025'!$Q:$Q,'Source 2025'!$B:$B,$A171,'Source 2025'!$A:$A,"Amount (NIS)")</f>
        <v>0</v>
      </c>
      <c r="I171" s="9" t="n">
        <f aca="false">SUMIFS('Source 2026'!$Q:$Q,'Source 2026'!$B:$B,$A171,'Source 2026'!$A:$A,"Amount (NIS)")</f>
        <v>-266.2</v>
      </c>
      <c r="J171" s="9" t="n">
        <f aca="false">I171*$J$5</f>
        <v>-336.252631578947</v>
      </c>
      <c r="K171" s="9" t="n">
        <f aca="false">J171-H171</f>
        <v>-336.252631578947</v>
      </c>
      <c r="L171" s="13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308</v>
      </c>
      <c r="B172" s="8" t="str">
        <f aca="false">IFERROR(INDEX('Source 2026'!$C:$C,MATCH($A172,'Source 2026'!$B:$B,0)),IFERROR(INDEX('Source 2025'!$C:$C,MATCH($A172,'Source 2025'!$B:$B,0)),""))</f>
        <v>יד לטניס כרית סילי</v>
      </c>
      <c r="C172" s="9" t="n">
        <f aca="false">SUMIFS('Source 2025'!$Q:$Q,'Source 2025'!$B:$B,$A172,'Source 2025'!$A:$A,"Quantity (units)")</f>
        <v>-2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2</v>
      </c>
      <c r="G172" s="13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-262.1</v>
      </c>
      <c r="I172" s="9" t="n">
        <f aca="false">SUMIFS('Source 2026'!$Q:$Q,'Source 2026'!$B:$B,$A172,'Source 2026'!$A:$A,"Amount (NIS)")</f>
        <v>0</v>
      </c>
      <c r="J172" s="9" t="n">
        <f aca="false">I172*$J$5</f>
        <v>0</v>
      </c>
      <c r="K172" s="9" t="n">
        <f aca="false">J172-H172</f>
        <v>262.1</v>
      </c>
      <c r="L172" s="13" t="n">
        <f aca="false">IF(AND(H172=0,J172=0),0,IF(H172=0,"New",(J172-H172)/H172))</f>
        <v>-1</v>
      </c>
    </row>
    <row r="173" customFormat="false" ht="15" hidden="false" customHeight="true" outlineLevel="0" collapsed="false">
      <c r="A173" s="8" t="s">
        <v>266</v>
      </c>
      <c r="B173" s="8" t="str">
        <f aca="false">IFERROR(INDEX('Source 2026'!$C:$C,MATCH($A173,'Source 2026'!$B:$B,0)),IFERROR(INDEX('Source 2025'!$C:$C,MATCH($A173,'Source 2025'!$B:$B,0)),""))</f>
        <v>Mמתלה ליד)כיס(+רצועת חיזוק</v>
      </c>
      <c r="C173" s="9" t="n">
        <f aca="false">SUMIFS('Source 2025'!$Q:$Q,'Source 2025'!$B:$B,$A173,'Source 2025'!$A:$A,"Quantity (units)")</f>
        <v>3</v>
      </c>
      <c r="D173" s="9" t="n">
        <f aca="false">SUMIFS('Source 2026'!$Q:$Q,'Source 2026'!$B:$B,$A173,'Source 2026'!$A:$A,"Quantity (units)")</f>
        <v>0</v>
      </c>
      <c r="E173" s="9" t="n">
        <f aca="false">D173*$J$5</f>
        <v>0</v>
      </c>
      <c r="F173" s="9" t="n">
        <f aca="false">E173-C173</f>
        <v>-3</v>
      </c>
      <c r="G173" s="13" t="n">
        <f aca="false">IF(AND(C173=0,E173=0),0,IF(C173=0,"New",(E173-C173)/C173))</f>
        <v>-1</v>
      </c>
      <c r="H173" s="9" t="n">
        <f aca="false">SUMIFS('Source 2025'!$Q:$Q,'Source 2025'!$B:$B,$A173,'Source 2025'!$A:$A,"Amount (NIS)")</f>
        <v>248.7</v>
      </c>
      <c r="I173" s="9" t="n">
        <f aca="false">SUMIFS('Source 2026'!$Q:$Q,'Source 2026'!$B:$B,$A173,'Source 2026'!$A:$A,"Amount (NIS)")</f>
        <v>0</v>
      </c>
      <c r="J173" s="9" t="n">
        <f aca="false">I173*$J$5</f>
        <v>0</v>
      </c>
      <c r="K173" s="9" t="n">
        <f aca="false">J173-H173</f>
        <v>-248.7</v>
      </c>
      <c r="L173" s="13" t="n">
        <f aca="false">IF(AND(H173=0,J173=0),0,IF(H173=0,"New",(J173-H173)/H173))</f>
        <v>-1</v>
      </c>
    </row>
    <row r="174" customFormat="false" ht="15" hidden="false" customHeight="true" outlineLevel="0" collapsed="false">
      <c r="A174" s="8" t="s">
        <v>365</v>
      </c>
      <c r="B174" s="8" t="str">
        <f aca="false">IFERROR(INDEX('Source 2026'!$C:$C,MATCH($A174,'Source 2026'!$B:$B,0)),IFERROR(INDEX('Source 2025'!$C:$C,MATCH($A174,'Source 2025'!$B:$B,0)),""))</f>
        <v>S תתמוקפאעקב סיליקון+ קשת</v>
      </c>
      <c r="C174" s="9" t="n">
        <f aca="false">SUMIFS('Source 2025'!$Q:$Q,'Source 2025'!$B:$B,$A174,'Source 2025'!$A:$A,"Quantity (units)")</f>
        <v>-3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3</v>
      </c>
      <c r="G174" s="13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-241.3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241.3</v>
      </c>
      <c r="L174" s="13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366</v>
      </c>
      <c r="B175" s="8" t="str">
        <f aca="false">IFERROR(INDEX('Source 2026'!$C:$C,MATCH($A175,'Source 2026'!$B:$B,0)),IFERROR(INDEX('Source 2025'!$C:$C,MATCH($A175,'Source 2025'!$B:$B,0)),""))</f>
        <v>קרסול עם שרוכים בז</v>
      </c>
      <c r="C175" s="9" t="n">
        <f aca="false">SUMIFS('Source 2025'!$Q:$Q,'Source 2025'!$B:$B,$A175,'Source 2025'!$A:$A,"Quantity (units)")</f>
        <v>-2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2</v>
      </c>
      <c r="G175" s="13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-213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213</v>
      </c>
      <c r="L175" s="13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285</v>
      </c>
      <c r="B176" s="8" t="str">
        <f aca="false">IFERROR(INDEX('Source 2026'!$C:$C,MATCH($A176,'Source 2026'!$B:$B,0)),IFERROR(INDEX('Source 2025'!$C:$C,MATCH($A176,'Source 2025'!$B:$B,0)),""))</f>
        <v>L-XLחגורת הריון בכאב.חזק</v>
      </c>
      <c r="C176" s="9" t="n">
        <f aca="false">SUMIFS('Source 2025'!$Q:$Q,'Source 2025'!$B:$B,$A176,'Source 2025'!$A:$A,"Quantity (units)")</f>
        <v>0</v>
      </c>
      <c r="D176" s="9" t="n">
        <f aca="false">SUMIFS('Source 2026'!$Q:$Q,'Source 2026'!$B:$B,$A176,'Source 2026'!$A:$A,"Quantity (units)")</f>
        <v>-1</v>
      </c>
      <c r="E176" s="9" t="n">
        <f aca="false">D176*$J$5</f>
        <v>-1.26315789473684</v>
      </c>
      <c r="F176" s="9" t="n">
        <f aca="false">E176-C176</f>
        <v>-1.26315789473684</v>
      </c>
      <c r="G176" s="13" t="str">
        <f aca="false">IF(AND(C176=0,E176=0),0,IF(C176=0,"New",(E176-C176)/C176))</f>
        <v>New</v>
      </c>
      <c r="H176" s="9" t="n">
        <f aca="false">SUMIFS('Source 2025'!$Q:$Q,'Source 2025'!$B:$B,$A176,'Source 2025'!$A:$A,"Amount (NIS)")</f>
        <v>0</v>
      </c>
      <c r="I176" s="9" t="n">
        <f aca="false">SUMIFS('Source 2026'!$Q:$Q,'Source 2026'!$B:$B,$A176,'Source 2026'!$A:$A,"Amount (NIS)")</f>
        <v>-207.2</v>
      </c>
      <c r="J176" s="9" t="n">
        <f aca="false">I176*$J$5</f>
        <v>-261.726315789474</v>
      </c>
      <c r="K176" s="9" t="n">
        <f aca="false">J176-H176</f>
        <v>-261.726315789474</v>
      </c>
      <c r="L176" s="13" t="str">
        <f aca="false">IF(AND(H176=0,J176=0),0,IF(H176=0,"New",(J176-H176)/H176))</f>
        <v>New</v>
      </c>
    </row>
    <row r="177" customFormat="false" ht="15" hidden="false" customHeight="true" outlineLevel="0" collapsed="false">
      <c r="A177" s="8" t="s">
        <v>367</v>
      </c>
      <c r="B177" s="8" t="str">
        <f aca="false">IFERROR(INDEX('Source 2026'!$C:$C,MATCH($A177,'Source 2026'!$B:$B,0)),IFERROR(INDEX('Source 2025'!$C:$C,MATCH($A177,'Source 2025'!$B:$B,0)),""))</f>
        <v>L מגן ברך לסקי</v>
      </c>
      <c r="C177" s="9" t="n">
        <f aca="false">SUMIFS('Source 2025'!$Q:$Q,'Source 2025'!$B:$B,$A177,'Source 2025'!$A:$A,"Quantity (units)")</f>
        <v>0</v>
      </c>
      <c r="D177" s="9" t="n">
        <f aca="false">SUMIFS('Source 2026'!$Q:$Q,'Source 2026'!$B:$B,$A177,'Source 2026'!$A:$A,"Quantity (units)")</f>
        <v>-1</v>
      </c>
      <c r="E177" s="9" t="n">
        <f aca="false">D177*$J$5</f>
        <v>-1.26315789473684</v>
      </c>
      <c r="F177" s="9" t="n">
        <f aca="false">E177-C177</f>
        <v>-1.26315789473684</v>
      </c>
      <c r="G177" s="13" t="str">
        <f aca="false">IF(AND(C177=0,E177=0),0,IF(C177=0,"New",(E177-C177)/C177))</f>
        <v>New</v>
      </c>
      <c r="H177" s="9" t="n">
        <f aca="false">SUMIFS('Source 2025'!$Q:$Q,'Source 2025'!$B:$B,$A177,'Source 2025'!$A:$A,"Amount (NIS)")</f>
        <v>0</v>
      </c>
      <c r="I177" s="9" t="n">
        <f aca="false">SUMIFS('Source 2026'!$Q:$Q,'Source 2026'!$B:$B,$A177,'Source 2026'!$A:$A,"Amount (NIS)")</f>
        <v>-204.8</v>
      </c>
      <c r="J177" s="9" t="n">
        <f aca="false">I177*$J$5</f>
        <v>-258.694736842105</v>
      </c>
      <c r="K177" s="9" t="n">
        <f aca="false">J177-H177</f>
        <v>-258.694736842105</v>
      </c>
      <c r="L177" s="13" t="str">
        <f aca="false">IF(AND(H177=0,J177=0),0,IF(H177=0,"New",(J177-H177)/H177))</f>
        <v>New</v>
      </c>
    </row>
    <row r="178" customFormat="false" ht="15" hidden="false" customHeight="true" outlineLevel="0" collapsed="false">
      <c r="A178" s="8" t="s">
        <v>301</v>
      </c>
      <c r="B178" s="8" t="str">
        <f aca="false">IFERROR(INDEX('Source 2026'!$C:$C,MATCH($A178,'Source 2026'!$B:$B,0)),IFERROR(INDEX('Source 2025'!$C:$C,MATCH($A178,'Source 2025'!$B:$B,0)),""))</f>
        <v>L-מדרס סיליקון לנעלי עקב</v>
      </c>
      <c r="C178" s="9" t="n">
        <f aca="false">SUMIFS('Source 2025'!$Q:$Q,'Source 2025'!$B:$B,$A178,'Source 2025'!$A:$A,"Quantity (units)")</f>
        <v>-2</v>
      </c>
      <c r="D178" s="9" t="n">
        <f aca="false">SUMIFS('Source 2026'!$Q:$Q,'Source 2026'!$B:$B,$A178,'Source 2026'!$A:$A,"Quantity (units)")</f>
        <v>3</v>
      </c>
      <c r="E178" s="9" t="n">
        <f aca="false">D178*$J$5</f>
        <v>3.78947368421053</v>
      </c>
      <c r="F178" s="9" t="n">
        <f aca="false">E178-C178</f>
        <v>5.78947368421053</v>
      </c>
      <c r="G178" s="13" t="n">
        <f aca="false">IF(AND(C178=0,E178=0),0,IF(C178=0,"New",(E178-C178)/C178))</f>
        <v>-2.89473684210526</v>
      </c>
      <c r="H178" s="9" t="n">
        <f aca="false">SUMIFS('Source 2025'!$Q:$Q,'Source 2025'!$B:$B,$A178,'Source 2025'!$A:$A,"Amount (NIS)")</f>
        <v>-79.1</v>
      </c>
      <c r="I178" s="9" t="n">
        <f aca="false">SUMIFS('Source 2026'!$Q:$Q,'Source 2026'!$B:$B,$A178,'Source 2026'!$A:$A,"Amount (NIS)")</f>
        <v>114.5</v>
      </c>
      <c r="J178" s="9" t="n">
        <f aca="false">I178*$J$5</f>
        <v>144.631578947368</v>
      </c>
      <c r="K178" s="9" t="n">
        <f aca="false">J178-H178</f>
        <v>223.731578947368</v>
      </c>
      <c r="L178" s="13" t="n">
        <f aca="false">IF(AND(H178=0,J178=0),0,IF(H178=0,"New",(J178-H178)/H178))</f>
        <v>-2.82846496772906</v>
      </c>
    </row>
    <row r="179" customFormat="false" ht="15" hidden="false" customHeight="true" outlineLevel="0" collapsed="false">
      <c r="A179" s="8" t="s">
        <v>192</v>
      </c>
      <c r="B179" s="8" t="str">
        <f aca="false">IFERROR(INDEX('Source 2026'!$C:$C,MATCH($A179,'Source 2026'!$B:$B,0)),IFERROR(INDEX('Source 2025'!$C:$C,MATCH($A179,'Source 2025'!$B:$B,0)),""))</f>
        <v>S מתלה אשכים לאחר ניתוח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-2</v>
      </c>
      <c r="E179" s="9" t="n">
        <f aca="false">D179*$J$5</f>
        <v>-2.52631578947368</v>
      </c>
      <c r="F179" s="9" t="n">
        <f aca="false">E179-C179</f>
        <v>-2.52631578947368</v>
      </c>
      <c r="G179" s="13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-193.6</v>
      </c>
      <c r="J179" s="9" t="n">
        <f aca="false">I179*$J$5</f>
        <v>-244.547368421053</v>
      </c>
      <c r="K179" s="9" t="n">
        <f aca="false">J179-H179</f>
        <v>-244.547368421053</v>
      </c>
      <c r="L179" s="13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219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9" t="n">
        <f aca="false">SUMIFS('Source 2025'!$Q:$Q,'Source 2025'!$B:$B,$A180,'Source 2025'!$A:$A,"Quantity (units)")</f>
        <v>-8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5.47368421052632</v>
      </c>
      <c r="G180" s="13" t="n">
        <f aca="false">IF(AND(C180=0,E180=0),0,IF(C180=0,"New",(E180-C180)/C180))</f>
        <v>-0.68421052631579</v>
      </c>
      <c r="H180" s="9" t="n">
        <f aca="false">SUMIFS('Source 2025'!$Q:$Q,'Source 2025'!$B:$B,$A180,'Source 2025'!$A:$A,"Amount (NIS)")</f>
        <v>-235.1</v>
      </c>
      <c r="I180" s="9" t="n">
        <f aca="false">SUMIFS('Source 2026'!$Q:$Q,'Source 2026'!$B:$B,$A180,'Source 2026'!$A:$A,"Amount (NIS)")</f>
        <v>-57.8</v>
      </c>
      <c r="J180" s="9" t="n">
        <f aca="false">I180*$J$5</f>
        <v>-73.0105263157895</v>
      </c>
      <c r="K180" s="9" t="n">
        <f aca="false">J180-H180</f>
        <v>162.089473684211</v>
      </c>
      <c r="L180" s="13" t="n">
        <f aca="false">IF(AND(H180=0,J180=0),0,IF(H180=0,"New",(J180-H180)/H180))</f>
        <v>-0.689449058631266</v>
      </c>
    </row>
    <row r="181" customFormat="false" ht="15" hidden="false" customHeight="true" outlineLevel="0" collapsed="false">
      <c r="A181" s="8" t="s">
        <v>250</v>
      </c>
      <c r="B181" s="8" t="str">
        <f aca="false">IFERROR(INDEX('Source 2026'!$C:$C,MATCH($A181,'Source 2026'!$B:$B,0)),IFERROR(INDEX('Source 2025'!$C:$C,MATCH($A181,'Source 2025'!$B:$B,0)),""))</f>
        <v>כפפות אגודל לחץ</v>
      </c>
      <c r="C181" s="9" t="n">
        <f aca="false">SUMIFS('Source 2025'!$Q:$Q,'Source 2025'!$B:$B,$A181,'Source 2025'!$A:$A,"Quantity (units)")</f>
        <v>62</v>
      </c>
      <c r="D181" s="9" t="n">
        <f aca="false">SUMIFS('Source 2026'!$Q:$Q,'Source 2026'!$B:$B,$A181,'Source 2026'!$A:$A,"Quantity (units)")</f>
        <v>54</v>
      </c>
      <c r="E181" s="9" t="n">
        <f aca="false">D181*$J$5</f>
        <v>68.2105263157895</v>
      </c>
      <c r="F181" s="9" t="n">
        <f aca="false">E181-C181</f>
        <v>6.21052631578947</v>
      </c>
      <c r="G181" s="13" t="n">
        <f aca="false">IF(AND(C181=0,E181=0),0,IF(C181=0,"New",(E181-C181)/C181))</f>
        <v>0.100169779286927</v>
      </c>
      <c r="H181" s="9" t="n">
        <f aca="false">SUMIFS('Source 2025'!$Q:$Q,'Source 2025'!$B:$B,$A181,'Source 2025'!$A:$A,"Amount (NIS)")</f>
        <v>1770</v>
      </c>
      <c r="I181" s="9" t="n">
        <f aca="false">SUMIFS('Source 2026'!$Q:$Q,'Source 2026'!$B:$B,$A181,'Source 2026'!$A:$A,"Amount (NIS)")</f>
        <v>1600</v>
      </c>
      <c r="J181" s="9" t="n">
        <f aca="false">I181*$J$5</f>
        <v>2021.05263157895</v>
      </c>
      <c r="K181" s="9" t="n">
        <f aca="false">J181-H181</f>
        <v>251.052631578947</v>
      </c>
      <c r="L181" s="13" t="n">
        <f aca="false">IF(AND(H181=0,J181=0),0,IF(H181=0,"New",(J181-H181)/H181))</f>
        <v>0.141837644959857</v>
      </c>
    </row>
    <row r="182" customFormat="false" ht="15" hidden="false" customHeight="true" outlineLevel="0" collapsed="false">
      <c r="A182" s="8" t="s">
        <v>356</v>
      </c>
      <c r="B182" s="8" t="str">
        <f aca="false">IFERROR(INDEX('Source 2026'!$C:$C,MATCH($A182,'Source 2026'!$B:$B,0)),IFERROR(INDEX('Source 2025'!$C:$C,MATCH($A182,'Source 2025'!$B:$B,0)),""))</f>
        <v>L  ""ח.גב קלה ""מיקדו</v>
      </c>
      <c r="C182" s="9" t="n">
        <f aca="false">SUMIFS('Source 2025'!$Q:$Q,'Source 2025'!$B:$B,$A182,'Source 2025'!$A:$A,"Quantity (units)")</f>
        <v>-1</v>
      </c>
      <c r="D182" s="9" t="n">
        <f aca="false">SUMIFS('Source 2026'!$Q:$Q,'Source 2026'!$B:$B,$A182,'Source 2026'!$A:$A,"Quantity (units)")</f>
        <v>0</v>
      </c>
      <c r="E182" s="9" t="n">
        <f aca="false">D182*$J$5</f>
        <v>0</v>
      </c>
      <c r="F182" s="9" t="n">
        <f aca="false">E182-C182</f>
        <v>1</v>
      </c>
      <c r="G182" s="13" t="n">
        <f aca="false">IF(AND(C182=0,E182=0),0,IF(C182=0,"New",(E182-C182)/C182))</f>
        <v>-1</v>
      </c>
      <c r="H182" s="9" t="n">
        <f aca="false">SUMIFS('Source 2025'!$Q:$Q,'Source 2025'!$B:$B,$A182,'Source 2025'!$A:$A,"Amount (NIS)")</f>
        <v>-147.4</v>
      </c>
      <c r="I182" s="9" t="n">
        <f aca="false">SUMIFS('Source 2026'!$Q:$Q,'Source 2026'!$B:$B,$A182,'Source 2026'!$A:$A,"Amount (NIS)")</f>
        <v>0</v>
      </c>
      <c r="J182" s="9" t="n">
        <f aca="false">I182*$J$5</f>
        <v>0</v>
      </c>
      <c r="K182" s="9" t="n">
        <f aca="false">J182-H182</f>
        <v>147.4</v>
      </c>
      <c r="L182" s="13" t="n">
        <f aca="false">IF(AND(H182=0,J182=0),0,IF(H182=0,"New",(J182-H182)/H182))</f>
        <v>-1</v>
      </c>
    </row>
    <row r="183" customFormat="false" ht="15" hidden="false" customHeight="true" outlineLevel="0" collapsed="false">
      <c r="A183" s="8" t="s">
        <v>354</v>
      </c>
      <c r="B183" s="8" t="str">
        <f aca="false">IFERROR(INDEX('Source 2026'!$C:$C,MATCH($A183,'Source 2026'!$B:$B,0)),IFERROR(INDEX('Source 2025'!$C:$C,MATCH($A183,'Source 2025'!$B:$B,0)),""))</f>
        <v>L-XL רצועת טניס אלבו</v>
      </c>
      <c r="C183" s="9" t="n">
        <f aca="false">SUMIFS('Source 2025'!$Q:$Q,'Source 2025'!$B:$B,$A183,'Source 2025'!$A:$A,"Quantity (units)")</f>
        <v>2</v>
      </c>
      <c r="D183" s="9" t="n">
        <f aca="false">SUMIFS('Source 2026'!$Q:$Q,'Source 2026'!$B:$B,$A183,'Source 2026'!$A:$A,"Quantity (units)")</f>
        <v>-1</v>
      </c>
      <c r="E183" s="9" t="n">
        <f aca="false">D183*$J$5</f>
        <v>-1.26315789473684</v>
      </c>
      <c r="F183" s="9" t="n">
        <f aca="false">E183-C183</f>
        <v>-3.26315789473684</v>
      </c>
      <c r="G183" s="13" t="n">
        <f aca="false">IF(AND(C183=0,E183=0),0,IF(C183=0,"New",(E183-C183)/C183))</f>
        <v>-1.63157894736842</v>
      </c>
      <c r="H183" s="9" t="n">
        <f aca="false">SUMIFS('Source 2025'!$Q:$Q,'Source 2025'!$B:$B,$A183,'Source 2025'!$A:$A,"Amount (NIS)")</f>
        <v>98.2</v>
      </c>
      <c r="I183" s="9" t="n">
        <f aca="false">SUMIFS('Source 2026'!$Q:$Q,'Source 2026'!$B:$B,$A183,'Source 2026'!$A:$A,"Amount (NIS)")</f>
        <v>-49.1</v>
      </c>
      <c r="J183" s="9" t="n">
        <f aca="false">I183*$J$5</f>
        <v>-62.021052631579</v>
      </c>
      <c r="K183" s="9" t="n">
        <f aca="false">J183-H183</f>
        <v>-160.221052631579</v>
      </c>
      <c r="L183" s="13" t="n">
        <f aca="false">IF(AND(H183=0,J183=0),0,IF(H183=0,"New",(J183-H183)/H183))</f>
        <v>-1.63157894736842</v>
      </c>
    </row>
    <row r="184" customFormat="false" ht="15" hidden="false" customHeight="true" outlineLevel="0" collapsed="false">
      <c r="A184" s="8" t="s">
        <v>294</v>
      </c>
      <c r="B184" s="8" t="str">
        <f aca="false">IFERROR(INDEX('Source 2026'!$C:$C,MATCH($A184,'Source 2026'!$B:$B,0)),IFERROR(INDEX('Source 2025'!$C:$C,MATCH($A184,'Source 2025'!$B:$B,0)),""))</f>
        <v>.חבישת""הלוקס ולגוס""לאחר נית</v>
      </c>
      <c r="C184" s="9" t="n">
        <f aca="false">SUMIFS('Source 2025'!$Q:$Q,'Source 2025'!$B:$B,$A184,'Source 2025'!$A:$A,"Quantity (units)")</f>
        <v>-2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2</v>
      </c>
      <c r="G184" s="13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-136.3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136.3</v>
      </c>
      <c r="L184" s="13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229</v>
      </c>
      <c r="B185" s="8" t="str">
        <f aca="false">IFERROR(INDEX('Source 2026'!$C:$C,MATCH($A185,'Source 2026'!$B:$B,0)),IFERROR(INDEX('Source 2025'!$C:$C,MATCH($A185,'Source 2025'!$B:$B,0)),""))</f>
        <v>מגן קרסול+כרית סילקון</v>
      </c>
      <c r="C185" s="9" t="n">
        <f aca="false">SUMIFS('Source 2025'!$Q:$Q,'Source 2025'!$B:$B,$A185,'Source 2025'!$A:$A,"Quantity (units)")</f>
        <v>-1</v>
      </c>
      <c r="D185" s="9" t="n">
        <f aca="false">SUMIFS('Source 2026'!$Q:$Q,'Source 2026'!$B:$B,$A185,'Source 2026'!$A:$A,"Quantity (units)")</f>
        <v>0</v>
      </c>
      <c r="E185" s="9" t="n">
        <f aca="false">D185*$J$5</f>
        <v>0</v>
      </c>
      <c r="F185" s="9" t="n">
        <f aca="false">E185-C185</f>
        <v>1</v>
      </c>
      <c r="G185" s="13" t="n">
        <f aca="false">IF(AND(C185=0,E185=0),0,IF(C185=0,"New",(E185-C185)/C185))</f>
        <v>-1</v>
      </c>
      <c r="H185" s="9" t="n">
        <f aca="false">SUMIFS('Source 2025'!$Q:$Q,'Source 2025'!$B:$B,$A185,'Source 2025'!$A:$A,"Amount (NIS)")</f>
        <v>-131.1</v>
      </c>
      <c r="I185" s="9" t="n">
        <f aca="false">SUMIFS('Source 2026'!$Q:$Q,'Source 2026'!$B:$B,$A185,'Source 2026'!$A:$A,"Amount (NIS)")</f>
        <v>0</v>
      </c>
      <c r="J185" s="9" t="n">
        <f aca="false">I185*$J$5</f>
        <v>0</v>
      </c>
      <c r="K185" s="9" t="n">
        <f aca="false">J185-H185</f>
        <v>131.1</v>
      </c>
      <c r="L185" s="13" t="n">
        <f aca="false">IF(AND(H185=0,J185=0),0,IF(H185=0,"New",(J185-H185)/H185))</f>
        <v>-1</v>
      </c>
    </row>
    <row r="186" customFormat="false" ht="15" hidden="false" customHeight="true" outlineLevel="0" collapsed="false">
      <c r="A186" s="8" t="s">
        <v>312</v>
      </c>
      <c r="B186" s="8" t="str">
        <f aca="false">IFERROR(INDEX('Source 2026'!$C:$C,MATCH($A186,'Source 2026'!$B:$B,0)),IFERROR(INDEX('Source 2025'!$C:$C,MATCH($A186,'Source 2025'!$B:$B,0)),""))</f>
        <v>מגן קרסול+כרית סילקון</v>
      </c>
      <c r="C186" s="9" t="n">
        <f aca="false">SUMIFS('Source 2025'!$Q:$Q,'Source 2025'!$B:$B,$A186,'Source 2025'!$A:$A,"Quantity (units)")</f>
        <v>-1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1</v>
      </c>
      <c r="G186" s="13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-131.1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131.1</v>
      </c>
      <c r="L186" s="13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313</v>
      </c>
      <c r="B187" s="8" t="str">
        <f aca="false">IFERROR(INDEX('Source 2026'!$C:$C,MATCH($A187,'Source 2026'!$B:$B,0)),IFERROR(INDEX('Source 2025'!$C:$C,MATCH($A187,'Source 2025'!$B:$B,0)),""))</f>
        <v>קרסול+כרית סילקון</v>
      </c>
      <c r="C187" s="9" t="n">
        <f aca="false">SUMIFS('Source 2025'!$Q:$Q,'Source 2025'!$B:$B,$A187,'Source 2025'!$A:$A,"Quantity (units)")</f>
        <v>0</v>
      </c>
      <c r="D187" s="9" t="n">
        <f aca="false">SUMIFS('Source 2026'!$Q:$Q,'Source 2026'!$B:$B,$A187,'Source 2026'!$A:$A,"Quantity (units)")</f>
        <v>-1</v>
      </c>
      <c r="E187" s="9" t="n">
        <f aca="false">D187*$J$5</f>
        <v>-1.26315789473684</v>
      </c>
      <c r="F187" s="9" t="n">
        <f aca="false">E187-C187</f>
        <v>-1.26315789473684</v>
      </c>
      <c r="G187" s="13" t="str">
        <f aca="false">IF(AND(C187=0,E187=0),0,IF(C187=0,"New",(E187-C187)/C187))</f>
        <v>New</v>
      </c>
      <c r="H187" s="9" t="n">
        <f aca="false">SUMIFS('Source 2025'!$Q:$Q,'Source 2025'!$B:$B,$A187,'Source 2025'!$A:$A,"Amount (NIS)")</f>
        <v>0</v>
      </c>
      <c r="I187" s="9" t="n">
        <f aca="false">SUMIFS('Source 2026'!$Q:$Q,'Source 2026'!$B:$B,$A187,'Source 2026'!$A:$A,"Amount (NIS)")</f>
        <v>-131.1</v>
      </c>
      <c r="J187" s="9" t="n">
        <f aca="false">I187*$J$5</f>
        <v>-165.6</v>
      </c>
      <c r="K187" s="9" t="n">
        <f aca="false">J187-H187</f>
        <v>-165.6</v>
      </c>
      <c r="L187" s="13" t="str">
        <f aca="false">IF(AND(H187=0,J187=0),0,IF(H187=0,"New",(J187-H187)/H187))</f>
        <v>New</v>
      </c>
    </row>
    <row r="188" customFormat="false" ht="15" hidden="false" customHeight="true" outlineLevel="0" collapsed="false">
      <c r="A188" s="8" t="s">
        <v>136</v>
      </c>
      <c r="B188" s="8" t="str">
        <f aca="false">IFERROR(INDEX('Source 2026'!$C:$C,MATCH($A188,'Source 2026'!$B:$B,0)),IFERROR(INDEX('Source 2025'!$C:$C,MATCH($A188,'Source 2025'!$B:$B,0)),""))</f>
        <v>חגורת גב +סגירה כפולה</v>
      </c>
      <c r="C188" s="9" t="n">
        <f aca="false">SUMIFS('Source 2025'!$Q:$Q,'Source 2025'!$B:$B,$A188,'Source 2025'!$A:$A,"Quantity (units)")</f>
        <v>28</v>
      </c>
      <c r="D188" s="9" t="n">
        <f aca="false">SUMIFS('Source 2026'!$Q:$Q,'Source 2026'!$B:$B,$A188,'Source 2026'!$A:$A,"Quantity (units)")</f>
        <v>26</v>
      </c>
      <c r="E188" s="9" t="n">
        <f aca="false">D188*$J$5</f>
        <v>32.8421052631579</v>
      </c>
      <c r="F188" s="9" t="n">
        <f aca="false">E188-C188</f>
        <v>4.84210526315789</v>
      </c>
      <c r="G188" s="13" t="n">
        <f aca="false">IF(AND(C188=0,E188=0),0,IF(C188=0,"New",(E188-C188)/C188))</f>
        <v>0.172932330827068</v>
      </c>
      <c r="H188" s="9" t="n">
        <f aca="false">SUMIFS('Source 2025'!$Q:$Q,'Source 2025'!$B:$B,$A188,'Source 2025'!$A:$A,"Amount (NIS)")</f>
        <v>2640.1</v>
      </c>
      <c r="I188" s="9" t="n">
        <f aca="false">SUMIFS('Source 2026'!$Q:$Q,'Source 2026'!$B:$B,$A188,'Source 2026'!$A:$A,"Amount (NIS)")</f>
        <v>2509.6</v>
      </c>
      <c r="J188" s="9" t="n">
        <f aca="false">I188*$J$5</f>
        <v>3170.02105263158</v>
      </c>
      <c r="K188" s="9" t="n">
        <f aca="false">J188-H188</f>
        <v>529.921052631579</v>
      </c>
      <c r="L188" s="13" t="n">
        <f aca="false">IF(AND(H188=0,J188=0),0,IF(H188=0,"New",(J188-H188)/H188))</f>
        <v>0.200720068418461</v>
      </c>
    </row>
    <row r="189" customFormat="false" ht="15" hidden="false" customHeight="true" outlineLevel="0" collapsed="false">
      <c r="A189" s="8" t="s">
        <v>280</v>
      </c>
      <c r="B189" s="8" t="str">
        <f aca="false">IFERROR(INDEX('Source 2026'!$C:$C,MATCH($A189,'Source 2026'!$B:$B,0)),IFERROR(INDEX('Source 2025'!$C:$C,MATCH($A189,'Source 2025'!$B:$B,0)),""))</f>
        <v>XL סד לאגודל כפפה</v>
      </c>
      <c r="C189" s="9" t="n">
        <f aca="false">SUMIFS('Source 2025'!$Q:$Q,'Source 2025'!$B:$B,$A189,'Source 2025'!$A:$A,"Quantity (units)")</f>
        <v>2</v>
      </c>
      <c r="D189" s="9" t="n">
        <f aca="false">SUMIFS('Source 2026'!$Q:$Q,'Source 2026'!$B:$B,$A189,'Source 2026'!$A:$A,"Quantity (units)")</f>
        <v>0</v>
      </c>
      <c r="E189" s="9" t="n">
        <f aca="false">D189*$J$5</f>
        <v>0</v>
      </c>
      <c r="F189" s="9" t="n">
        <f aca="false">E189-C189</f>
        <v>-2</v>
      </c>
      <c r="G189" s="13" t="n">
        <f aca="false">IF(AND(C189=0,E189=0),0,IF(C189=0,"New",(E189-C189)/C189))</f>
        <v>-1</v>
      </c>
      <c r="H189" s="9" t="n">
        <f aca="false">SUMIFS('Source 2025'!$Q:$Q,'Source 2025'!$B:$B,$A189,'Source 2025'!$A:$A,"Amount (NIS)")</f>
        <v>122.8</v>
      </c>
      <c r="I189" s="9" t="n">
        <f aca="false">SUMIFS('Source 2026'!$Q:$Q,'Source 2026'!$B:$B,$A189,'Source 2026'!$A:$A,"Amount (NIS)")</f>
        <v>0</v>
      </c>
      <c r="J189" s="9" t="n">
        <f aca="false">I189*$J$5</f>
        <v>0</v>
      </c>
      <c r="K189" s="9" t="n">
        <f aca="false">J189-H189</f>
        <v>-122.8</v>
      </c>
      <c r="L189" s="13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357</v>
      </c>
      <c r="B190" s="8" t="str">
        <f aca="false">IFERROR(INDEX('Source 2026'!$C:$C,MATCH($A190,'Source 2026'!$B:$B,0)),IFERROR(INDEX('Source 2025'!$C:$C,MATCH($A190,'Source 2025'!$B:$B,0)),""))</f>
        <v>099 חגורת גב שרוכים</v>
      </c>
      <c r="C190" s="9" t="n">
        <f aca="false">SUMIFS('Source 2025'!$Q:$Q,'Source 2025'!$B:$B,$A190,'Source 2025'!$A:$A,"Quantity (units)")</f>
        <v>0</v>
      </c>
      <c r="D190" s="9" t="n">
        <f aca="false">SUMIFS('Source 2026'!$Q:$Q,'Source 2026'!$B:$B,$A190,'Source 2026'!$A:$A,"Quantity (units)")</f>
        <v>-1</v>
      </c>
      <c r="E190" s="9" t="n">
        <f aca="false">D190*$J$5</f>
        <v>-1.26315789473684</v>
      </c>
      <c r="F190" s="9" t="n">
        <f aca="false">E190-C190</f>
        <v>-1.26315789473684</v>
      </c>
      <c r="G190" s="13" t="str">
        <f aca="false">IF(AND(C190=0,E190=0),0,IF(C190=0,"New",(E190-C190)/C190))</f>
        <v>New</v>
      </c>
      <c r="H190" s="9" t="n">
        <f aca="false">SUMIFS('Source 2025'!$Q:$Q,'Source 2025'!$B:$B,$A190,'Source 2025'!$A:$A,"Amount (NIS)")</f>
        <v>0</v>
      </c>
      <c r="I190" s="9" t="n">
        <f aca="false">SUMIFS('Source 2026'!$Q:$Q,'Source 2026'!$B:$B,$A190,'Source 2026'!$A:$A,"Amount (NIS)")</f>
        <v>-118.8</v>
      </c>
      <c r="J190" s="9" t="n">
        <f aca="false">I190*$J$5</f>
        <v>-150.063157894737</v>
      </c>
      <c r="K190" s="9" t="n">
        <f aca="false">J190-H190</f>
        <v>-150.063157894737</v>
      </c>
      <c r="L190" s="13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368</v>
      </c>
      <c r="B191" s="8" t="str">
        <f aca="false">IFERROR(INDEX('Source 2026'!$C:$C,MATCH($A191,'Source 2026'!$B:$B,0)),IFERROR(INDEX('Source 2025'!$C:$C,MATCH($A191,'Source 2025'!$B:$B,0)),""))</f>
        <v>099 חגורת גב שרוכים</v>
      </c>
      <c r="C191" s="9" t="n">
        <f aca="false">SUMIFS('Source 2025'!$Q:$Q,'Source 2025'!$B:$B,$A191,'Source 2025'!$A:$A,"Quantity (units)")</f>
        <v>0</v>
      </c>
      <c r="D191" s="9" t="n">
        <f aca="false">SUMIFS('Source 2026'!$Q:$Q,'Source 2026'!$B:$B,$A191,'Source 2026'!$A:$A,"Quantity (units)")</f>
        <v>-1</v>
      </c>
      <c r="E191" s="9" t="n">
        <f aca="false">D191*$J$5</f>
        <v>-1.26315789473684</v>
      </c>
      <c r="F191" s="9" t="n">
        <f aca="false">E191-C191</f>
        <v>-1.26315789473684</v>
      </c>
      <c r="G191" s="13" t="str">
        <f aca="false">IF(AND(C191=0,E191=0),0,IF(C191=0,"New",(E191-C191)/C191))</f>
        <v>New</v>
      </c>
      <c r="H191" s="9" t="n">
        <f aca="false">SUMIFS('Source 2025'!$Q:$Q,'Source 2025'!$B:$B,$A191,'Source 2025'!$A:$A,"Amount (NIS)")</f>
        <v>0</v>
      </c>
      <c r="I191" s="9" t="n">
        <f aca="false">SUMIFS('Source 2026'!$Q:$Q,'Source 2026'!$B:$B,$A191,'Source 2026'!$A:$A,"Amount (NIS)")</f>
        <v>-118.8</v>
      </c>
      <c r="J191" s="9" t="n">
        <f aca="false">I191*$J$5</f>
        <v>-150.063157894737</v>
      </c>
      <c r="K191" s="9" t="n">
        <f aca="false">J191-H191</f>
        <v>-150.063157894737</v>
      </c>
      <c r="L191" s="13" t="str">
        <f aca="false">IF(AND(H191=0,J191=0),0,IF(H191=0,"New",(J191-H191)/H191))</f>
        <v>New</v>
      </c>
    </row>
    <row r="192" customFormat="false" ht="15" hidden="false" customHeight="true" outlineLevel="0" collapsed="false">
      <c r="A192" s="8" t="s">
        <v>268</v>
      </c>
      <c r="B192" s="8" t="str">
        <f aca="false">IFERROR(INDEX('Source 2026'!$C:$C,MATCH($A192,'Source 2026'!$B:$B,0)),IFERROR(INDEX('Source 2025'!$C:$C,MATCH($A192,'Source 2025'!$B:$B,0)),""))</f>
        <v>L מגן ברך מוצלב+מוט</v>
      </c>
      <c r="C192" s="9" t="n">
        <f aca="false">SUMIFS('Source 2025'!$Q:$Q,'Source 2025'!$B:$B,$A192,'Source 2025'!$A:$A,"Quantity (units)")</f>
        <v>-1</v>
      </c>
      <c r="D192" s="9" t="n">
        <f aca="false">SUMIFS('Source 2026'!$Q:$Q,'Source 2026'!$B:$B,$A192,'Source 2026'!$A:$A,"Quantity (units)")</f>
        <v>-2</v>
      </c>
      <c r="E192" s="9" t="n">
        <f aca="false">D192*$J$5</f>
        <v>-2.52631578947368</v>
      </c>
      <c r="F192" s="9" t="n">
        <f aca="false">E192-C192</f>
        <v>-1.52631578947368</v>
      </c>
      <c r="G192" s="13" t="n">
        <f aca="false">IF(AND(C192=0,E192=0),0,IF(C192=0,"New",(E192-C192)/C192))</f>
        <v>1.52631578947368</v>
      </c>
      <c r="H192" s="9" t="n">
        <f aca="false">SUMIFS('Source 2025'!$Q:$Q,'Source 2025'!$B:$B,$A192,'Source 2025'!$A:$A,"Amount (NIS)")</f>
        <v>-116.7</v>
      </c>
      <c r="I192" s="9" t="n">
        <f aca="false">SUMIFS('Source 2026'!$Q:$Q,'Source 2026'!$B:$B,$A192,'Source 2026'!$A:$A,"Amount (NIS)")</f>
        <v>-233.4</v>
      </c>
      <c r="J192" s="9" t="n">
        <f aca="false">I192*$J$5</f>
        <v>-294.821052631579</v>
      </c>
      <c r="K192" s="9" t="n">
        <f aca="false">J192-H192</f>
        <v>-178.121052631579</v>
      </c>
      <c r="L192" s="13" t="n">
        <f aca="false">IF(AND(H192=0,J192=0),0,IF(H192=0,"New",(J192-H192)/H192))</f>
        <v>1.52631578947368</v>
      </c>
    </row>
    <row r="193" customFormat="false" ht="15" hidden="false" customHeight="true" outlineLevel="0" collapsed="false">
      <c r="A193" s="8" t="s">
        <v>270</v>
      </c>
      <c r="B193" s="8" t="str">
        <f aca="false">IFERROR(INDEX('Source 2026'!$C:$C,MATCH($A193,'Source 2026'!$B:$B,0)),IFERROR(INDEX('Source 2025'!$C:$C,MATCH($A193,'Source 2025'!$B:$B,0)),""))</f>
        <v>סד לקרסול עם כריות אויר</v>
      </c>
      <c r="C193" s="9" t="n">
        <f aca="false">SUMIFS('Source 2025'!$Q:$Q,'Source 2025'!$B:$B,$A193,'Source 2025'!$A:$A,"Quantity (units)")</f>
        <v>1</v>
      </c>
      <c r="D193" s="9" t="n">
        <f aca="false">SUMIFS('Source 2026'!$Q:$Q,'Source 2026'!$B:$B,$A193,'Source 2026'!$A:$A,"Quantity (units)")</f>
        <v>4</v>
      </c>
      <c r="E193" s="9" t="n">
        <f aca="false">D193*$J$5</f>
        <v>5.05263157894737</v>
      </c>
      <c r="F193" s="9" t="n">
        <f aca="false">E193-C193</f>
        <v>4.05263157894737</v>
      </c>
      <c r="G193" s="13" t="n">
        <f aca="false">IF(AND(C193=0,E193=0),0,IF(C193=0,"New",(E193-C193)/C193))</f>
        <v>4.05263157894737</v>
      </c>
      <c r="H193" s="9" t="n">
        <f aca="false">SUMIFS('Source 2025'!$Q:$Q,'Source 2025'!$B:$B,$A193,'Source 2025'!$A:$A,"Amount (NIS)")</f>
        <v>143.4</v>
      </c>
      <c r="I193" s="9" t="n">
        <f aca="false">SUMIFS('Source 2026'!$Q:$Q,'Source 2026'!$B:$B,$A193,'Source 2026'!$A:$A,"Amount (NIS)")</f>
        <v>257.2</v>
      </c>
      <c r="J193" s="9" t="n">
        <f aca="false">I193*$J$5</f>
        <v>324.884210526316</v>
      </c>
      <c r="K193" s="9" t="n">
        <f aca="false">J193-H193</f>
        <v>181.484210526316</v>
      </c>
      <c r="L193" s="13" t="n">
        <f aca="false">IF(AND(H193=0,J193=0),0,IF(H193=0,"New",(J193-H193)/H193))</f>
        <v>1.26558026866329</v>
      </c>
    </row>
    <row r="194" customFormat="false" ht="15" hidden="false" customHeight="true" outlineLevel="0" collapsed="false">
      <c r="A194" s="8" t="s">
        <v>289</v>
      </c>
      <c r="B194" s="8" t="str">
        <f aca="false">IFERROR(INDEX('Source 2026'!$C:$C,MATCH($A194,'Source 2026'!$B:$B,0)),IFERROR(INDEX('Source 2025'!$C:$C,MATCH($A194,'Source 2025'!$B:$B,0)),""))</f>
        <v>ריפוד סיליקון לנעלי אצבע</v>
      </c>
      <c r="C194" s="9" t="n">
        <f aca="false">SUMIFS('Source 2025'!$Q:$Q,'Source 2025'!$B:$B,$A194,'Source 2025'!$A:$A,"Quantity (units)")</f>
        <v>-3</v>
      </c>
      <c r="D194" s="9" t="n">
        <f aca="false">SUMIFS('Source 2026'!$Q:$Q,'Source 2026'!$B:$B,$A194,'Source 2026'!$A:$A,"Quantity (units)")</f>
        <v>1</v>
      </c>
      <c r="E194" s="9" t="n">
        <f aca="false">D194*$J$5</f>
        <v>1.26315789473684</v>
      </c>
      <c r="F194" s="9" t="n">
        <f aca="false">E194-C194</f>
        <v>4.26315789473684</v>
      </c>
      <c r="G194" s="13" t="n">
        <f aca="false">IF(AND(C194=0,E194=0),0,IF(C194=0,"New",(E194-C194)/C194))</f>
        <v>-1.42105263157895</v>
      </c>
      <c r="H194" s="9" t="n">
        <f aca="false">SUMIFS('Source 2025'!$Q:$Q,'Source 2025'!$B:$B,$A194,'Source 2025'!$A:$A,"Amount (NIS)")</f>
        <v>-85.8</v>
      </c>
      <c r="I194" s="9" t="n">
        <f aca="false">SUMIFS('Source 2026'!$Q:$Q,'Source 2026'!$B:$B,$A194,'Source 2026'!$A:$A,"Amount (NIS)")</f>
        <v>24.3</v>
      </c>
      <c r="J194" s="9" t="n">
        <f aca="false">I194*$J$5</f>
        <v>30.6947368421053</v>
      </c>
      <c r="K194" s="9" t="n">
        <f aca="false">J194-H194</f>
        <v>116.494736842105</v>
      </c>
      <c r="L194" s="13" t="n">
        <f aca="false">IF(AND(H194=0,J194=0),0,IF(H194=0,"New",(J194-H194)/H194))</f>
        <v>-1.35774751564225</v>
      </c>
    </row>
    <row r="195" customFormat="false" ht="15" hidden="false" customHeight="true" outlineLevel="0" collapsed="false">
      <c r="A195" s="8" t="s">
        <v>369</v>
      </c>
      <c r="B195" s="8" t="str">
        <f aca="false">IFERROR(INDEX('Source 2026'!$C:$C,MATCH($A195,'Source 2026'!$B:$B,0)),IFERROR(INDEX('Source 2025'!$C:$C,MATCH($A195,'Source 2025'!$B:$B,0)),""))</f>
        <v>קרסול עם שרוכים בז</v>
      </c>
      <c r="C195" s="9" t="n">
        <f aca="false">SUMIFS('Source 2025'!$Q:$Q,'Source 2025'!$B:$B,$A195,'Source 2025'!$A:$A,"Quantity (units)")</f>
        <v>-1</v>
      </c>
      <c r="D195" s="9" t="n">
        <f aca="false">SUMIFS('Source 2026'!$Q:$Q,'Source 2026'!$B:$B,$A195,'Source 2026'!$A:$A,"Quantity (units)")</f>
        <v>0</v>
      </c>
      <c r="E195" s="9" t="n">
        <f aca="false">D195*$J$5</f>
        <v>0</v>
      </c>
      <c r="F195" s="9" t="n">
        <f aca="false">E195-C195</f>
        <v>1</v>
      </c>
      <c r="G195" s="13" t="n">
        <f aca="false">IF(AND(C195=0,E195=0),0,IF(C195=0,"New",(E195-C195)/C195))</f>
        <v>-1</v>
      </c>
      <c r="H195" s="9" t="n">
        <f aca="false">SUMIFS('Source 2025'!$Q:$Q,'Source 2025'!$B:$B,$A195,'Source 2025'!$A:$A,"Amount (NIS)")</f>
        <v>-106.5</v>
      </c>
      <c r="I195" s="9" t="n">
        <f aca="false">SUMIFS('Source 2026'!$Q:$Q,'Source 2026'!$B:$B,$A195,'Source 2026'!$A:$A,"Amount (NIS)")</f>
        <v>0</v>
      </c>
      <c r="J195" s="9" t="n">
        <f aca="false">I195*$J$5</f>
        <v>0</v>
      </c>
      <c r="K195" s="9" t="n">
        <f aca="false">J195-H195</f>
        <v>106.5</v>
      </c>
      <c r="L195" s="13" t="n">
        <f aca="false">IF(AND(H195=0,J195=0),0,IF(H195=0,"New",(J195-H195)/H195))</f>
        <v>-1</v>
      </c>
    </row>
    <row r="196" customFormat="false" ht="15" hidden="false" customHeight="true" outlineLevel="0" collapsed="false">
      <c r="A196" s="8" t="s">
        <v>370</v>
      </c>
      <c r="B196" s="8" t="str">
        <f aca="false">IFERROR(INDEX('Source 2026'!$C:$C,MATCH($A196,'Source 2026'!$B:$B,0)),IFERROR(INDEX('Source 2025'!$C:$C,MATCH($A196,'Source 2025'!$B:$B,0)),""))</f>
        <v>קרסול עם שרוכים בז</v>
      </c>
      <c r="C196" s="9" t="n">
        <f aca="false">SUMIFS('Source 2025'!$Q:$Q,'Source 2025'!$B:$B,$A196,'Source 2025'!$A:$A,"Quantity (units)")</f>
        <v>-1</v>
      </c>
      <c r="D196" s="9" t="n">
        <f aca="false">SUMIFS('Source 2026'!$Q:$Q,'Source 2026'!$B:$B,$A196,'Source 2026'!$A:$A,"Quantity (units)")</f>
        <v>0</v>
      </c>
      <c r="E196" s="9" t="n">
        <f aca="false">D196*$J$5</f>
        <v>0</v>
      </c>
      <c r="F196" s="9" t="n">
        <f aca="false">E196-C196</f>
        <v>1</v>
      </c>
      <c r="G196" s="13" t="n">
        <f aca="false">IF(AND(C196=0,E196=0),0,IF(C196=0,"New",(E196-C196)/C196))</f>
        <v>-1</v>
      </c>
      <c r="H196" s="9" t="n">
        <f aca="false">SUMIFS('Source 2025'!$Q:$Q,'Source 2025'!$B:$B,$A196,'Source 2025'!$A:$A,"Amount (NIS)")</f>
        <v>-106.5</v>
      </c>
      <c r="I196" s="9" t="n">
        <f aca="false">SUMIFS('Source 2026'!$Q:$Q,'Source 2026'!$B:$B,$A196,'Source 2026'!$A:$A,"Amount (NIS)")</f>
        <v>0</v>
      </c>
      <c r="J196" s="9" t="n">
        <f aca="false">I196*$J$5</f>
        <v>0</v>
      </c>
      <c r="K196" s="9" t="n">
        <f aca="false">J196-H196</f>
        <v>106.5</v>
      </c>
      <c r="L196" s="13" t="n">
        <f aca="false">IF(AND(H196=0,J196=0),0,IF(H196=0,"New",(J196-H196)/H196))</f>
        <v>-1</v>
      </c>
    </row>
    <row r="197" customFormat="false" ht="15" hidden="false" customHeight="true" outlineLevel="0" collapsed="false">
      <c r="A197" s="8" t="s">
        <v>371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3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3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112</v>
      </c>
      <c r="B198" s="8" t="str">
        <f aca="false">IFERROR(INDEX('Source 2026'!$C:$C,MATCH($A198,'Source 2026'!$B:$B,0)),IFERROR(INDEX('Source 2025'!$C:$C,MATCH($A198,'Source 2025'!$B:$B,0)),""))</f>
        <v>Lעקבים סיליקון כחול לדורבן</v>
      </c>
      <c r="C198" s="9" t="n">
        <f aca="false">SUMIFS('Source 2025'!$Q:$Q,'Source 2025'!$B:$B,$A198,'Source 2025'!$A:$A,"Quantity (units)")</f>
        <v>-5</v>
      </c>
      <c r="D198" s="9" t="n">
        <f aca="false">SUMIFS('Source 2026'!$Q:$Q,'Source 2026'!$B:$B,$A198,'Source 2026'!$A:$A,"Quantity (units)")</f>
        <v>-3</v>
      </c>
      <c r="E198" s="9" t="n">
        <f aca="false">D198*$J$5</f>
        <v>-3.78947368421053</v>
      </c>
      <c r="F198" s="9" t="n">
        <f aca="false">E198-C198</f>
        <v>1.21052631578947</v>
      </c>
      <c r="G198" s="13" t="n">
        <f aca="false">IF(AND(C198=0,E198=0),0,IF(C198=0,"New",(E198-C198)/C198))</f>
        <v>-0.242105263157895</v>
      </c>
      <c r="H198" s="9" t="n">
        <f aca="false">SUMIFS('Source 2025'!$Q:$Q,'Source 2025'!$B:$B,$A198,'Source 2025'!$A:$A,"Amount (NIS)")</f>
        <v>-245.6</v>
      </c>
      <c r="I198" s="9" t="n">
        <f aca="false">SUMIFS('Source 2026'!$Q:$Q,'Source 2026'!$B:$B,$A198,'Source 2026'!$A:$A,"Amount (NIS)")</f>
        <v>-149.4</v>
      </c>
      <c r="J198" s="9" t="n">
        <f aca="false">I198*$J$5</f>
        <v>-188.715789473684</v>
      </c>
      <c r="K198" s="9" t="n">
        <f aca="false">J198-H198</f>
        <v>56.8842105263158</v>
      </c>
      <c r="L198" s="13" t="n">
        <f aca="false">IF(AND(H198=0,J198=0),0,IF(H198=0,"New",(J198-H198)/H198))</f>
        <v>-0.231613235042002</v>
      </c>
    </row>
    <row r="199" customFormat="false" ht="15" hidden="false" customHeight="true" outlineLevel="0" collapsed="false">
      <c r="A199" s="8" t="s">
        <v>261</v>
      </c>
      <c r="B199" s="8" t="str">
        <f aca="false">IFERROR(INDEX('Source 2026'!$C:$C,MATCH($A199,'Source 2026'!$B:$B,0)),IFERROR(INDEX('Source 2025'!$C:$C,MATCH($A199,'Source 2025'!$B:$B,0)),""))</f>
        <v>S מגן ברך רגיל</v>
      </c>
      <c r="C199" s="9" t="n">
        <f aca="false">SUMIFS('Source 2025'!$Q:$Q,'Source 2025'!$B:$B,$A199,'Source 2025'!$A:$A,"Quantity (units)")</f>
        <v>25</v>
      </c>
      <c r="D199" s="9" t="n">
        <f aca="false">SUMIFS('Source 2026'!$Q:$Q,'Source 2026'!$B:$B,$A199,'Source 2026'!$A:$A,"Quantity (units)")</f>
        <v>24</v>
      </c>
      <c r="E199" s="9" t="n">
        <f aca="false">D199*$J$5</f>
        <v>30.3157894736842</v>
      </c>
      <c r="F199" s="9" t="n">
        <f aca="false">E199-C199</f>
        <v>5.31578947368421</v>
      </c>
      <c r="G199" s="13" t="n">
        <f aca="false">IF(AND(C199=0,E199=0),0,IF(C199=0,"New",(E199-C199)/C199))</f>
        <v>0.212631578947368</v>
      </c>
      <c r="H199" s="9" t="n">
        <f aca="false">SUMIFS('Source 2025'!$Q:$Q,'Source 2025'!$B:$B,$A199,'Source 2025'!$A:$A,"Amount (NIS)")</f>
        <v>2254.3</v>
      </c>
      <c r="I199" s="9" t="n">
        <f aca="false">SUMIFS('Source 2026'!$Q:$Q,'Source 2026'!$B:$B,$A199,'Source 2026'!$A:$A,"Amount (NIS)")</f>
        <v>2159.2</v>
      </c>
      <c r="J199" s="9" t="n">
        <f aca="false">I199*$J$5</f>
        <v>2727.41052631579</v>
      </c>
      <c r="K199" s="9" t="n">
        <f aca="false">J199-H199</f>
        <v>473.110526315789</v>
      </c>
      <c r="L199" s="13" t="n">
        <f aca="false">IF(AND(H199=0,J199=0),0,IF(H199=0,"New",(J199-H199)/H199))</f>
        <v>0.209870259644142</v>
      </c>
    </row>
    <row r="200" customFormat="false" ht="15" hidden="false" customHeight="true" outlineLevel="0" collapsed="false">
      <c r="A200" s="8" t="s">
        <v>283</v>
      </c>
      <c r="B200" s="8" t="str">
        <f aca="false">IFERROR(INDEX('Source 2026'!$C:$C,MATCH($A200,'Source 2026'!$B:$B,0)),IFERROR(INDEX('Source 2025'!$C:$C,MATCH($A200,'Source 2025'!$B:$B,0)),""))</f>
        <v>L-XL 'סד יד שמאל בז</v>
      </c>
      <c r="C200" s="9" t="n">
        <f aca="false">SUMIFS('Source 2025'!$Q:$Q,'Source 2025'!$B:$B,$A200,'Source 2025'!$A:$A,"Quantity (units)")</f>
        <v>-2</v>
      </c>
      <c r="D200" s="9" t="n">
        <f aca="false">SUMIFS('Source 2026'!$Q:$Q,'Source 2026'!$B:$B,$A200,'Source 2026'!$A:$A,"Quantity (units)")</f>
        <v>-1</v>
      </c>
      <c r="E200" s="9" t="n">
        <f aca="false">D200*$J$5</f>
        <v>-1.26315789473684</v>
      </c>
      <c r="F200" s="9" t="n">
        <f aca="false">E200-C200</f>
        <v>0.736842105263158</v>
      </c>
      <c r="G200" s="13" t="n">
        <f aca="false">IF(AND(C200=0,E200=0),0,IF(C200=0,"New",(E200-C200)/C200))</f>
        <v>-0.368421052631579</v>
      </c>
      <c r="H200" s="9" t="n">
        <f aca="false">SUMIFS('Source 2025'!$Q:$Q,'Source 2025'!$B:$B,$A200,'Source 2025'!$A:$A,"Amount (NIS)")</f>
        <v>-188.4</v>
      </c>
      <c r="I200" s="9" t="n">
        <f aca="false">SUMIFS('Source 2026'!$Q:$Q,'Source 2026'!$B:$B,$A200,'Source 2026'!$A:$A,"Amount (NIS)")</f>
        <v>-94.2</v>
      </c>
      <c r="J200" s="9" t="n">
        <f aca="false">I200*$J$5</f>
        <v>-118.989473684211</v>
      </c>
      <c r="K200" s="9" t="n">
        <f aca="false">J200-H200</f>
        <v>69.4105263157895</v>
      </c>
      <c r="L200" s="13" t="n">
        <f aca="false">IF(AND(H200=0,J200=0),0,IF(H200=0,"New",(J200-H200)/H200))</f>
        <v>-0.368421052631579</v>
      </c>
    </row>
    <row r="201" customFormat="false" ht="15" hidden="false" customHeight="true" outlineLevel="0" collapsed="false">
      <c r="A201" s="8" t="s">
        <v>372</v>
      </c>
      <c r="B201" s="8" t="str">
        <f aca="false">IFERROR(INDEX('Source 2026'!$C:$C,MATCH($A201,'Source 2026'!$B:$B,0)),IFERROR(INDEX('Source 2025'!$C:$C,MATCH($A201,'Source 2025'!$B:$B,0)),""))</f>
        <v>R-M סד ליד ימין</v>
      </c>
      <c r="C201" s="9" t="n">
        <f aca="false">SUMIFS('Source 2025'!$Q:$Q,'Source 2025'!$B:$B,$A201,'Source 2025'!$A:$A,"Quantity (units)")</f>
        <v>0</v>
      </c>
      <c r="D201" s="9" t="n">
        <f aca="false">SUMIFS('Source 2026'!$Q:$Q,'Source 2026'!$B:$B,$A201,'Source 2026'!$A:$A,"Quantity (units)")</f>
        <v>-1</v>
      </c>
      <c r="E201" s="9" t="n">
        <f aca="false">D201*$J$5</f>
        <v>-1.26315789473684</v>
      </c>
      <c r="F201" s="9" t="n">
        <f aca="false">E201-C201</f>
        <v>-1.26315789473684</v>
      </c>
      <c r="G201" s="13" t="str">
        <f aca="false">IF(AND(C201=0,E201=0),0,IF(C201=0,"New",(E201-C201)/C201))</f>
        <v>New</v>
      </c>
      <c r="H201" s="9" t="n">
        <f aca="false">SUMIFS('Source 2025'!$Q:$Q,'Source 2025'!$B:$B,$A201,'Source 2025'!$A:$A,"Amount (NIS)")</f>
        <v>0</v>
      </c>
      <c r="I201" s="9" t="n">
        <f aca="false">SUMIFS('Source 2026'!$Q:$Q,'Source 2026'!$B:$B,$A201,'Source 2026'!$A:$A,"Amount (NIS)")</f>
        <v>-90.1</v>
      </c>
      <c r="J201" s="9" t="n">
        <f aca="false">I201*$J$5</f>
        <v>-113.810526315789</v>
      </c>
      <c r="K201" s="9" t="n">
        <f aca="false">J201-H201</f>
        <v>-113.810526315789</v>
      </c>
      <c r="L201" s="13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373</v>
      </c>
      <c r="B202" s="8" t="str">
        <f aca="false">IFERROR(INDEX('Source 2026'!$C:$C,MATCH($A202,'Source 2026'!$B:$B,0)),IFERROR(INDEX('Source 2025'!$C:$C,MATCH($A202,'Source 2025'!$B:$B,0)),""))</f>
        <v>צוארון ספוגי</v>
      </c>
      <c r="C202" s="9" t="n">
        <f aca="false">SUMIFS('Source 2025'!$Q:$Q,'Source 2025'!$B:$B,$A202,'Source 2025'!$A:$A,"Quantity (units)")</f>
        <v>-3</v>
      </c>
      <c r="D202" s="9" t="n">
        <f aca="false">SUMIFS('Source 2026'!$Q:$Q,'Source 2026'!$B:$B,$A202,'Source 2026'!$A:$A,"Quantity (units)")</f>
        <v>0</v>
      </c>
      <c r="E202" s="9" t="n">
        <f aca="false">D202*$J$5</f>
        <v>0</v>
      </c>
      <c r="F202" s="9" t="n">
        <f aca="false">E202-C202</f>
        <v>3</v>
      </c>
      <c r="G202" s="13" t="n">
        <f aca="false">IF(AND(C202=0,E202=0),0,IF(C202=0,"New",(E202-C202)/C202))</f>
        <v>-1</v>
      </c>
      <c r="H202" s="9" t="n">
        <f aca="false">SUMIFS('Source 2025'!$Q:$Q,'Source 2025'!$B:$B,$A202,'Source 2025'!$A:$A,"Amount (NIS)")</f>
        <v>-90</v>
      </c>
      <c r="I202" s="9" t="n">
        <f aca="false">SUMIFS('Source 2026'!$Q:$Q,'Source 2026'!$B:$B,$A202,'Source 2026'!$A:$A,"Amount (NIS)")</f>
        <v>0</v>
      </c>
      <c r="J202" s="9" t="n">
        <f aca="false">I202*$J$5</f>
        <v>0</v>
      </c>
      <c r="K202" s="9" t="n">
        <f aca="false">J202-H202</f>
        <v>90</v>
      </c>
      <c r="L202" s="13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169</v>
      </c>
      <c r="B203" s="8" t="str">
        <f aca="false">IFERROR(INDEX('Source 2026'!$C:$C,MATCH($A203,'Source 2026'!$B:$B,0)),IFERROR(INDEX('Source 2025'!$C:$C,MATCH($A203,'Source 2025'!$B:$B,0)),""))</f>
        <v>להסרת עור קשה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-4</v>
      </c>
      <c r="E203" s="9" t="n">
        <f aca="false">D203*$J$5</f>
        <v>-5.05263157894737</v>
      </c>
      <c r="F203" s="9" t="n">
        <f aca="false">E203-C203</f>
        <v>-5.05263157894737</v>
      </c>
      <c r="G203" s="13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-81.2</v>
      </c>
      <c r="J203" s="9" t="n">
        <f aca="false">I203*$J$5</f>
        <v>-102.568421052632</v>
      </c>
      <c r="K203" s="9" t="n">
        <f aca="false">J203-H203</f>
        <v>-102.568421052632</v>
      </c>
      <c r="L203" s="13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374</v>
      </c>
      <c r="B204" s="8" t="str">
        <f aca="false">IFERROR(INDEX('Source 2026'!$C:$C,MATCH($A204,'Source 2026'!$B:$B,0)),IFERROR(INDEX('Source 2025'!$C:$C,MATCH($A204,'Source 2025'!$B:$B,0)),""))</f>
        <v>S'תתחגורת בטן עממית בז</v>
      </c>
      <c r="C204" s="9" t="n">
        <f aca="false">SUMIFS('Source 2025'!$Q:$Q,'Source 2025'!$B:$B,$A204,'Source 2025'!$A:$A,"Quantity (units)")</f>
        <v>0</v>
      </c>
      <c r="D204" s="9" t="n">
        <f aca="false">SUMIFS('Source 2026'!$Q:$Q,'Source 2026'!$B:$B,$A204,'Source 2026'!$A:$A,"Quantity (units)")</f>
        <v>-1</v>
      </c>
      <c r="E204" s="9" t="n">
        <f aca="false">D204*$J$5</f>
        <v>-1.26315789473684</v>
      </c>
      <c r="F204" s="9" t="n">
        <f aca="false">E204-C204</f>
        <v>-1.26315789473684</v>
      </c>
      <c r="G204" s="13" t="str">
        <f aca="false">IF(AND(C204=0,E204=0),0,IF(C204=0,"New",(E204-C204)/C204))</f>
        <v>New</v>
      </c>
      <c r="H204" s="9" t="n">
        <f aca="false">SUMIFS('Source 2025'!$Q:$Q,'Source 2025'!$B:$B,$A204,'Source 2025'!$A:$A,"Amount (NIS)")</f>
        <v>0</v>
      </c>
      <c r="I204" s="9" t="n">
        <f aca="false">SUMIFS('Source 2026'!$Q:$Q,'Source 2026'!$B:$B,$A204,'Source 2026'!$A:$A,"Amount (NIS)")</f>
        <v>-77.8</v>
      </c>
      <c r="J204" s="9" t="n">
        <f aca="false">I204*$J$5</f>
        <v>-98.2736842105263</v>
      </c>
      <c r="K204" s="9" t="n">
        <f aca="false">J204-H204</f>
        <v>-98.2736842105263</v>
      </c>
      <c r="L204" s="13" t="str">
        <f aca="false">IF(AND(H204=0,J204=0),0,IF(H204=0,"New",(J204-H204)/H204))</f>
        <v>New</v>
      </c>
    </row>
    <row r="205" customFormat="false" ht="15" hidden="false" customHeight="true" outlineLevel="0" collapsed="false">
      <c r="A205" s="8" t="s">
        <v>375</v>
      </c>
      <c r="B205" s="8" t="str">
        <f aca="false">IFERROR(INDEX('Source 2026'!$C:$C,MATCH($A205,'Source 2026'!$B:$B,0)),IFERROR(INDEX('Source 2025'!$C:$C,MATCH($A205,'Source 2025'!$B:$B,0)),""))</f>
        <v>רצועת פיקה לברך</v>
      </c>
      <c r="C205" s="9" t="n">
        <f aca="false">SUMIFS('Source 2025'!$Q:$Q,'Source 2025'!$B:$B,$A205,'Source 2025'!$A:$A,"Quantity (units)")</f>
        <v>-1</v>
      </c>
      <c r="D205" s="9" t="n">
        <f aca="false">SUMIFS('Source 2026'!$Q:$Q,'Source 2026'!$B:$B,$A205,'Source 2026'!$A:$A,"Quantity (units)")</f>
        <v>-2</v>
      </c>
      <c r="E205" s="9" t="n">
        <f aca="false">D205*$J$5</f>
        <v>-2.52631578947368</v>
      </c>
      <c r="F205" s="9" t="n">
        <f aca="false">E205-C205</f>
        <v>-1.52631578947368</v>
      </c>
      <c r="G205" s="13" t="n">
        <f aca="false">IF(AND(C205=0,E205=0),0,IF(C205=0,"New",(E205-C205)/C205))</f>
        <v>1.52631578947368</v>
      </c>
      <c r="H205" s="9" t="n">
        <f aca="false">SUMIFS('Source 2025'!$Q:$Q,'Source 2025'!$B:$B,$A205,'Source 2025'!$A:$A,"Amount (NIS)")</f>
        <v>-73.9</v>
      </c>
      <c r="I205" s="9" t="n">
        <f aca="false">SUMIFS('Source 2026'!$Q:$Q,'Source 2026'!$B:$B,$A205,'Source 2026'!$A:$A,"Amount (NIS)")</f>
        <v>-147.8</v>
      </c>
      <c r="J205" s="9" t="n">
        <f aca="false">I205*$J$5</f>
        <v>-186.694736842105</v>
      </c>
      <c r="K205" s="9" t="n">
        <f aca="false">J205-H205</f>
        <v>-112.794736842105</v>
      </c>
      <c r="L205" s="13" t="n">
        <f aca="false">IF(AND(H205=0,J205=0),0,IF(H205=0,"New",(J205-H205)/H205))</f>
        <v>1.52631578947368</v>
      </c>
    </row>
    <row r="206" customFormat="false" ht="15" hidden="false" customHeight="true" outlineLevel="0" collapsed="false">
      <c r="A206" s="8" t="s">
        <v>302</v>
      </c>
      <c r="B206" s="8" t="str">
        <f aca="false">IFERROR(INDEX('Source 2026'!$C:$C,MATCH($A206,'Source 2026'!$B:$B,0)),IFERROR(INDEX('Source 2025'!$C:$C,MATCH($A206,'Source 2025'!$B:$B,0)),""))</f>
        <v>L מתלה אשכים לספורטאים</v>
      </c>
      <c r="C206" s="9" t="n">
        <f aca="false">SUMIFS('Source 2025'!$Q:$Q,'Source 2025'!$B:$B,$A206,'Source 2025'!$A:$A,"Quantity (units)")</f>
        <v>-1</v>
      </c>
      <c r="D206" s="9" t="n">
        <f aca="false">SUMIFS('Source 2026'!$Q:$Q,'Source 2026'!$B:$B,$A206,'Source 2026'!$A:$A,"Quantity (units)")</f>
        <v>0</v>
      </c>
      <c r="E206" s="9" t="n">
        <f aca="false">D206*$J$5</f>
        <v>0</v>
      </c>
      <c r="F206" s="9" t="n">
        <f aca="false">E206-C206</f>
        <v>1</v>
      </c>
      <c r="G206" s="13" t="n">
        <f aca="false">IF(AND(C206=0,E206=0),0,IF(C206=0,"New",(E206-C206)/C206))</f>
        <v>-1</v>
      </c>
      <c r="H206" s="9" t="n">
        <f aca="false">SUMIFS('Source 2025'!$Q:$Q,'Source 2025'!$B:$B,$A206,'Source 2025'!$A:$A,"Amount (NIS)")</f>
        <v>-71.3</v>
      </c>
      <c r="I206" s="9" t="n">
        <f aca="false">SUMIFS('Source 2026'!$Q:$Q,'Source 2026'!$B:$B,$A206,'Source 2026'!$A:$A,"Amount (NIS)")</f>
        <v>0</v>
      </c>
      <c r="J206" s="9" t="n">
        <f aca="false">I206*$J$5</f>
        <v>0</v>
      </c>
      <c r="K206" s="9" t="n">
        <f aca="false">J206-H206</f>
        <v>71.3</v>
      </c>
      <c r="L206" s="13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336</v>
      </c>
      <c r="B207" s="8" t="str">
        <f aca="false">IFERROR(INDEX('Source 2026'!$C:$C,MATCH($A207,'Source 2026'!$B:$B,0)),IFERROR(INDEX('Source 2025'!$C:$C,MATCH($A207,'Source 2025'!$B:$B,0)),""))</f>
        <v>120 תתתרסיס מרענן לרגל</v>
      </c>
      <c r="C207" s="9" t="n">
        <f aca="false">SUMIFS('Source 2025'!$Q:$Q,'Source 2025'!$B:$B,$A207,'Source 2025'!$A:$A,"Quantity (units)")</f>
        <v>-3</v>
      </c>
      <c r="D207" s="9" t="n">
        <f aca="false">SUMIFS('Source 2026'!$Q:$Q,'Source 2026'!$B:$B,$A207,'Source 2026'!$A:$A,"Quantity (units)")</f>
        <v>0</v>
      </c>
      <c r="E207" s="9" t="n">
        <f aca="false">D207*$J$5</f>
        <v>0</v>
      </c>
      <c r="F207" s="9" t="n">
        <f aca="false">E207-C207</f>
        <v>3</v>
      </c>
      <c r="G207" s="13" t="n">
        <f aca="false">IF(AND(C207=0,E207=0),0,IF(C207=0,"New",(E207-C207)/C207))</f>
        <v>-1</v>
      </c>
      <c r="H207" s="9" t="n">
        <f aca="false">SUMIFS('Source 2025'!$Q:$Q,'Source 2025'!$B:$B,$A207,'Source 2025'!$A:$A,"Amount (NIS)")</f>
        <v>-70.7</v>
      </c>
      <c r="I207" s="9" t="n">
        <f aca="false">SUMIFS('Source 2026'!$Q:$Q,'Source 2026'!$B:$B,$A207,'Source 2026'!$A:$A,"Amount (NIS)")</f>
        <v>0</v>
      </c>
      <c r="J207" s="9" t="n">
        <f aca="false">I207*$J$5</f>
        <v>0</v>
      </c>
      <c r="K207" s="9" t="n">
        <f aca="false">J207-H207</f>
        <v>70.7</v>
      </c>
      <c r="L207" s="13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123</v>
      </c>
      <c r="B208" s="8" t="str">
        <f aca="false">IFERROR(INDEX('Source 2026'!$C:$C,MATCH($A208,'Source 2026'!$B:$B,0)),IFERROR(INDEX('Source 2025'!$C:$C,MATCH($A208,'Source 2025'!$B:$B,0)),""))</f>
        <v>סט פלסטרים נגד שפשופים</v>
      </c>
      <c r="C208" s="9" t="n">
        <f aca="false">SUMIFS('Source 2025'!$Q:$Q,'Source 2025'!$B:$B,$A208,'Source 2025'!$A:$A,"Quantity (units)")</f>
        <v>0</v>
      </c>
      <c r="D208" s="9" t="n">
        <f aca="false">SUMIFS('Source 2026'!$Q:$Q,'Source 2026'!$B:$B,$A208,'Source 2026'!$A:$A,"Quantity (units)")</f>
        <v>-3</v>
      </c>
      <c r="E208" s="9" t="n">
        <f aca="false">D208*$J$5</f>
        <v>-3.78947368421053</v>
      </c>
      <c r="F208" s="9" t="n">
        <f aca="false">E208-C208</f>
        <v>-3.78947368421053</v>
      </c>
      <c r="G208" s="13" t="str">
        <f aca="false">IF(AND(C208=0,E208=0),0,IF(C208=0,"New",(E208-C208)/C208))</f>
        <v>New</v>
      </c>
      <c r="H208" s="9" t="n">
        <f aca="false">SUMIFS('Source 2025'!$Q:$Q,'Source 2025'!$B:$B,$A208,'Source 2025'!$A:$A,"Amount (NIS)")</f>
        <v>0</v>
      </c>
      <c r="I208" s="9" t="n">
        <f aca="false">SUMIFS('Source 2026'!$Q:$Q,'Source 2026'!$B:$B,$A208,'Source 2026'!$A:$A,"Amount (NIS)")</f>
        <v>-58.3</v>
      </c>
      <c r="J208" s="9" t="n">
        <f aca="false">I208*$J$5</f>
        <v>-73.6421052631579</v>
      </c>
      <c r="K208" s="9" t="n">
        <f aca="false">J208-H208</f>
        <v>-73.6421052631579</v>
      </c>
      <c r="L208" s="13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251</v>
      </c>
      <c r="B209" s="8" t="str">
        <f aca="false">IFERROR(INDEX('Source 2026'!$C:$C,MATCH($A209,'Source 2026'!$B:$B,0)),IFERROR(INDEX('Source 2025'!$C:$C,MATCH($A209,'Source 2025'!$B:$B,0)),""))</f>
        <v>L סד לאגודל כפפה</v>
      </c>
      <c r="C209" s="9" t="n">
        <f aca="false">SUMIFS('Source 2025'!$Q:$Q,'Source 2025'!$B:$B,$A209,'Source 2025'!$A:$A,"Quantity (units)")</f>
        <v>0</v>
      </c>
      <c r="D209" s="9" t="n">
        <f aca="false">SUMIFS('Source 2026'!$Q:$Q,'Source 2026'!$B:$B,$A209,'Source 2026'!$A:$A,"Quantity (units)")</f>
        <v>-1</v>
      </c>
      <c r="E209" s="9" t="n">
        <f aca="false">D209*$J$5</f>
        <v>-1.26315789473684</v>
      </c>
      <c r="F209" s="9" t="n">
        <f aca="false">E209-C209</f>
        <v>-1.26315789473684</v>
      </c>
      <c r="G209" s="13" t="str">
        <f aca="false">IF(AND(C209=0,E209=0),0,IF(C209=0,"New",(E209-C209)/C209))</f>
        <v>New</v>
      </c>
      <c r="H209" s="9" t="n">
        <f aca="false">SUMIFS('Source 2025'!$Q:$Q,'Source 2025'!$B:$B,$A209,'Source 2025'!$A:$A,"Amount (NIS)")</f>
        <v>0</v>
      </c>
      <c r="I209" s="9" t="n">
        <f aca="false">SUMIFS('Source 2026'!$Q:$Q,'Source 2026'!$B:$B,$A209,'Source 2026'!$A:$A,"Amount (NIS)")</f>
        <v>-58.3</v>
      </c>
      <c r="J209" s="9" t="n">
        <f aca="false">I209*$J$5</f>
        <v>-73.6421052631579</v>
      </c>
      <c r="K209" s="9" t="n">
        <f aca="false">J209-H209</f>
        <v>-73.6421052631579</v>
      </c>
      <c r="L209" s="13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226</v>
      </c>
      <c r="B210" s="8" t="str">
        <f aca="false">IFERROR(INDEX('Source 2026'!$C:$C,MATCH($A210,'Source 2026'!$B:$B,0)),IFERROR(INDEX('Source 2025'!$C:$C,MATCH($A210,'Source 2025'!$B:$B,0)),""))</f>
        <v>רפידת מגבת כותנה-זוג</v>
      </c>
      <c r="C210" s="9" t="n">
        <f aca="false">SUMIFS('Source 2025'!$Q:$Q,'Source 2025'!$B:$B,$A210,'Source 2025'!$A:$A,"Quantity (units)")</f>
        <v>34</v>
      </c>
      <c r="D210" s="9" t="n">
        <f aca="false">SUMIFS('Source 2026'!$Q:$Q,'Source 2026'!$B:$B,$A210,'Source 2026'!$A:$A,"Quantity (units)")</f>
        <v>28</v>
      </c>
      <c r="E210" s="9" t="n">
        <f aca="false">D210*$J$5</f>
        <v>35.3684210526316</v>
      </c>
      <c r="F210" s="9" t="n">
        <f aca="false">E210-C210</f>
        <v>1.36842105263158</v>
      </c>
      <c r="G210" s="13" t="n">
        <f aca="false">IF(AND(C210=0,E210=0),0,IF(C210=0,"New",(E210-C210)/C210))</f>
        <v>0.0402476780185757</v>
      </c>
      <c r="H210" s="9" t="n">
        <f aca="false">SUMIFS('Source 2025'!$Q:$Q,'Source 2025'!$B:$B,$A210,'Source 2025'!$A:$A,"Amount (NIS)")</f>
        <v>336.9</v>
      </c>
      <c r="I210" s="9" t="n">
        <f aca="false">SUMIFS('Source 2026'!$Q:$Q,'Source 2026'!$B:$B,$A210,'Source 2026'!$A:$A,"Amount (NIS)")</f>
        <v>279.9</v>
      </c>
      <c r="J210" s="9" t="n">
        <f aca="false">I210*$J$5</f>
        <v>353.557894736842</v>
      </c>
      <c r="K210" s="9" t="n">
        <f aca="false">J210-H210</f>
        <v>16.6578947368421</v>
      </c>
      <c r="L210" s="13" t="n">
        <f aca="false">IF(AND(H210=0,J210=0),0,IF(H210=0,"New",(J210-H210)/H210))</f>
        <v>0.0494446267047851</v>
      </c>
    </row>
    <row r="211" customFormat="false" ht="15" hidden="false" customHeight="true" outlineLevel="0" collapsed="false">
      <c r="A211" s="8" t="s">
        <v>119</v>
      </c>
      <c r="B211" s="8" t="str">
        <f aca="false">IFERROR(INDEX('Source 2026'!$C:$C,MATCH($A211,'Source 2026'!$B:$B,0)),IFERROR(INDEX('Source 2025'!$C:$C,MATCH($A211,'Source 2025'!$B:$B,0)),""))</f>
        <v>Lמפר.אצבע סיליק. ליבל.זוג</v>
      </c>
      <c r="C211" s="9" t="n">
        <f aca="false">SUMIFS('Source 2025'!$Q:$Q,'Source 2025'!$B:$B,$A211,'Source 2025'!$A:$A,"Quantity (units)")</f>
        <v>-4</v>
      </c>
      <c r="D211" s="9" t="n">
        <f aca="false">SUMIFS('Source 2026'!$Q:$Q,'Source 2026'!$B:$B,$A211,'Source 2026'!$A:$A,"Quantity (units)")</f>
        <v>0</v>
      </c>
      <c r="E211" s="9" t="n">
        <f aca="false">D211*$J$5</f>
        <v>0</v>
      </c>
      <c r="F211" s="9" t="n">
        <f aca="false">E211-C211</f>
        <v>4</v>
      </c>
      <c r="G211" s="13" t="n">
        <f aca="false">IF(AND(C211=0,E211=0),0,IF(C211=0,"New",(E211-C211)/C211))</f>
        <v>-1</v>
      </c>
      <c r="H211" s="9" t="n">
        <f aca="false">SUMIFS('Source 2025'!$Q:$Q,'Source 2025'!$B:$B,$A211,'Source 2025'!$A:$A,"Amount (NIS)")</f>
        <v>-47.7</v>
      </c>
      <c r="I211" s="9" t="n">
        <f aca="false">SUMIFS('Source 2026'!$Q:$Q,'Source 2026'!$B:$B,$A211,'Source 2026'!$A:$A,"Amount (NIS)")</f>
        <v>0</v>
      </c>
      <c r="J211" s="9" t="n">
        <f aca="false">I211*$J$5</f>
        <v>0</v>
      </c>
      <c r="K211" s="9" t="n">
        <f aca="false">J211-H211</f>
        <v>47.7</v>
      </c>
      <c r="L211" s="13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296</v>
      </c>
      <c r="B212" s="8" t="str">
        <f aca="false">IFERROR(INDEX('Source 2026'!$C:$C,MATCH($A212,'Source 2026'!$B:$B,0)),IFERROR(INDEX('Source 2025'!$C:$C,MATCH($A212,'Source 2025'!$B:$B,0)),""))</f>
        <v>בקט.לנעל120</v>
      </c>
      <c r="C212" s="9" t="n">
        <f aca="false">SUMIFS('Source 2025'!$Q:$Q,'Source 2025'!$B:$B,$A212,'Source 2025'!$A:$A,"Quantity (units)")</f>
        <v>-2</v>
      </c>
      <c r="D212" s="9" t="n">
        <f aca="false">SUMIFS('Source 2026'!$Q:$Q,'Source 2026'!$B:$B,$A212,'Source 2026'!$A:$A,"Quantity (units)")</f>
        <v>0</v>
      </c>
      <c r="E212" s="9" t="n">
        <f aca="false">D212*$J$5</f>
        <v>0</v>
      </c>
      <c r="F212" s="9" t="n">
        <f aca="false">E212-C212</f>
        <v>2</v>
      </c>
      <c r="G212" s="13" t="n">
        <f aca="false">IF(AND(C212=0,E212=0),0,IF(C212=0,"New",(E212-C212)/C212))</f>
        <v>-1</v>
      </c>
      <c r="H212" s="9" t="n">
        <f aca="false">SUMIFS('Source 2025'!$Q:$Q,'Source 2025'!$B:$B,$A212,'Source 2025'!$A:$A,"Amount (NIS)")</f>
        <v>-47.1</v>
      </c>
      <c r="I212" s="9" t="n">
        <f aca="false">SUMIFS('Source 2026'!$Q:$Q,'Source 2026'!$B:$B,$A212,'Source 2026'!$A:$A,"Amount (NIS)")</f>
        <v>0</v>
      </c>
      <c r="J212" s="9" t="n">
        <f aca="false">I212*$J$5</f>
        <v>0</v>
      </c>
      <c r="K212" s="9" t="n">
        <f aca="false">J212-H212</f>
        <v>47.1</v>
      </c>
      <c r="L212" s="13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334</v>
      </c>
      <c r="B213" s="8" t="str">
        <f aca="false">IFERROR(INDEX('Source 2026'!$C:$C,MATCH($A213,'Source 2026'!$B:$B,0)),IFERROR(INDEX('Source 2025'!$C:$C,MATCH($A213,'Source 2025'!$B:$B,0)),""))</f>
        <v>S תתמתלה ליד רצועה</v>
      </c>
      <c r="C213" s="9" t="n">
        <f aca="false">SUMIFS('Source 2025'!$Q:$Q,'Source 2025'!$B:$B,$A213,'Source 2025'!$A:$A,"Quantity (units)")</f>
        <v>-1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1</v>
      </c>
      <c r="G213" s="13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-32.3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32.3</v>
      </c>
      <c r="L213" s="13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195</v>
      </c>
      <c r="B214" s="8" t="str">
        <f aca="false">IFERROR(INDEX('Source 2026'!$C:$C,MATCH($A214,'Source 2026'!$B:$B,0)),IFERROR(INDEX('Source 2025'!$C:$C,MATCH($A214,'Source 2025'!$B:$B,0)),""))</f>
        <v>XLמפריד אצבע סיליקון ליבלת</v>
      </c>
      <c r="C214" s="9" t="n">
        <f aca="false">SUMIFS('Source 2025'!$Q:$Q,'Source 2025'!$B:$B,$A214,'Source 2025'!$A:$A,"Quantity (units)")</f>
        <v>0</v>
      </c>
      <c r="D214" s="9" t="n">
        <f aca="false">SUMIFS('Source 2026'!$Q:$Q,'Source 2026'!$B:$B,$A214,'Source 2026'!$A:$A,"Quantity (units)")</f>
        <v>-2</v>
      </c>
      <c r="E214" s="9" t="n">
        <f aca="false">D214*$J$5</f>
        <v>-2.52631578947368</v>
      </c>
      <c r="F214" s="9" t="n">
        <f aca="false">E214-C214</f>
        <v>-2.52631578947368</v>
      </c>
      <c r="G214" s="13" t="str">
        <f aca="false">IF(AND(C214=0,E214=0),0,IF(C214=0,"New",(E214-C214)/C214))</f>
        <v>New</v>
      </c>
      <c r="H214" s="9" t="n">
        <f aca="false">SUMIFS('Source 2025'!$Q:$Q,'Source 2025'!$B:$B,$A214,'Source 2025'!$A:$A,"Amount (NIS)")</f>
        <v>0</v>
      </c>
      <c r="I214" s="9" t="n">
        <f aca="false">SUMIFS('Source 2026'!$Q:$Q,'Source 2026'!$B:$B,$A214,'Source 2026'!$A:$A,"Amount (NIS)")</f>
        <v>-25.1</v>
      </c>
      <c r="J214" s="9" t="n">
        <f aca="false">I214*$J$5</f>
        <v>-31.7052631578947</v>
      </c>
      <c r="K214" s="9" t="n">
        <f aca="false">J214-H214</f>
        <v>-31.7052631578947</v>
      </c>
      <c r="L214" s="13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104</v>
      </c>
      <c r="B215" s="8" t="str">
        <f aca="false">IFERROR(INDEX('Source 2026'!$C:$C,MATCH($A215,'Source 2026'!$B:$B,0)),IFERROR(INDEX('Source 2025'!$C:$C,MATCH($A215,'Source 2025'!$B:$B,0)),""))</f>
        <v>ציפורניים</v>
      </c>
      <c r="C215" s="9" t="n">
        <f aca="false">SUMIFS('Source 2025'!$Q:$Q,'Source 2025'!$B:$B,$A215,'Source 2025'!$A:$A,"Quantity (units)")</f>
        <v>0</v>
      </c>
      <c r="D215" s="9" t="n">
        <f aca="false">SUMIFS('Source 2026'!$Q:$Q,'Source 2026'!$B:$B,$A215,'Source 2026'!$A:$A,"Quantity (units)")</f>
        <v>-2</v>
      </c>
      <c r="E215" s="9" t="n">
        <f aca="false">D215*$J$5</f>
        <v>-2.52631578947368</v>
      </c>
      <c r="F215" s="9" t="n">
        <f aca="false">E215-C215</f>
        <v>-2.52631578947368</v>
      </c>
      <c r="G215" s="13" t="str">
        <f aca="false">IF(AND(C215=0,E215=0),0,IF(C215=0,"New",(E215-C215)/C215))</f>
        <v>New</v>
      </c>
      <c r="H215" s="9" t="n">
        <f aca="false">SUMIFS('Source 2025'!$Q:$Q,'Source 2025'!$B:$B,$A215,'Source 2025'!$A:$A,"Amount (NIS)")</f>
        <v>0</v>
      </c>
      <c r="I215" s="9" t="n">
        <f aca="false">SUMIFS('Source 2026'!$Q:$Q,'Source 2026'!$B:$B,$A215,'Source 2026'!$A:$A,"Amount (NIS)")</f>
        <v>-24.4</v>
      </c>
      <c r="J215" s="9" t="n">
        <f aca="false">I215*$J$5</f>
        <v>-30.8210526315789</v>
      </c>
      <c r="K215" s="9" t="n">
        <f aca="false">J215-H215</f>
        <v>-30.8210526315789</v>
      </c>
      <c r="L215" s="13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214</v>
      </c>
      <c r="B216" s="8" t="str">
        <f aca="false">IFERROR(INDEX('Source 2026'!$C:$C,MATCH($A216,'Source 2026'!$B:$B,0)),IFERROR(INDEX('Source 2025'!$C:$C,MATCH($A216,'Source 2025'!$B:$B,0)),""))</f>
        <v>ריפוד סיליק.לעקב תחתון</v>
      </c>
      <c r="C216" s="9" t="n">
        <f aca="false">SUMIFS('Source 2025'!$Q:$Q,'Source 2025'!$B:$B,$A216,'Source 2025'!$A:$A,"Quantity (units)")</f>
        <v>-2</v>
      </c>
      <c r="D216" s="9" t="n">
        <f aca="false">SUMIFS('Source 2026'!$Q:$Q,'Source 2026'!$B:$B,$A216,'Source 2026'!$A:$A,"Quantity (units)")</f>
        <v>-3</v>
      </c>
      <c r="E216" s="9" t="n">
        <f aca="false">D216*$J$5</f>
        <v>-3.78947368421053</v>
      </c>
      <c r="F216" s="9" t="n">
        <f aca="false">E216-C216</f>
        <v>-1.78947368421053</v>
      </c>
      <c r="G216" s="13" t="n">
        <f aca="false">IF(AND(C216=0,E216=0),0,IF(C216=0,"New",(E216-C216)/C216))</f>
        <v>0.894736842105263</v>
      </c>
      <c r="H216" s="9" t="n">
        <f aca="false">SUMIFS('Source 2025'!$Q:$Q,'Source 2025'!$B:$B,$A216,'Source 2025'!$A:$A,"Amount (NIS)")</f>
        <v>-40.5</v>
      </c>
      <c r="I216" s="9" t="n">
        <f aca="false">SUMIFS('Source 2026'!$Q:$Q,'Source 2026'!$B:$B,$A216,'Source 2026'!$A:$A,"Amount (NIS)")</f>
        <v>-60.8</v>
      </c>
      <c r="J216" s="9" t="n">
        <f aca="false">I216*$J$5</f>
        <v>-76.8</v>
      </c>
      <c r="K216" s="9" t="n">
        <f aca="false">J216-H216</f>
        <v>-36.3</v>
      </c>
      <c r="L216" s="13" t="n">
        <f aca="false">IF(AND(H216=0,J216=0),0,IF(H216=0,"New",(J216-H216)/H216))</f>
        <v>0.896296296296296</v>
      </c>
    </row>
    <row r="217" customFormat="false" ht="15" hidden="false" customHeight="true" outlineLevel="0" collapsed="false">
      <c r="A217" s="8" t="s">
        <v>376</v>
      </c>
      <c r="B217" s="8" t="str">
        <f aca="false">IFERROR(INDEX('Source 2026'!$C:$C,MATCH($A217,'Source 2026'!$B:$B,0)),IFERROR(INDEX('Source 2025'!$C:$C,MATCH($A217,'Source 2025'!$B:$B,0)),""))</f>
        <v>0   גרביים+סיליקון</v>
      </c>
      <c r="C217" s="9" t="n">
        <f aca="false">SUMIFS('Source 2025'!$Q:$Q,'Source 2025'!$B:$B,$A217,'Source 2025'!$A:$A,"Quantity (units)")</f>
        <v>-1</v>
      </c>
      <c r="D217" s="9" t="n">
        <f aca="false">SUMIFS('Source 2026'!$Q:$Q,'Source 2026'!$B:$B,$A217,'Source 2026'!$A:$A,"Quantity (units)")</f>
        <v>-1</v>
      </c>
      <c r="E217" s="9" t="n">
        <f aca="false">D217*$J$5</f>
        <v>-1.26315789473684</v>
      </c>
      <c r="F217" s="9" t="n">
        <f aca="false">E217-C217</f>
        <v>-0.263157894736842</v>
      </c>
      <c r="G217" s="13" t="n">
        <f aca="false">IF(AND(C217=0,E217=0),0,IF(C217=0,"New",(E217-C217)/C217))</f>
        <v>0.263157894736842</v>
      </c>
      <c r="H217" s="9" t="n">
        <f aca="false">SUMIFS('Source 2025'!$Q:$Q,'Source 2025'!$B:$B,$A217,'Source 2025'!$A:$A,"Amount (NIS)")</f>
        <v>-28.4</v>
      </c>
      <c r="I217" s="9" t="n">
        <f aca="false">SUMIFS('Source 2026'!$Q:$Q,'Source 2026'!$B:$B,$A217,'Source 2026'!$A:$A,"Amount (NIS)")</f>
        <v>-31.9</v>
      </c>
      <c r="J217" s="9" t="n">
        <f aca="false">I217*$J$5</f>
        <v>-40.2947368421053</v>
      </c>
      <c r="K217" s="9" t="n">
        <f aca="false">J217-H217</f>
        <v>-11.8947368421053</v>
      </c>
      <c r="L217" s="13" t="n">
        <f aca="false">IF(AND(H217=0,J217=0),0,IF(H217=0,"New",(J217-H217)/H217))</f>
        <v>0.41882876204596</v>
      </c>
    </row>
    <row r="218" customFormat="false" ht="15" hidden="false" customHeight="true" outlineLevel="0" collapsed="false">
      <c r="A218" s="8" t="s">
        <v>254</v>
      </c>
      <c r="B218" s="8" t="str">
        <f aca="false">IFERROR(INDEX('Source 2026'!$C:$C,MATCH($A218,'Source 2026'!$B:$B,0)),IFERROR(INDEX('Source 2025'!$C:$C,MATCH($A218,'Source 2025'!$B:$B,0)),""))</f>
        <v>XLסד ליד שמאל</v>
      </c>
      <c r="C218" s="9" t="n">
        <f aca="false">SUMIFS('Source 2025'!$Q:$Q,'Source 2025'!$B:$B,$A218,'Source 2025'!$A:$A,"Quantity (units)")</f>
        <v>0</v>
      </c>
      <c r="D218" s="9" t="n">
        <f aca="false">SUMIFS('Source 2026'!$Q:$Q,'Source 2026'!$B:$B,$A218,'Source 2026'!$A:$A,"Quantity (units)")</f>
        <v>-1</v>
      </c>
      <c r="E218" s="9" t="n">
        <f aca="false">D218*$J$5</f>
        <v>-1.26315789473684</v>
      </c>
      <c r="F218" s="9" t="n">
        <f aca="false">E218-C218</f>
        <v>-1.26315789473684</v>
      </c>
      <c r="G218" s="13" t="str">
        <f aca="false">IF(AND(C218=0,E218=0),0,IF(C218=0,"New",(E218-C218)/C218))</f>
        <v>New</v>
      </c>
      <c r="H218" s="9" t="n">
        <f aca="false">SUMIFS('Source 2025'!$Q:$Q,'Source 2025'!$B:$B,$A218,'Source 2025'!$A:$A,"Amount (NIS)")</f>
        <v>0</v>
      </c>
      <c r="I218" s="9" t="n">
        <f aca="false">SUMIFS('Source 2026'!$Q:$Q,'Source 2026'!$B:$B,$A218,'Source 2026'!$A:$A,"Amount (NIS)")</f>
        <v>0</v>
      </c>
      <c r="J218" s="9" t="n">
        <f aca="false">I218*$J$5</f>
        <v>0</v>
      </c>
      <c r="K218" s="9" t="n">
        <f aca="false">J218-H218</f>
        <v>0</v>
      </c>
      <c r="L218" s="13" t="n">
        <f aca="false">IF(AND(H218=0,J218=0),0,IF(H218=0,"New",(J218-H218)/H218))</f>
        <v>0</v>
      </c>
    </row>
    <row r="219" customFormat="false" ht="15" hidden="false" customHeight="true" outlineLevel="0" collapsed="false">
      <c r="A219" s="8" t="s">
        <v>211</v>
      </c>
      <c r="B219" s="8" t="str">
        <f aca="false">IFERROR(INDEX('Source 2026'!$C:$C,MATCH($A219,'Source 2026'!$B:$B,0)),IFERROR(INDEX('Source 2025'!$C:$C,MATCH($A219,'Source 2025'!$B:$B,0)),""))</f>
        <v>L מיצב פיקה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3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-81.9</v>
      </c>
      <c r="I219" s="9" t="n">
        <f aca="false">SUMIFS('Source 2026'!$Q:$Q,'Source 2026'!$B:$B,$A219,'Source 2026'!$A:$A,"Amount (NIS)")</f>
        <v>-81.9</v>
      </c>
      <c r="J219" s="9" t="n">
        <f aca="false">I219*$J$5</f>
        <v>-103.452631578947</v>
      </c>
      <c r="K219" s="9" t="n">
        <f aca="false">J219-H219</f>
        <v>-21.5526315789474</v>
      </c>
      <c r="L219" s="13" t="n">
        <f aca="false">IF(AND(H219=0,J219=0),0,IF(H219=0,"New",(J219-H219)/H219))</f>
        <v>0.263157894736842</v>
      </c>
    </row>
    <row r="220" customFormat="false" ht="15" hidden="false" customHeight="true" outlineLevel="0" collapsed="false">
      <c r="A220" s="8" t="s">
        <v>377</v>
      </c>
      <c r="B220" s="8" t="str">
        <f aca="false">IFERROR(INDEX('Source 2026'!$C:$C,MATCH($A220,'Source 2026'!$B:$B,0)),IFERROR(INDEX('Source 2025'!$C:$C,MATCH($A220,'Source 2025'!$B:$B,0)),""))</f>
        <v>יד לטניס כרית סיליק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3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0</v>
      </c>
      <c r="I220" s="9" t="n">
        <f aca="false">SUMIFS('Source 2026'!$Q:$Q,'Source 2026'!$B:$B,$A220,'Source 2026'!$A:$A,"Amount (NIS)")</f>
        <v>0</v>
      </c>
      <c r="J220" s="9" t="n">
        <f aca="false">I220*$J$5</f>
        <v>0</v>
      </c>
      <c r="K220" s="9" t="n">
        <f aca="false">J220-H220</f>
        <v>0</v>
      </c>
      <c r="L220" s="13" t="n">
        <f aca="false">IF(AND(H220=0,J220=0),0,IF(H220=0,"New",(J220-H220)/H220))</f>
        <v>0</v>
      </c>
    </row>
    <row r="221" customFormat="false" ht="15" hidden="false" customHeight="true" outlineLevel="0" collapsed="false">
      <c r="A221" s="8" t="s">
        <v>378</v>
      </c>
      <c r="B221" s="8" t="str">
        <f aca="false">IFERROR(INDEX('Source 2026'!$C:$C,MATCH($A221,'Source 2026'!$B:$B,0)),IFERROR(INDEX('Source 2025'!$C:$C,MATCH($A221,'Source 2025'!$B:$B,0)),""))</f>
        <v>XL ח.גב מגנטית+מוטות תמיכה</v>
      </c>
      <c r="C221" s="9" t="n">
        <f aca="false">SUMIFS('Source 2025'!$Q:$Q,'Source 2025'!$B:$B,$A221,'Source 2025'!$A:$A,"Quantity (units)")</f>
        <v>-1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-0.263157894736842</v>
      </c>
      <c r="G221" s="13" t="n">
        <f aca="false">IF(AND(C221=0,E221=0),0,IF(C221=0,"New",(E221-C221)/C221))</f>
        <v>0.263157894736842</v>
      </c>
      <c r="H221" s="9" t="n">
        <f aca="false">SUMIFS('Source 2025'!$Q:$Q,'Source 2025'!$B:$B,$A221,'Source 2025'!$A:$A,"Amount (NIS)")</f>
        <v>-178.6</v>
      </c>
      <c r="I221" s="9" t="n">
        <f aca="false">SUMIFS('Source 2026'!$Q:$Q,'Source 2026'!$B:$B,$A221,'Source 2026'!$A:$A,"Amount (NIS)")</f>
        <v>-178.6</v>
      </c>
      <c r="J221" s="9" t="n">
        <f aca="false">I221*$J$5</f>
        <v>-225.6</v>
      </c>
      <c r="K221" s="9" t="n">
        <f aca="false">J221-H221</f>
        <v>-47</v>
      </c>
      <c r="L221" s="13" t="n">
        <f aca="false">IF(AND(H221=0,J221=0),0,IF(H221=0,"New",(J221-H221)/H221))</f>
        <v>0.263157894736842</v>
      </c>
    </row>
    <row r="222" customFormat="false" ht="15" hidden="false" customHeight="true" outlineLevel="0" collapsed="false">
      <c r="A222" s="8" t="s">
        <v>142</v>
      </c>
      <c r="B222" s="8" t="str">
        <f aca="false">IFERROR(INDEX('Source 2026'!$C:$C,MATCH($A222,'Source 2026'!$B:$B,0)),IFERROR(INDEX('Source 2025'!$C:$C,MATCH($A222,'Source 2025'!$B:$B,0)),""))</f>
        <v>S ח.גב ""איטלקית"" אורירית</v>
      </c>
      <c r="C222" s="9" t="n">
        <f aca="false">SUMIFS('Source 2025'!$Q:$Q,'Source 2025'!$B:$B,$A222,'Source 2025'!$A:$A,"Quantity (units)")</f>
        <v>-1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-0.263157894736842</v>
      </c>
      <c r="G222" s="13" t="n">
        <f aca="false">IF(AND(C222=0,E222=0),0,IF(C222=0,"New",(E222-C222)/C222))</f>
        <v>0.263157894736842</v>
      </c>
      <c r="H222" s="9" t="n">
        <f aca="false">SUMIFS('Source 2025'!$Q:$Q,'Source 2025'!$B:$B,$A222,'Source 2025'!$A:$A,"Amount (NIS)")</f>
        <v>-215.4</v>
      </c>
      <c r="I222" s="9" t="n">
        <f aca="false">SUMIFS('Source 2026'!$Q:$Q,'Source 2026'!$B:$B,$A222,'Source 2026'!$A:$A,"Amount (NIS)")</f>
        <v>-215.4</v>
      </c>
      <c r="J222" s="9" t="n">
        <f aca="false">I222*$J$5</f>
        <v>-272.084210526316</v>
      </c>
      <c r="K222" s="9" t="n">
        <f aca="false">J222-H222</f>
        <v>-56.6842105263158</v>
      </c>
      <c r="L222" s="13" t="n">
        <f aca="false">IF(AND(H222=0,J222=0),0,IF(H222=0,"New",(J222-H222)/H222))</f>
        <v>0.263157894736842</v>
      </c>
    </row>
    <row r="223" customFormat="false" ht="15" hidden="false" customHeight="true" outlineLevel="0" collapsed="false">
      <c r="A223" s="8" t="s">
        <v>379</v>
      </c>
      <c r="B223" s="8" t="str">
        <f aca="false">IFERROR(INDEX('Source 2026'!$C:$C,MATCH($A223,'Source 2026'!$B:$B,0)),IFERROR(INDEX('Source 2025'!$C:$C,MATCH($A223,'Source 2025'!$B:$B,0)),""))</f>
        <v>XLסד ליד ימין</v>
      </c>
      <c r="C223" s="9" t="n">
        <f aca="false">SUMIFS('Source 2025'!$Q:$Q,'Source 2025'!$B:$B,$A223,'Source 2025'!$A:$A,"Quantity (units)")</f>
        <v>0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-1.26315789473684</v>
      </c>
      <c r="G223" s="13" t="str">
        <f aca="false">IF(AND(C223=0,E223=0),0,IF(C223=0,"New",(E223-C223)/C223))</f>
        <v>New</v>
      </c>
      <c r="H223" s="9" t="n">
        <f aca="false">SUMIFS('Source 2025'!$Q:$Q,'Source 2025'!$B:$B,$A223,'Source 2025'!$A:$A,"Amount (NIS)")</f>
        <v>0</v>
      </c>
      <c r="I223" s="9" t="n">
        <f aca="false">SUMIFS('Source 2026'!$Q:$Q,'Source 2026'!$B:$B,$A223,'Source 2026'!$A:$A,"Amount (NIS)")</f>
        <v>0</v>
      </c>
      <c r="J223" s="9" t="n">
        <f aca="false">I223*$J$5</f>
        <v>0</v>
      </c>
      <c r="K223" s="9" t="n">
        <f aca="false">J223-H223</f>
        <v>0</v>
      </c>
      <c r="L223" s="13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210</v>
      </c>
      <c r="B224" s="8" t="str">
        <f aca="false">IFERROR(INDEX('Source 2026'!$C:$C,MATCH($A224,'Source 2026'!$B:$B,0)),IFERROR(INDEX('Source 2025'!$C:$C,MATCH($A224,'Source 2025'!$B:$B,0)),""))</f>
        <v>L חגורה לשבר טבור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3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-135</v>
      </c>
      <c r="I224" s="9" t="n">
        <f aca="false">SUMIFS('Source 2026'!$Q:$Q,'Source 2026'!$B:$B,$A224,'Source 2026'!$A:$A,"Amount (NIS)")</f>
        <v>-135</v>
      </c>
      <c r="J224" s="9" t="n">
        <f aca="false">I224*$J$5</f>
        <v>-170.526315789474</v>
      </c>
      <c r="K224" s="9" t="n">
        <f aca="false">J224-H224</f>
        <v>-35.5263157894737</v>
      </c>
      <c r="L224" s="13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380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3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3" t="n">
        <f aca="false">IF(AND(H225=0,J225=0),0,IF(H225=0,"New",(J225-H225)/H225))</f>
        <v>0</v>
      </c>
    </row>
    <row r="227" customFormat="false" ht="15" hidden="false" customHeight="true" outlineLevel="0" collapsed="false">
      <c r="A227" s="23"/>
      <c r="B227" s="24" t="s">
        <v>350</v>
      </c>
      <c r="C227" s="29" t="n">
        <f aca="false">SUM(C7:C225)</f>
        <v>176505</v>
      </c>
      <c r="D227" s="29" t="n">
        <f aca="false">SUM(D7:D225)</f>
        <v>118307</v>
      </c>
      <c r="E227" s="29" t="n">
        <f aca="false">SUM(E7:E225)</f>
        <v>149440.421052632</v>
      </c>
      <c r="F227" s="29" t="n">
        <f aca="false">SUM(F7:F225)</f>
        <v>-27064.5789473684</v>
      </c>
      <c r="G227" s="30" t="n">
        <f aca="false">IF(C227=0,"N/A",F227/C227)</f>
        <v>-0.153336046839287</v>
      </c>
      <c r="H227" s="29" t="n">
        <f aca="false">SUM(H7:H225)</f>
        <v>6689220.5</v>
      </c>
      <c r="I227" s="29" t="n">
        <f aca="false">SUM(I7:I225)</f>
        <v>4476515.3</v>
      </c>
      <c r="J227" s="29" t="n">
        <f aca="false">SUM(J7:J225)</f>
        <v>5654545.64210526</v>
      </c>
      <c r="K227" s="29" t="n">
        <f aca="false">SUM(K7:K225)</f>
        <v>-1034674.85789474</v>
      </c>
      <c r="L227" s="30" t="n">
        <f aca="false">IF(H227=0,"N/A",K227/H227)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382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6" t="s">
        <v>54</v>
      </c>
      <c r="J4" s="17" t="n">
        <v>12</v>
      </c>
      <c r="K4" s="18" t="s">
        <v>55</v>
      </c>
      <c r="L4" s="17" t="n">
        <v>9.5</v>
      </c>
    </row>
    <row r="5" customFormat="false" ht="21.75" hidden="false" customHeight="true" outlineLevel="0" collapsed="false">
      <c r="I5" s="19" t="s">
        <v>56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1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1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77</v>
      </c>
      <c r="B7" s="8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2" t="n">
        <f aca="false">D7*$J$5</f>
        <v>818.526315789474</v>
      </c>
      <c r="F7" s="22" t="n">
        <f aca="false">E7-C7</f>
        <v>818.526315789474</v>
      </c>
      <c r="G7" s="10" t="str">
        <f aca="false">IF(AND(C7=0,E7=0),0,IF(C7=0,"New",(E7-C7)/C7))</f>
        <v>New</v>
      </c>
      <c r="H7" s="11" t="n">
        <f aca="false">SUMIFS('Source 2025'!$T:$T,'Source 2025'!$B:$B,$A7,'Source 2025'!$A:$A,"Amount (NIS)")</f>
        <v>0</v>
      </c>
      <c r="I7" s="11" t="n">
        <f aca="false">SUMIFS('Source 2026'!$T:$T,'Source 2026'!$B:$B,$A7,'Source 2026'!$A:$A,"Amount (NIS)")</f>
        <v>29484</v>
      </c>
      <c r="J7" s="11" t="n">
        <f aca="false">I7*$J$5</f>
        <v>37242.9473684211</v>
      </c>
      <c r="K7" s="11" t="n">
        <f aca="false">J7-H7</f>
        <v>37242.9473684211</v>
      </c>
      <c r="L7" s="10" t="str">
        <f aca="false">IF(AND(H7=0,J7=0),0,IF(H7=0,"New",(J7-H7)/H7))</f>
        <v>New</v>
      </c>
    </row>
    <row r="8" customFormat="false" ht="15" hidden="false" customHeight="true" outlineLevel="0" collapsed="false">
      <c r="A8" s="8" t="s">
        <v>174</v>
      </c>
      <c r="B8" s="8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2" t="n">
        <f aca="false">D8*$J$5</f>
        <v>346.105263157895</v>
      </c>
      <c r="F8" s="22" t="n">
        <f aca="false">E8-C8</f>
        <v>346.105263157895</v>
      </c>
      <c r="G8" s="10" t="str">
        <f aca="false">IF(AND(C8=0,E8=0),0,IF(C8=0,"New",(E8-C8)/C8))</f>
        <v>New</v>
      </c>
      <c r="H8" s="11" t="n">
        <f aca="false">SUMIFS('Source 2025'!$T:$T,'Source 2025'!$B:$B,$A8,'Source 2025'!$A:$A,"Amount (NIS)")</f>
        <v>0</v>
      </c>
      <c r="I8" s="11" t="n">
        <f aca="false">SUMIFS('Source 2026'!$T:$T,'Source 2026'!$B:$B,$A8,'Source 2026'!$A:$A,"Amount (NIS)")</f>
        <v>21317.2</v>
      </c>
      <c r="J8" s="11" t="n">
        <f aca="false">I8*$J$5</f>
        <v>26926.9894736842</v>
      </c>
      <c r="K8" s="11" t="n">
        <f aca="false">J8-H8</f>
        <v>26926.9894736842</v>
      </c>
      <c r="L8" s="10" t="str">
        <f aca="false">IF(AND(H8=0,J8=0),0,IF(H8=0,"New",(J8-H8)/H8))</f>
        <v>New</v>
      </c>
    </row>
    <row r="9" customFormat="false" ht="15" hidden="false" customHeight="true" outlineLevel="0" collapsed="false">
      <c r="A9" s="8" t="s">
        <v>69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2" t="n">
        <f aca="false">D9*$J$5</f>
        <v>525.473684210526</v>
      </c>
      <c r="F9" s="22" t="n">
        <f aca="false">E9-C9</f>
        <v>525.473684210526</v>
      </c>
      <c r="G9" s="10" t="str">
        <f aca="false">IF(AND(C9=0,E9=0),0,IF(C9=0,"New",(E9-C9)/C9))</f>
        <v>New</v>
      </c>
      <c r="H9" s="11" t="n">
        <f aca="false">SUMIFS('Source 2025'!$T:$T,'Source 2025'!$B:$B,$A9,'Source 2025'!$A:$A,"Amount (NIS)")</f>
        <v>0</v>
      </c>
      <c r="I9" s="11" t="n">
        <f aca="false">SUMIFS('Source 2026'!$T:$T,'Source 2026'!$B:$B,$A9,'Source 2026'!$A:$A,"Amount (NIS)")</f>
        <v>17016.6</v>
      </c>
      <c r="J9" s="11" t="n">
        <f aca="false">I9*$J$5</f>
        <v>21494.6526315789</v>
      </c>
      <c r="K9" s="11" t="n">
        <f aca="false">J9-H9</f>
        <v>21494.6526315789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73</v>
      </c>
      <c r="B10" s="8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2" t="n">
        <f aca="false">D10*$J$5</f>
        <v>294.315789473684</v>
      </c>
      <c r="F10" s="22" t="n">
        <f aca="false">E10-C10</f>
        <v>294.315789473684</v>
      </c>
      <c r="G10" s="10" t="str">
        <f aca="false">IF(AND(C10=0,E10=0),0,IF(C10=0,"New",(E10-C10)/C10))</f>
        <v>New</v>
      </c>
      <c r="H10" s="11" t="n">
        <f aca="false">SUMIFS('Source 2025'!$T:$T,'Source 2025'!$B:$B,$A10,'Source 2025'!$A:$A,"Amount (NIS)")</f>
        <v>0</v>
      </c>
      <c r="I10" s="11" t="n">
        <f aca="false">SUMIFS('Source 2026'!$T:$T,'Source 2026'!$B:$B,$A10,'Source 2026'!$A:$A,"Amount (NIS)")</f>
        <v>14504.7</v>
      </c>
      <c r="J10" s="11" t="n">
        <f aca="false">I10*$J$5</f>
        <v>18321.7263157895</v>
      </c>
      <c r="K10" s="11" t="n">
        <f aca="false">J10-H10</f>
        <v>18321.7263157895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72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2" t="n">
        <f aca="false">D11*$J$5</f>
        <v>122.526315789474</v>
      </c>
      <c r="F11" s="22" t="n">
        <f aca="false">E11-C11</f>
        <v>122.526315789474</v>
      </c>
      <c r="G11" s="10" t="str">
        <f aca="false">IF(AND(C11=0,E11=0),0,IF(C11=0,"New",(E11-C11)/C11))</f>
        <v>New</v>
      </c>
      <c r="H11" s="11" t="n">
        <f aca="false">SUMIFS('Source 2025'!$T:$T,'Source 2025'!$B:$B,$A11,'Source 2025'!$A:$A,"Amount (NIS)")</f>
        <v>0</v>
      </c>
      <c r="I11" s="11" t="n">
        <f aca="false">SUMIFS('Source 2026'!$T:$T,'Source 2026'!$B:$B,$A11,'Source 2026'!$A:$A,"Amount (NIS)")</f>
        <v>12125</v>
      </c>
      <c r="J11" s="11" t="n">
        <f aca="false">I11*$J$5</f>
        <v>15315.7894736842</v>
      </c>
      <c r="K11" s="11" t="n">
        <f aca="false">J11-H11</f>
        <v>15315.7894736842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82</v>
      </c>
      <c r="B12" s="8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2" t="n">
        <f aca="false">D12*$J$5</f>
        <v>493.894736842105</v>
      </c>
      <c r="F12" s="22" t="n">
        <f aca="false">E12-C12</f>
        <v>493.894736842105</v>
      </c>
      <c r="G12" s="10" t="str">
        <f aca="false">IF(AND(C12=0,E12=0),0,IF(C12=0,"New",(E12-C12)/C12))</f>
        <v>New</v>
      </c>
      <c r="H12" s="11" t="n">
        <f aca="false">SUMIFS('Source 2025'!$T:$T,'Source 2025'!$B:$B,$A12,'Source 2025'!$A:$A,"Amount (NIS)")</f>
        <v>0</v>
      </c>
      <c r="I12" s="11" t="n">
        <f aca="false">SUMIFS('Source 2026'!$T:$T,'Source 2026'!$B:$B,$A12,'Source 2026'!$A:$A,"Amount (NIS)")</f>
        <v>10884.8</v>
      </c>
      <c r="J12" s="11" t="n">
        <f aca="false">I12*$J$5</f>
        <v>13749.2210526316</v>
      </c>
      <c r="K12" s="11" t="n">
        <f aca="false">J12-H12</f>
        <v>13749.2210526316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80</v>
      </c>
      <c r="B13" s="8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2" t="n">
        <f aca="false">D13*$J$5</f>
        <v>408</v>
      </c>
      <c r="F13" s="22" t="n">
        <f aca="false">E13-C13</f>
        <v>408</v>
      </c>
      <c r="G13" s="10" t="str">
        <f aca="false">IF(AND(C13=0,E13=0),0,IF(C13=0,"New",(E13-C13)/C13))</f>
        <v>New</v>
      </c>
      <c r="H13" s="11" t="n">
        <f aca="false">SUMIFS('Source 2025'!$T:$T,'Source 2025'!$B:$B,$A13,'Source 2025'!$A:$A,"Amount (NIS)")</f>
        <v>0</v>
      </c>
      <c r="I13" s="11" t="n">
        <f aca="false">SUMIFS('Source 2026'!$T:$T,'Source 2026'!$B:$B,$A13,'Source 2026'!$A:$A,"Amount (NIS)")</f>
        <v>10806.4</v>
      </c>
      <c r="J13" s="11" t="n">
        <f aca="false">I13*$J$5</f>
        <v>13650.1894736842</v>
      </c>
      <c r="K13" s="11" t="n">
        <f aca="false">J13-H13</f>
        <v>13650.1894736842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89</v>
      </c>
      <c r="B14" s="8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2" t="n">
        <f aca="false">D14*$J$5</f>
        <v>779.368421052632</v>
      </c>
      <c r="F14" s="22" t="n">
        <f aca="false">E14-C14</f>
        <v>779.368421052632</v>
      </c>
      <c r="G14" s="10" t="str">
        <f aca="false">IF(AND(C14=0,E14=0),0,IF(C14=0,"New",(E14-C14)/C14))</f>
        <v>New</v>
      </c>
      <c r="H14" s="11" t="n">
        <f aca="false">SUMIFS('Source 2025'!$T:$T,'Source 2025'!$B:$B,$A14,'Source 2025'!$A:$A,"Amount (NIS)")</f>
        <v>0</v>
      </c>
      <c r="I14" s="11" t="n">
        <f aca="false">SUMIFS('Source 2026'!$T:$T,'Source 2026'!$B:$B,$A14,'Source 2026'!$A:$A,"Amount (NIS)")</f>
        <v>10007.2</v>
      </c>
      <c r="J14" s="11" t="n">
        <f aca="false">I14*$J$5</f>
        <v>12640.6736842105</v>
      </c>
      <c r="K14" s="11" t="n">
        <f aca="false">J14-H14</f>
        <v>12640.6736842105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67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2" t="n">
        <f aca="false">D15*$J$5</f>
        <v>482.526315789474</v>
      </c>
      <c r="F15" s="22" t="n">
        <f aca="false">E15-C15</f>
        <v>482.526315789474</v>
      </c>
      <c r="G15" s="10" t="str">
        <f aca="false">IF(AND(C15=0,E15=0),0,IF(C15=0,"New",(E15-C15)/C15))</f>
        <v>New</v>
      </c>
      <c r="H15" s="11" t="n">
        <f aca="false">SUMIFS('Source 2025'!$T:$T,'Source 2025'!$B:$B,$A15,'Source 2025'!$A:$A,"Amount (NIS)")</f>
        <v>0</v>
      </c>
      <c r="I15" s="11" t="n">
        <f aca="false">SUMIFS('Source 2026'!$T:$T,'Source 2026'!$B:$B,$A15,'Source 2026'!$A:$A,"Amount (NIS)")</f>
        <v>8812.9</v>
      </c>
      <c r="J15" s="11" t="n">
        <f aca="false">I15*$J$5</f>
        <v>11132.0842105263</v>
      </c>
      <c r="K15" s="11" t="n">
        <f aca="false">J15-H15</f>
        <v>11132.0842105263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103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2" t="n">
        <f aca="false">D16*$J$5</f>
        <v>558.315789473684</v>
      </c>
      <c r="F16" s="22" t="n">
        <f aca="false">E16-C16</f>
        <v>558.315789473684</v>
      </c>
      <c r="G16" s="10" t="str">
        <f aca="false">IF(AND(C16=0,E16=0),0,IF(C16=0,"New",(E16-C16)/C16))</f>
        <v>New</v>
      </c>
      <c r="H16" s="11" t="n">
        <f aca="false">SUMIFS('Source 2025'!$T:$T,'Source 2025'!$B:$B,$A16,'Source 2025'!$A:$A,"Amount (NIS)")</f>
        <v>0</v>
      </c>
      <c r="I16" s="11" t="n">
        <f aca="false">SUMIFS('Source 2026'!$T:$T,'Source 2026'!$B:$B,$A16,'Source 2026'!$A:$A,"Amount (NIS)")</f>
        <v>8727.8</v>
      </c>
      <c r="J16" s="11" t="n">
        <f aca="false">I16*$J$5</f>
        <v>11024.5894736842</v>
      </c>
      <c r="K16" s="11" t="n">
        <f aca="false">J16-H16</f>
        <v>11024.5894736842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259</v>
      </c>
      <c r="B17" s="8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2" t="n">
        <f aca="false">D17*$J$5</f>
        <v>82.1052631578947</v>
      </c>
      <c r="F17" s="22" t="n">
        <f aca="false">E17-C17</f>
        <v>82.1052631578947</v>
      </c>
      <c r="G17" s="10" t="str">
        <f aca="false">IF(AND(C17=0,E17=0),0,IF(C17=0,"New",(E17-C17)/C17))</f>
        <v>New</v>
      </c>
      <c r="H17" s="11" t="n">
        <f aca="false">SUMIFS('Source 2025'!$T:$T,'Source 2025'!$B:$B,$A17,'Source 2025'!$A:$A,"Amount (NIS)")</f>
        <v>0</v>
      </c>
      <c r="I17" s="11" t="n">
        <f aca="false">SUMIFS('Source 2026'!$T:$T,'Source 2026'!$B:$B,$A17,'Source 2026'!$A:$A,"Amount (NIS)")</f>
        <v>8001.2</v>
      </c>
      <c r="J17" s="11" t="n">
        <f aca="false">I17*$J$5</f>
        <v>10106.7789473684</v>
      </c>
      <c r="K17" s="11" t="n">
        <f aca="false">J17-H17</f>
        <v>10106.7789473684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2" t="n">
        <f aca="false">D18*$J$5</f>
        <v>135.157894736842</v>
      </c>
      <c r="F18" s="22" t="n">
        <f aca="false">E18-C18</f>
        <v>135.157894736842</v>
      </c>
      <c r="G18" s="10" t="str">
        <f aca="false">IF(AND(C18=0,E18=0),0,IF(C18=0,"New",(E18-C18)/C18))</f>
        <v>New</v>
      </c>
      <c r="H18" s="11" t="n">
        <f aca="false">SUMIFS('Source 2025'!$T:$T,'Source 2025'!$B:$B,$A18,'Source 2025'!$A:$A,"Amount (NIS)")</f>
        <v>0</v>
      </c>
      <c r="I18" s="11" t="n">
        <f aca="false">SUMIFS('Source 2026'!$T:$T,'Source 2026'!$B:$B,$A18,'Source 2026'!$A:$A,"Amount (NIS)")</f>
        <v>7577.6</v>
      </c>
      <c r="J18" s="11" t="n">
        <f aca="false">I18*$J$5</f>
        <v>9571.70526315789</v>
      </c>
      <c r="K18" s="11" t="n">
        <f aca="false">J18-H18</f>
        <v>9571.70526315789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70</v>
      </c>
      <c r="B19" s="8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2" t="n">
        <f aca="false">D19*$J$5</f>
        <v>179.368421052632</v>
      </c>
      <c r="F19" s="22" t="n">
        <f aca="false">E19-C19</f>
        <v>179.368421052632</v>
      </c>
      <c r="G19" s="10" t="str">
        <f aca="false">IF(AND(C19=0,E19=0),0,IF(C19=0,"New",(E19-C19)/C19))</f>
        <v>New</v>
      </c>
      <c r="H19" s="11" t="n">
        <f aca="false">SUMIFS('Source 2025'!$T:$T,'Source 2025'!$B:$B,$A19,'Source 2025'!$A:$A,"Amount (NIS)")</f>
        <v>0</v>
      </c>
      <c r="I19" s="11" t="n">
        <f aca="false">SUMIFS('Source 2026'!$T:$T,'Source 2026'!$B:$B,$A19,'Source 2026'!$A:$A,"Amount (NIS)")</f>
        <v>6706.7</v>
      </c>
      <c r="J19" s="11" t="n">
        <f aca="false">I19*$J$5</f>
        <v>8471.62105263158</v>
      </c>
      <c r="K19" s="11" t="n">
        <f aca="false">J19-H19</f>
        <v>8471.62105263158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220</v>
      </c>
      <c r="B20" s="8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2" t="n">
        <f aca="false">D20*$J$5</f>
        <v>128.842105263158</v>
      </c>
      <c r="F20" s="22" t="n">
        <f aca="false">E20-C20</f>
        <v>128.842105263158</v>
      </c>
      <c r="G20" s="10" t="str">
        <f aca="false">IF(AND(C20=0,E20=0),0,IF(C20=0,"New",(E20-C20)/C20))</f>
        <v>New</v>
      </c>
      <c r="H20" s="11" t="n">
        <f aca="false">SUMIFS('Source 2025'!$T:$T,'Source 2025'!$B:$B,$A20,'Source 2025'!$A:$A,"Amount (NIS)")</f>
        <v>0</v>
      </c>
      <c r="I20" s="11" t="n">
        <f aca="false">SUMIFS('Source 2026'!$T:$T,'Source 2026'!$B:$B,$A20,'Source 2026'!$A:$A,"Amount (NIS)")</f>
        <v>6630</v>
      </c>
      <c r="J20" s="11" t="n">
        <f aca="false">I20*$J$5</f>
        <v>8374.73684210526</v>
      </c>
      <c r="K20" s="11" t="n">
        <f aca="false">J20-H20</f>
        <v>8374.73684210526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383</v>
      </c>
      <c r="B21" s="8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2" t="n">
        <f aca="false">D21*$J$5</f>
        <v>413.052631578947</v>
      </c>
      <c r="F21" s="22" t="n">
        <f aca="false">E21-C21</f>
        <v>413.052631578947</v>
      </c>
      <c r="G21" s="10" t="str">
        <f aca="false">IF(AND(C21=0,E21=0),0,IF(C21=0,"New",(E21-C21)/C21))</f>
        <v>New</v>
      </c>
      <c r="H21" s="11" t="n">
        <f aca="false">SUMIFS('Source 2025'!$T:$T,'Source 2025'!$B:$B,$A21,'Source 2025'!$A:$A,"Amount (NIS)")</f>
        <v>0</v>
      </c>
      <c r="I21" s="11" t="n">
        <f aca="false">SUMIFS('Source 2026'!$T:$T,'Source 2026'!$B:$B,$A21,'Source 2026'!$A:$A,"Amount (NIS)")</f>
        <v>5739.6</v>
      </c>
      <c r="J21" s="11" t="n">
        <f aca="false">I21*$J$5</f>
        <v>7250.02105263158</v>
      </c>
      <c r="K21" s="11" t="n">
        <f aca="false">J21-H21</f>
        <v>7250.02105263158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88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2" t="n">
        <f aca="false">D22*$J$5</f>
        <v>405.473684210526</v>
      </c>
      <c r="F22" s="22" t="n">
        <f aca="false">E22-C22</f>
        <v>405.473684210526</v>
      </c>
      <c r="G22" s="10" t="str">
        <f aca="false">IF(AND(C22=0,E22=0),0,IF(C22=0,"New",(E22-C22)/C22))</f>
        <v>New</v>
      </c>
      <c r="H22" s="11" t="n">
        <f aca="false">SUMIFS('Source 2025'!$T:$T,'Source 2025'!$B:$B,$A22,'Source 2025'!$A:$A,"Amount (NIS)")</f>
        <v>0</v>
      </c>
      <c r="I22" s="11" t="n">
        <f aca="false">SUMIFS('Source 2026'!$T:$T,'Source 2026'!$B:$B,$A22,'Source 2026'!$A:$A,"Amount (NIS)")</f>
        <v>5202.1</v>
      </c>
      <c r="J22" s="11" t="n">
        <f aca="false">I22*$J$5</f>
        <v>6571.07368421053</v>
      </c>
      <c r="K22" s="11" t="n">
        <f aca="false">J22-H22</f>
        <v>6571.07368421053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128</v>
      </c>
      <c r="B23" s="8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2" t="n">
        <f aca="false">D23*$J$5</f>
        <v>150.315789473684</v>
      </c>
      <c r="F23" s="22" t="n">
        <f aca="false">E23-C23</f>
        <v>150.315789473684</v>
      </c>
      <c r="G23" s="10" t="str">
        <f aca="false">IF(AND(C23=0,E23=0),0,IF(C23=0,"New",(E23-C23)/C23))</f>
        <v>New</v>
      </c>
      <c r="H23" s="11" t="n">
        <f aca="false">SUMIFS('Source 2025'!$T:$T,'Source 2025'!$B:$B,$A23,'Source 2025'!$A:$A,"Amount (NIS)")</f>
        <v>0</v>
      </c>
      <c r="I23" s="11" t="n">
        <f aca="false">SUMIFS('Source 2026'!$T:$T,'Source 2026'!$B:$B,$A23,'Source 2026'!$A:$A,"Amount (NIS)")</f>
        <v>4723</v>
      </c>
      <c r="J23" s="11" t="n">
        <f aca="false">I23*$J$5</f>
        <v>5965.89473684211</v>
      </c>
      <c r="K23" s="11" t="n">
        <f aca="false">J23-H23</f>
        <v>5965.89473684211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125</v>
      </c>
      <c r="B24" s="8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2" t="n">
        <f aca="false">D24*$J$5</f>
        <v>344.842105263158</v>
      </c>
      <c r="F24" s="22" t="n">
        <f aca="false">E24-C24</f>
        <v>344.842105263158</v>
      </c>
      <c r="G24" s="10" t="str">
        <f aca="false">IF(AND(C24=0,E24=0),0,IF(C24=0,"New",(E24-C24)/C24))</f>
        <v>New</v>
      </c>
      <c r="H24" s="11" t="n">
        <f aca="false">SUMIFS('Source 2025'!$T:$T,'Source 2025'!$B:$B,$A24,'Source 2025'!$A:$A,"Amount (NIS)")</f>
        <v>0</v>
      </c>
      <c r="I24" s="11" t="n">
        <f aca="false">SUMIFS('Source 2026'!$T:$T,'Source 2026'!$B:$B,$A24,'Source 2026'!$A:$A,"Amount (NIS)")</f>
        <v>4462.7</v>
      </c>
      <c r="J24" s="11" t="n">
        <f aca="false">I24*$J$5</f>
        <v>5637.09473684211</v>
      </c>
      <c r="K24" s="11" t="n">
        <f aca="false">J24-H24</f>
        <v>5637.09473684211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94</v>
      </c>
      <c r="B25" s="8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2" t="n">
        <f aca="false">D25*$J$5</f>
        <v>87.1578947368421</v>
      </c>
      <c r="F25" s="22" t="n">
        <f aca="false">E25-C25</f>
        <v>87.1578947368421</v>
      </c>
      <c r="G25" s="10" t="str">
        <f aca="false">IF(AND(C25=0,E25=0),0,IF(C25=0,"New",(E25-C25)/C25))</f>
        <v>New</v>
      </c>
      <c r="H25" s="11" t="n">
        <f aca="false">SUMIFS('Source 2025'!$T:$T,'Source 2025'!$B:$B,$A25,'Source 2025'!$A:$A,"Amount (NIS)")</f>
        <v>0</v>
      </c>
      <c r="I25" s="11" t="n">
        <f aca="false">SUMIFS('Source 2026'!$T:$T,'Source 2026'!$B:$B,$A25,'Source 2026'!$A:$A,"Amount (NIS)")</f>
        <v>4241.3</v>
      </c>
      <c r="J25" s="11" t="n">
        <f aca="false">I25*$J$5</f>
        <v>5357.43157894737</v>
      </c>
      <c r="K25" s="11" t="n">
        <f aca="false">J25-H25</f>
        <v>5357.43157894737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165</v>
      </c>
      <c r="B26" s="8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2" t="n">
        <f aca="false">D26*$J$5</f>
        <v>63.1578947368421</v>
      </c>
      <c r="F26" s="22" t="n">
        <f aca="false">E26-C26</f>
        <v>63.1578947368421</v>
      </c>
      <c r="G26" s="10" t="str">
        <f aca="false">IF(AND(C26=0,E26=0),0,IF(C26=0,"New",(E26-C26)/C26))</f>
        <v>New</v>
      </c>
      <c r="H26" s="11" t="n">
        <f aca="false">SUMIFS('Source 2025'!$T:$T,'Source 2025'!$B:$B,$A26,'Source 2025'!$A:$A,"Amount (NIS)")</f>
        <v>0</v>
      </c>
      <c r="I26" s="11" t="n">
        <f aca="false">SUMIFS('Source 2026'!$T:$T,'Source 2026'!$B:$B,$A26,'Source 2026'!$A:$A,"Amount (NIS)")</f>
        <v>3890</v>
      </c>
      <c r="J26" s="11" t="n">
        <f aca="false">I26*$J$5</f>
        <v>4913.68421052632</v>
      </c>
      <c r="K26" s="11" t="n">
        <f aca="false">J26-H26</f>
        <v>4913.68421052632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95</v>
      </c>
      <c r="B27" s="8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2" t="n">
        <f aca="false">D27*$J$5</f>
        <v>348.631578947368</v>
      </c>
      <c r="F27" s="22" t="n">
        <f aca="false">E27-C27</f>
        <v>348.631578947368</v>
      </c>
      <c r="G27" s="10" t="str">
        <f aca="false">IF(AND(C27=0,E27=0),0,IF(C27=0,"New",(E27-C27)/C27))</f>
        <v>New</v>
      </c>
      <c r="H27" s="11" t="n">
        <f aca="false">SUMIFS('Source 2025'!$T:$T,'Source 2025'!$B:$B,$A27,'Source 2025'!$A:$A,"Amount (NIS)")</f>
        <v>0</v>
      </c>
      <c r="I27" s="11" t="n">
        <f aca="false">SUMIFS('Source 2026'!$T:$T,'Source 2026'!$B:$B,$A27,'Source 2026'!$A:$A,"Amount (NIS)")</f>
        <v>3534.3</v>
      </c>
      <c r="J27" s="11" t="n">
        <f aca="false">I27*$J$5</f>
        <v>4464.37894736842</v>
      </c>
      <c r="K27" s="11" t="n">
        <f aca="false">J27-H27</f>
        <v>4464.37894736842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2" t="n">
        <f aca="false">D28*$J$5</f>
        <v>68.2105263157895</v>
      </c>
      <c r="F28" s="22" t="n">
        <f aca="false">E28-C28</f>
        <v>68.2105263157895</v>
      </c>
      <c r="G28" s="10" t="str">
        <f aca="false">IF(AND(C28=0,E28=0),0,IF(C28=0,"New",(E28-C28)/C28))</f>
        <v>New</v>
      </c>
      <c r="H28" s="11" t="n">
        <f aca="false">SUMIFS('Source 2025'!$T:$T,'Source 2025'!$B:$B,$A28,'Source 2025'!$A:$A,"Amount (NIS)")</f>
        <v>0</v>
      </c>
      <c r="I28" s="11" t="n">
        <f aca="false">SUMIFS('Source 2026'!$T:$T,'Source 2026'!$B:$B,$A28,'Source 2026'!$A:$A,"Amount (NIS)")</f>
        <v>3510</v>
      </c>
      <c r="J28" s="11" t="n">
        <f aca="false">I28*$J$5</f>
        <v>4433.68421052632</v>
      </c>
      <c r="K28" s="11" t="n">
        <f aca="false">J28-H28</f>
        <v>4433.68421052632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162</v>
      </c>
      <c r="B29" s="8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2" t="n">
        <f aca="false">D29*$J$5</f>
        <v>68.2105263157895</v>
      </c>
      <c r="F29" s="22" t="n">
        <f aca="false">E29-C29</f>
        <v>68.2105263157895</v>
      </c>
      <c r="G29" s="10" t="str">
        <f aca="false">IF(AND(C29=0,E29=0),0,IF(C29=0,"New",(E29-C29)/C29))</f>
        <v>New</v>
      </c>
      <c r="H29" s="11" t="n">
        <f aca="false">SUMIFS('Source 2025'!$T:$T,'Source 2025'!$B:$B,$A29,'Source 2025'!$A:$A,"Amount (NIS)")</f>
        <v>0</v>
      </c>
      <c r="I29" s="11" t="n">
        <f aca="false">SUMIFS('Source 2026'!$T:$T,'Source 2026'!$B:$B,$A29,'Source 2026'!$A:$A,"Amount (NIS)")</f>
        <v>3510</v>
      </c>
      <c r="J29" s="11" t="n">
        <f aca="false">I29*$J$5</f>
        <v>4433.68421052632</v>
      </c>
      <c r="K29" s="11" t="n">
        <f aca="false">J29-H29</f>
        <v>4433.68421052632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86</v>
      </c>
      <c r="B30" s="8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2" t="n">
        <f aca="false">D30*$J$5</f>
        <v>376.421052631579</v>
      </c>
      <c r="F30" s="22" t="n">
        <f aca="false">E30-C30</f>
        <v>376.421052631579</v>
      </c>
      <c r="G30" s="10" t="str">
        <f aca="false">IF(AND(C30=0,E30=0),0,IF(C30=0,"New",(E30-C30)/C30))</f>
        <v>New</v>
      </c>
      <c r="H30" s="11" t="n">
        <f aca="false">SUMIFS('Source 2025'!$T:$T,'Source 2025'!$B:$B,$A30,'Source 2025'!$A:$A,"Amount (NIS)")</f>
        <v>0</v>
      </c>
      <c r="I30" s="11" t="n">
        <f aca="false">SUMIFS('Source 2026'!$T:$T,'Source 2026'!$B:$B,$A30,'Source 2026'!$A:$A,"Amount (NIS)")</f>
        <v>3483.4</v>
      </c>
      <c r="J30" s="11" t="n">
        <f aca="false">I30*$J$5</f>
        <v>4400.08421052632</v>
      </c>
      <c r="K30" s="11" t="n">
        <f aca="false">J30-H30</f>
        <v>4400.08421052632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108</v>
      </c>
      <c r="B31" s="8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2" t="n">
        <f aca="false">D31*$J$5</f>
        <v>210.947368421053</v>
      </c>
      <c r="F31" s="22" t="n">
        <f aca="false">E31-C31</f>
        <v>210.947368421053</v>
      </c>
      <c r="G31" s="10" t="str">
        <f aca="false">IF(AND(C31=0,E31=0),0,IF(C31=0,"New",(E31-C31)/C31))</f>
        <v>New</v>
      </c>
      <c r="H31" s="11" t="n">
        <f aca="false">SUMIFS('Source 2025'!$T:$T,'Source 2025'!$B:$B,$A31,'Source 2025'!$A:$A,"Amount (NIS)")</f>
        <v>0</v>
      </c>
      <c r="I31" s="11" t="n">
        <f aca="false">SUMIFS('Source 2026'!$T:$T,'Source 2026'!$B:$B,$A31,'Source 2026'!$A:$A,"Amount (NIS)")</f>
        <v>3340</v>
      </c>
      <c r="J31" s="11" t="n">
        <f aca="false">I31*$J$5</f>
        <v>4218.94736842105</v>
      </c>
      <c r="K31" s="11" t="n">
        <f aca="false">J31-H31</f>
        <v>4218.94736842105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142</v>
      </c>
      <c r="B32" s="8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2" t="n">
        <f aca="false">D32*$J$5</f>
        <v>26.5263157894737</v>
      </c>
      <c r="F32" s="22" t="n">
        <f aca="false">E32-C32</f>
        <v>26.5263157894737</v>
      </c>
      <c r="G32" s="10" t="str">
        <f aca="false">IF(AND(C32=0,E32=0),0,IF(C32=0,"New",(E32-C32)/C32))</f>
        <v>New</v>
      </c>
      <c r="H32" s="11" t="n">
        <f aca="false">SUMIFS('Source 2025'!$T:$T,'Source 2025'!$B:$B,$A32,'Source 2025'!$A:$A,"Amount (NIS)")</f>
        <v>0</v>
      </c>
      <c r="I32" s="11" t="n">
        <f aca="false">SUMIFS('Source 2026'!$T:$T,'Source 2026'!$B:$B,$A32,'Source 2026'!$A:$A,"Amount (NIS)")</f>
        <v>3202.9</v>
      </c>
      <c r="J32" s="11" t="n">
        <f aca="false">I32*$J$5</f>
        <v>4045.76842105263</v>
      </c>
      <c r="K32" s="11" t="n">
        <f aca="false">J32-H32</f>
        <v>4045.76842105263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104</v>
      </c>
      <c r="B33" s="8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2" t="n">
        <f aca="false">D33*$J$5</f>
        <v>366.315789473684</v>
      </c>
      <c r="F33" s="22" t="n">
        <f aca="false">E33-C33</f>
        <v>366.315789473684</v>
      </c>
      <c r="G33" s="10" t="str">
        <f aca="false">IF(AND(C33=0,E33=0),0,IF(C33=0,"New",(E33-C33)/C33))</f>
        <v>New</v>
      </c>
      <c r="H33" s="11" t="n">
        <f aca="false">SUMIFS('Source 2025'!$T:$T,'Source 2025'!$B:$B,$A33,'Source 2025'!$A:$A,"Amount (NIS)")</f>
        <v>0</v>
      </c>
      <c r="I33" s="11" t="n">
        <f aca="false">SUMIFS('Source 2026'!$T:$T,'Source 2026'!$B:$B,$A33,'Source 2026'!$A:$A,"Amount (NIS)")</f>
        <v>2925</v>
      </c>
      <c r="J33" s="11" t="n">
        <f aca="false">I33*$J$5</f>
        <v>3694.73684210526</v>
      </c>
      <c r="K33" s="11" t="n">
        <f aca="false">J33-H33</f>
        <v>3694.73684210526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384</v>
      </c>
      <c r="B34" s="8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2" t="n">
        <f aca="false">D34*$J$5</f>
        <v>70.7368421052632</v>
      </c>
      <c r="F34" s="22" t="n">
        <f aca="false">E34-C34</f>
        <v>70.7368421052632</v>
      </c>
      <c r="G34" s="10" t="str">
        <f aca="false">IF(AND(C34=0,E34=0),0,IF(C34=0,"New",(E34-C34)/C34))</f>
        <v>New</v>
      </c>
      <c r="H34" s="11" t="n">
        <f aca="false">SUMIFS('Source 2025'!$T:$T,'Source 2025'!$B:$B,$A34,'Source 2025'!$A:$A,"Amount (NIS)")</f>
        <v>0</v>
      </c>
      <c r="I34" s="11" t="n">
        <f aca="false">SUMIFS('Source 2026'!$T:$T,'Source 2026'!$B:$B,$A34,'Source 2026'!$A:$A,"Amount (NIS)")</f>
        <v>2875.6</v>
      </c>
      <c r="J34" s="11" t="n">
        <f aca="false">I34*$J$5</f>
        <v>3632.33684210526</v>
      </c>
      <c r="K34" s="11" t="n">
        <f aca="false">J34-H34</f>
        <v>3632.33684210526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113</v>
      </c>
      <c r="B35" s="8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2" t="n">
        <f aca="false">D35*$J$5</f>
        <v>24</v>
      </c>
      <c r="F35" s="22" t="n">
        <f aca="false">E35-C35</f>
        <v>24</v>
      </c>
      <c r="G35" s="10" t="str">
        <f aca="false">IF(AND(C35=0,E35=0),0,IF(C35=0,"New",(E35-C35)/C35))</f>
        <v>New</v>
      </c>
      <c r="H35" s="11" t="n">
        <f aca="false">SUMIFS('Source 2025'!$T:$T,'Source 2025'!$B:$B,$A35,'Source 2025'!$A:$A,"Amount (NIS)")</f>
        <v>0</v>
      </c>
      <c r="I35" s="11" t="n">
        <f aca="false">SUMIFS('Source 2026'!$T:$T,'Source 2026'!$B:$B,$A35,'Source 2026'!$A:$A,"Amount (NIS)")</f>
        <v>2589.7</v>
      </c>
      <c r="J35" s="11" t="n">
        <f aca="false">I35*$J$5</f>
        <v>3271.2</v>
      </c>
      <c r="K35" s="11" t="n">
        <f aca="false">J35-H35</f>
        <v>3271.2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385</v>
      </c>
      <c r="B36" s="8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2" t="n">
        <f aca="false">D36*$J$5</f>
        <v>165.473684210526</v>
      </c>
      <c r="F36" s="22" t="n">
        <f aca="false">E36-C36</f>
        <v>165.473684210526</v>
      </c>
      <c r="G36" s="10" t="str">
        <f aca="false">IF(AND(C36=0,E36=0),0,IF(C36=0,"New",(E36-C36)/C36))</f>
        <v>New</v>
      </c>
      <c r="H36" s="11" t="n">
        <f aca="false">SUMIFS('Source 2025'!$T:$T,'Source 2025'!$B:$B,$A36,'Source 2025'!$A:$A,"Amount (NIS)")</f>
        <v>0</v>
      </c>
      <c r="I36" s="11" t="n">
        <f aca="false">SUMIFS('Source 2026'!$T:$T,'Source 2026'!$B:$B,$A36,'Source 2026'!$A:$A,"Amount (NIS)")</f>
        <v>2563.6</v>
      </c>
      <c r="J36" s="11" t="n">
        <f aca="false">I36*$J$5</f>
        <v>3238.23157894737</v>
      </c>
      <c r="K36" s="11" t="n">
        <f aca="false">J36-H36</f>
        <v>3238.23157894737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204</v>
      </c>
      <c r="B37" s="8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2" t="n">
        <f aca="false">D37*$J$5</f>
        <v>15.1578947368421</v>
      </c>
      <c r="F37" s="22" t="n">
        <f aca="false">E37-C37</f>
        <v>15.1578947368421</v>
      </c>
      <c r="G37" s="10" t="str">
        <f aca="false">IF(AND(C37=0,E37=0),0,IF(C37=0,"New",(E37-C37)/C37))</f>
        <v>New</v>
      </c>
      <c r="H37" s="11" t="n">
        <f aca="false">SUMIFS('Source 2025'!$T:$T,'Source 2025'!$B:$B,$A37,'Source 2025'!$A:$A,"Amount (NIS)")</f>
        <v>0</v>
      </c>
      <c r="I37" s="11" t="n">
        <f aca="false">SUMIFS('Source 2026'!$T:$T,'Source 2026'!$B:$B,$A37,'Source 2026'!$A:$A,"Amount (NIS)")</f>
        <v>2547</v>
      </c>
      <c r="J37" s="11" t="n">
        <f aca="false">I37*$J$5</f>
        <v>3217.26315789474</v>
      </c>
      <c r="K37" s="11" t="n">
        <f aca="false">J37-H37</f>
        <v>3217.26315789474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164</v>
      </c>
      <c r="B38" s="8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2" t="n">
        <f aca="false">D38*$J$5</f>
        <v>49.2631578947368</v>
      </c>
      <c r="F38" s="22" t="n">
        <f aca="false">E38-C38</f>
        <v>49.2631578947368</v>
      </c>
      <c r="G38" s="10" t="str">
        <f aca="false">IF(AND(C38=0,E38=0),0,IF(C38=0,"New",(E38-C38)/C38))</f>
        <v>New</v>
      </c>
      <c r="H38" s="11" t="n">
        <f aca="false">SUMIFS('Source 2025'!$T:$T,'Source 2025'!$B:$B,$A38,'Source 2025'!$A:$A,"Amount (NIS)")</f>
        <v>0</v>
      </c>
      <c r="I38" s="11" t="n">
        <f aca="false">SUMIFS('Source 2026'!$T:$T,'Source 2026'!$B:$B,$A38,'Source 2026'!$A:$A,"Amount (NIS)")</f>
        <v>2535</v>
      </c>
      <c r="J38" s="11" t="n">
        <f aca="false">I38*$J$5</f>
        <v>3202.10526315789</v>
      </c>
      <c r="K38" s="11" t="n">
        <f aca="false">J38-H38</f>
        <v>3202.10526315789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120</v>
      </c>
      <c r="B39" s="8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2" t="n">
        <f aca="false">D39*$J$5</f>
        <v>185.684210526316</v>
      </c>
      <c r="F39" s="22" t="n">
        <f aca="false">E39-C39</f>
        <v>185.684210526316</v>
      </c>
      <c r="G39" s="10" t="str">
        <f aca="false">IF(AND(C39=0,E39=0),0,IF(C39=0,"New",(E39-C39)/C39))</f>
        <v>New</v>
      </c>
      <c r="H39" s="11" t="n">
        <f aca="false">SUMIFS('Source 2025'!$T:$T,'Source 2025'!$B:$B,$A39,'Source 2025'!$A:$A,"Amount (NIS)")</f>
        <v>0</v>
      </c>
      <c r="I39" s="11" t="n">
        <f aca="false">SUMIFS('Source 2026'!$T:$T,'Source 2026'!$B:$B,$A39,'Source 2026'!$A:$A,"Amount (NIS)")</f>
        <v>2363.2</v>
      </c>
      <c r="J39" s="11" t="n">
        <f aca="false">I39*$J$5</f>
        <v>2985.09473684211</v>
      </c>
      <c r="K39" s="11" t="n">
        <f aca="false">J39-H39</f>
        <v>2985.09473684211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81</v>
      </c>
      <c r="B40" s="8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2" t="n">
        <f aca="false">D40*$J$5</f>
        <v>197.052631578947</v>
      </c>
      <c r="F40" s="22" t="n">
        <f aca="false">E40-C40</f>
        <v>197.052631578947</v>
      </c>
      <c r="G40" s="10" t="str">
        <f aca="false">IF(AND(C40=0,E40=0),0,IF(C40=0,"New",(E40-C40)/C40))</f>
        <v>New</v>
      </c>
      <c r="H40" s="11" t="n">
        <f aca="false">SUMIFS('Source 2025'!$T:$T,'Source 2025'!$B:$B,$A40,'Source 2025'!$A:$A,"Amount (NIS)")</f>
        <v>0</v>
      </c>
      <c r="I40" s="11" t="n">
        <f aca="false">SUMIFS('Source 2026'!$T:$T,'Source 2026'!$B:$B,$A40,'Source 2026'!$A:$A,"Amount (NIS)")</f>
        <v>2308.8</v>
      </c>
      <c r="J40" s="11" t="n">
        <f aca="false">I40*$J$5</f>
        <v>2916.37894736842</v>
      </c>
      <c r="K40" s="11" t="n">
        <f aca="false">J40-H40</f>
        <v>2916.37894736842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116</v>
      </c>
      <c r="B41" s="8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2" t="n">
        <f aca="false">D41*$J$5</f>
        <v>102.315789473684</v>
      </c>
      <c r="F41" s="22" t="n">
        <f aca="false">E41-C41</f>
        <v>102.315789473684</v>
      </c>
      <c r="G41" s="10" t="str">
        <f aca="false">IF(AND(C41=0,E41=0),0,IF(C41=0,"New",(E41-C41)/C41))</f>
        <v>New</v>
      </c>
      <c r="H41" s="11" t="n">
        <f aca="false">SUMIFS('Source 2025'!$T:$T,'Source 2025'!$B:$B,$A41,'Source 2025'!$A:$A,"Amount (NIS)")</f>
        <v>0</v>
      </c>
      <c r="I41" s="11" t="n">
        <f aca="false">SUMIFS('Source 2026'!$T:$T,'Source 2026'!$B:$B,$A41,'Source 2026'!$A:$A,"Amount (NIS)")</f>
        <v>2231.6</v>
      </c>
      <c r="J41" s="11" t="n">
        <f aca="false">I41*$J$5</f>
        <v>2818.86315789474</v>
      </c>
      <c r="K41" s="11" t="n">
        <f aca="false">J41-H41</f>
        <v>2818.86315789474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110</v>
      </c>
      <c r="B42" s="8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2" t="n">
        <f aca="false">D42*$J$5</f>
        <v>44.2105263157895</v>
      </c>
      <c r="F42" s="22" t="n">
        <f aca="false">E42-C42</f>
        <v>44.2105263157895</v>
      </c>
      <c r="G42" s="10" t="str">
        <f aca="false">IF(AND(C42=0,E42=0),0,IF(C42=0,"New",(E42-C42)/C42))</f>
        <v>New</v>
      </c>
      <c r="H42" s="11" t="n">
        <f aca="false">SUMIFS('Source 2025'!$T:$T,'Source 2025'!$B:$B,$A42,'Source 2025'!$A:$A,"Amount (NIS)")</f>
        <v>0</v>
      </c>
      <c r="I42" s="11" t="n">
        <f aca="false">SUMIFS('Source 2026'!$T:$T,'Source 2026'!$B:$B,$A42,'Source 2026'!$A:$A,"Amount (NIS)")</f>
        <v>2193.8</v>
      </c>
      <c r="J42" s="11" t="n">
        <f aca="false">I42*$J$5</f>
        <v>2771.11578947368</v>
      </c>
      <c r="K42" s="11" t="n">
        <f aca="false">J42-H42</f>
        <v>2771.11578947368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215</v>
      </c>
      <c r="B43" s="8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2" t="n">
        <f aca="false">D43*$J$5</f>
        <v>27.7894736842105</v>
      </c>
      <c r="F43" s="22" t="n">
        <f aca="false">E43-C43</f>
        <v>27.7894736842105</v>
      </c>
      <c r="G43" s="10" t="str">
        <f aca="false">IF(AND(C43=0,E43=0),0,IF(C43=0,"New",(E43-C43)/C43))</f>
        <v>New</v>
      </c>
      <c r="H43" s="11" t="n">
        <f aca="false">SUMIFS('Source 2025'!$T:$T,'Source 2025'!$B:$B,$A43,'Source 2025'!$A:$A,"Amount (NIS)")</f>
        <v>0</v>
      </c>
      <c r="I43" s="11" t="n">
        <f aca="false">SUMIFS('Source 2026'!$T:$T,'Source 2026'!$B:$B,$A43,'Source 2026'!$A:$A,"Amount (NIS)")</f>
        <v>2168.5</v>
      </c>
      <c r="J43" s="11" t="n">
        <f aca="false">I43*$J$5</f>
        <v>2739.15789473684</v>
      </c>
      <c r="K43" s="11" t="n">
        <f aca="false">J43-H43</f>
        <v>2739.15789473684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109</v>
      </c>
      <c r="B44" s="8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2" t="n">
        <f aca="false">D44*$J$5</f>
        <v>20.2105263157895</v>
      </c>
      <c r="F44" s="22" t="n">
        <f aca="false">E44-C44</f>
        <v>20.2105263157895</v>
      </c>
      <c r="G44" s="10" t="str">
        <f aca="false">IF(AND(C44=0,E44=0),0,IF(C44=0,"New",(E44-C44)/C44))</f>
        <v>New</v>
      </c>
      <c r="H44" s="11" t="n">
        <f aca="false">SUMIFS('Source 2025'!$T:$T,'Source 2025'!$B:$B,$A44,'Source 2025'!$A:$A,"Amount (NIS)")</f>
        <v>0</v>
      </c>
      <c r="I44" s="11" t="n">
        <f aca="false">SUMIFS('Source 2026'!$T:$T,'Source 2026'!$B:$B,$A44,'Source 2026'!$A:$A,"Amount (NIS)")</f>
        <v>2027.2</v>
      </c>
      <c r="J44" s="11" t="n">
        <f aca="false">I44*$J$5</f>
        <v>2560.67368421053</v>
      </c>
      <c r="K44" s="11" t="n">
        <f aca="false">J44-H44</f>
        <v>2560.67368421053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386</v>
      </c>
      <c r="B45" s="8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2" t="n">
        <f aca="false">D45*$J$5</f>
        <v>122.526315789474</v>
      </c>
      <c r="F45" s="22" t="n">
        <f aca="false">E45-C45</f>
        <v>122.526315789474</v>
      </c>
      <c r="G45" s="10" t="str">
        <f aca="false">IF(AND(C45=0,E45=0),0,IF(C45=0,"New",(E45-C45)/C45))</f>
        <v>New</v>
      </c>
      <c r="H45" s="11" t="n">
        <f aca="false">SUMIFS('Source 2025'!$T:$T,'Source 2025'!$B:$B,$A45,'Source 2025'!$A:$A,"Amount (NIS)")</f>
        <v>0</v>
      </c>
      <c r="I45" s="11" t="n">
        <f aca="false">SUMIFS('Source 2026'!$T:$T,'Source 2026'!$B:$B,$A45,'Source 2026'!$A:$A,"Amount (NIS)")</f>
        <v>1989.8</v>
      </c>
      <c r="J45" s="11" t="n">
        <f aca="false">I45*$J$5</f>
        <v>2513.43157894737</v>
      </c>
      <c r="K45" s="11" t="n">
        <f aca="false">J45-H45</f>
        <v>2513.43157894737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338</v>
      </c>
      <c r="B46" s="8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2" t="n">
        <f aca="false">D46*$J$5</f>
        <v>37.8947368421053</v>
      </c>
      <c r="F46" s="22" t="n">
        <f aca="false">E46-C46</f>
        <v>37.8947368421053</v>
      </c>
      <c r="G46" s="10" t="str">
        <f aca="false">IF(AND(C46=0,E46=0),0,IF(C46=0,"New",(E46-C46)/C46))</f>
        <v>New</v>
      </c>
      <c r="H46" s="11" t="n">
        <f aca="false">SUMIFS('Source 2025'!$T:$T,'Source 2025'!$B:$B,$A46,'Source 2025'!$A:$A,"Amount (NIS)")</f>
        <v>0</v>
      </c>
      <c r="I46" s="11" t="n">
        <f aca="false">SUMIFS('Source 2026'!$T:$T,'Source 2026'!$B:$B,$A46,'Source 2026'!$A:$A,"Amount (NIS)")</f>
        <v>1950</v>
      </c>
      <c r="J46" s="11" t="n">
        <f aca="false">I46*$J$5</f>
        <v>2463.15789473684</v>
      </c>
      <c r="K46" s="11" t="n">
        <f aca="false">J46-H46</f>
        <v>2463.15789473684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185</v>
      </c>
      <c r="B47" s="8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2" t="n">
        <f aca="false">D47*$J$5</f>
        <v>26.5263157894737</v>
      </c>
      <c r="F47" s="22" t="n">
        <f aca="false">E47-C47</f>
        <v>26.5263157894737</v>
      </c>
      <c r="G47" s="10" t="str">
        <f aca="false">IF(AND(C47=0,E47=0),0,IF(C47=0,"New",(E47-C47)/C47))</f>
        <v>New</v>
      </c>
      <c r="H47" s="11" t="n">
        <f aca="false">SUMIFS('Source 2025'!$T:$T,'Source 2025'!$B:$B,$A47,'Source 2025'!$A:$A,"Amount (NIS)")</f>
        <v>0</v>
      </c>
      <c r="I47" s="11" t="n">
        <f aca="false">SUMIFS('Source 2026'!$T:$T,'Source 2026'!$B:$B,$A47,'Source 2026'!$A:$A,"Amount (NIS)")</f>
        <v>1932</v>
      </c>
      <c r="J47" s="11" t="n">
        <f aca="false">I47*$J$5</f>
        <v>2440.42105263158</v>
      </c>
      <c r="K47" s="11" t="n">
        <f aca="false">J47-H47</f>
        <v>2440.42105263158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133</v>
      </c>
      <c r="B48" s="8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2" t="n">
        <f aca="false">D48*$J$5</f>
        <v>59.3684210526316</v>
      </c>
      <c r="F48" s="22" t="n">
        <f aca="false">E48-C48</f>
        <v>59.3684210526316</v>
      </c>
      <c r="G48" s="10" t="str">
        <f aca="false">IF(AND(C48=0,E48=0),0,IF(C48=0,"New",(E48-C48)/C48))</f>
        <v>New</v>
      </c>
      <c r="H48" s="11" t="n">
        <f aca="false">SUMIFS('Source 2025'!$T:$T,'Source 2025'!$B:$B,$A48,'Source 2025'!$A:$A,"Amount (NIS)")</f>
        <v>0</v>
      </c>
      <c r="I48" s="11" t="n">
        <f aca="false">SUMIFS('Source 2026'!$T:$T,'Source 2026'!$B:$B,$A48,'Source 2026'!$A:$A,"Amount (NIS)")</f>
        <v>1823.1</v>
      </c>
      <c r="J48" s="11" t="n">
        <f aca="false">I48*$J$5</f>
        <v>2302.86315789474</v>
      </c>
      <c r="K48" s="11" t="n">
        <f aca="false">J48-H48</f>
        <v>2302.86315789474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122</v>
      </c>
      <c r="B49" s="8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2" t="n">
        <f aca="false">D49*$J$5</f>
        <v>54.3157894736842</v>
      </c>
      <c r="F49" s="22" t="n">
        <f aca="false">E49-C49</f>
        <v>54.3157894736842</v>
      </c>
      <c r="G49" s="10" t="str">
        <f aca="false">IF(AND(C49=0,E49=0),0,IF(C49=0,"New",(E49-C49)/C49))</f>
        <v>New</v>
      </c>
      <c r="H49" s="11" t="n">
        <f aca="false">SUMIFS('Source 2025'!$T:$T,'Source 2025'!$B:$B,$A49,'Source 2025'!$A:$A,"Amount (NIS)")</f>
        <v>0</v>
      </c>
      <c r="I49" s="11" t="n">
        <f aca="false">SUMIFS('Source 2026'!$T:$T,'Source 2026'!$B:$B,$A49,'Source 2026'!$A:$A,"Amount (NIS)")</f>
        <v>1806</v>
      </c>
      <c r="J49" s="11" t="n">
        <f aca="false">I49*$J$5</f>
        <v>2281.26315789474</v>
      </c>
      <c r="K49" s="11" t="n">
        <f aca="false">J49-H49</f>
        <v>2281.26315789474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137</v>
      </c>
      <c r="B50" s="8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2" t="n">
        <f aca="false">D50*$J$5</f>
        <v>237.473684210526</v>
      </c>
      <c r="F50" s="22" t="n">
        <f aca="false">E50-C50</f>
        <v>237.473684210526</v>
      </c>
      <c r="G50" s="10" t="str">
        <f aca="false">IF(AND(C50=0,E50=0),0,IF(C50=0,"New",(E50-C50)/C50))</f>
        <v>New</v>
      </c>
      <c r="H50" s="11" t="n">
        <f aca="false">SUMIFS('Source 2025'!$T:$T,'Source 2025'!$B:$B,$A50,'Source 2025'!$A:$A,"Amount (NIS)")</f>
        <v>0</v>
      </c>
      <c r="I50" s="11" t="n">
        <f aca="false">SUMIFS('Source 2026'!$T:$T,'Source 2026'!$B:$B,$A50,'Source 2026'!$A:$A,"Amount (NIS)")</f>
        <v>1755.3</v>
      </c>
      <c r="J50" s="11" t="n">
        <f aca="false">I50*$J$5</f>
        <v>2217.22105263158</v>
      </c>
      <c r="K50" s="11" t="n">
        <f aca="false">J50-H50</f>
        <v>2217.22105263158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275</v>
      </c>
      <c r="B51" s="8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2" t="n">
        <f aca="false">D51*$J$5</f>
        <v>29.0526315789474</v>
      </c>
      <c r="F51" s="22" t="n">
        <f aca="false">E51-C51</f>
        <v>29.0526315789474</v>
      </c>
      <c r="G51" s="10" t="str">
        <f aca="false">IF(AND(C51=0,E51=0),0,IF(C51=0,"New",(E51-C51)/C51))</f>
        <v>New</v>
      </c>
      <c r="H51" s="11" t="n">
        <f aca="false">SUMIFS('Source 2025'!$T:$T,'Source 2025'!$B:$B,$A51,'Source 2025'!$A:$A,"Amount (NIS)")</f>
        <v>0</v>
      </c>
      <c r="I51" s="11" t="n">
        <f aca="false">SUMIFS('Source 2026'!$T:$T,'Source 2026'!$B:$B,$A51,'Source 2026'!$A:$A,"Amount (NIS)")</f>
        <v>1633</v>
      </c>
      <c r="J51" s="11" t="n">
        <f aca="false">I51*$J$5</f>
        <v>2062.73684210526</v>
      </c>
      <c r="K51" s="11" t="n">
        <f aca="false">J51-H51</f>
        <v>2062.73684210526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119</v>
      </c>
      <c r="B52" s="8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2" t="n">
        <f aca="false">D52*$J$5</f>
        <v>231.157894736842</v>
      </c>
      <c r="F52" s="22" t="n">
        <f aca="false">E52-C52</f>
        <v>231.157894736842</v>
      </c>
      <c r="G52" s="10" t="str">
        <f aca="false">IF(AND(C52=0,E52=0),0,IF(C52=0,"New",(E52-C52)/C52))</f>
        <v>New</v>
      </c>
      <c r="H52" s="11" t="n">
        <f aca="false">SUMIFS('Source 2025'!$T:$T,'Source 2025'!$B:$B,$A52,'Source 2025'!$A:$A,"Amount (NIS)")</f>
        <v>0</v>
      </c>
      <c r="I52" s="11" t="n">
        <f aca="false">SUMIFS('Source 2026'!$T:$T,'Source 2026'!$B:$B,$A52,'Source 2026'!$A:$A,"Amount (NIS)")</f>
        <v>1582.1</v>
      </c>
      <c r="J52" s="11" t="n">
        <f aca="false">I52*$J$5</f>
        <v>1998.44210526316</v>
      </c>
      <c r="K52" s="11" t="n">
        <f aca="false">J52-H52</f>
        <v>1998.44210526316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246</v>
      </c>
      <c r="B53" s="8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2" t="n">
        <f aca="false">D53*$J$5</f>
        <v>27.7894736842105</v>
      </c>
      <c r="F53" s="22" t="n">
        <f aca="false">E53-C53</f>
        <v>27.7894736842105</v>
      </c>
      <c r="G53" s="10" t="str">
        <f aca="false">IF(AND(C53=0,E53=0),0,IF(C53=0,"New",(E53-C53)/C53))</f>
        <v>New</v>
      </c>
      <c r="H53" s="11" t="n">
        <f aca="false">SUMIFS('Source 2025'!$T:$T,'Source 2025'!$B:$B,$A53,'Source 2025'!$A:$A,"Amount (NIS)")</f>
        <v>0</v>
      </c>
      <c r="I53" s="11" t="n">
        <f aca="false">SUMIFS('Source 2026'!$T:$T,'Source 2026'!$B:$B,$A53,'Source 2026'!$A:$A,"Amount (NIS)")</f>
        <v>1562</v>
      </c>
      <c r="J53" s="11" t="n">
        <f aca="false">I53*$J$5</f>
        <v>1973.05263157895</v>
      </c>
      <c r="K53" s="11" t="n">
        <f aca="false">J53-H53</f>
        <v>1973.05263157895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115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2" t="n">
        <f aca="false">D54*$J$5</f>
        <v>75.7894736842105</v>
      </c>
      <c r="F54" s="22" t="n">
        <f aca="false">E54-C54</f>
        <v>75.7894736842105</v>
      </c>
      <c r="G54" s="10" t="str">
        <f aca="false">IF(AND(C54=0,E54=0),0,IF(C54=0,"New",(E54-C54)/C54))</f>
        <v>New</v>
      </c>
      <c r="H54" s="11" t="n">
        <f aca="false">SUMIFS('Source 2025'!$T:$T,'Source 2025'!$B:$B,$A54,'Source 2025'!$A:$A,"Amount (NIS)")</f>
        <v>0</v>
      </c>
      <c r="I54" s="11" t="n">
        <f aca="false">SUMIFS('Source 2026'!$T:$T,'Source 2026'!$B:$B,$A54,'Source 2026'!$A:$A,"Amount (NIS)")</f>
        <v>1500</v>
      </c>
      <c r="J54" s="11" t="n">
        <f aca="false">I54*$J$5</f>
        <v>1894.73684210526</v>
      </c>
      <c r="K54" s="11" t="n">
        <f aca="false">J54-H54</f>
        <v>1894.73684210526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387</v>
      </c>
      <c r="B55" s="8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2" t="n">
        <f aca="false">D55*$J$5</f>
        <v>20.2105263157895</v>
      </c>
      <c r="F55" s="22" t="n">
        <f aca="false">E55-C55</f>
        <v>20.2105263157895</v>
      </c>
      <c r="G55" s="10" t="str">
        <f aca="false">IF(AND(C55=0,E55=0),0,IF(C55=0,"New",(E55-C55)/C55))</f>
        <v>New</v>
      </c>
      <c r="H55" s="11" t="n">
        <f aca="false">SUMIFS('Source 2025'!$T:$T,'Source 2025'!$B:$B,$A55,'Source 2025'!$A:$A,"Amount (NIS)")</f>
        <v>0</v>
      </c>
      <c r="I55" s="11" t="n">
        <f aca="false">SUMIFS('Source 2026'!$T:$T,'Source 2026'!$B:$B,$A55,'Source 2026'!$A:$A,"Amount (NIS)")</f>
        <v>1496</v>
      </c>
      <c r="J55" s="11" t="n">
        <f aca="false">I55*$J$5</f>
        <v>1889.68421052632</v>
      </c>
      <c r="K55" s="11" t="n">
        <f aca="false">J55-H55</f>
        <v>1889.68421052632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181</v>
      </c>
      <c r="B56" s="8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2" t="n">
        <f aca="false">D56*$J$5</f>
        <v>16.4210526315789</v>
      </c>
      <c r="F56" s="22" t="n">
        <f aca="false">E56-C56</f>
        <v>16.4210526315789</v>
      </c>
      <c r="G56" s="10" t="str">
        <f aca="false">IF(AND(C56=0,E56=0),0,IF(C56=0,"New",(E56-C56)/C56))</f>
        <v>New</v>
      </c>
      <c r="H56" s="11" t="n">
        <f aca="false">SUMIFS('Source 2025'!$T:$T,'Source 2025'!$B:$B,$A56,'Source 2025'!$A:$A,"Amount (NIS)")</f>
        <v>0</v>
      </c>
      <c r="I56" s="11" t="n">
        <f aca="false">SUMIFS('Source 2026'!$T:$T,'Source 2026'!$B:$B,$A56,'Source 2026'!$A:$A,"Amount (NIS)")</f>
        <v>1487.2</v>
      </c>
      <c r="J56" s="11" t="n">
        <f aca="false">I56*$J$5</f>
        <v>1878.56842105263</v>
      </c>
      <c r="K56" s="11" t="n">
        <f aca="false">J56-H56</f>
        <v>1878.56842105263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148</v>
      </c>
      <c r="B57" s="8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2" t="n">
        <f aca="false">D57*$J$5</f>
        <v>207.157894736842</v>
      </c>
      <c r="F57" s="22" t="n">
        <f aca="false">E57-C57</f>
        <v>207.157894736842</v>
      </c>
      <c r="G57" s="10" t="str">
        <f aca="false">IF(AND(C57=0,E57=0),0,IF(C57=0,"New",(E57-C57)/C57))</f>
        <v>New</v>
      </c>
      <c r="H57" s="11" t="n">
        <f aca="false">SUMIFS('Source 2025'!$T:$T,'Source 2025'!$B:$B,$A57,'Source 2025'!$A:$A,"Amount (NIS)")</f>
        <v>0</v>
      </c>
      <c r="I57" s="11" t="n">
        <f aca="false">SUMIFS('Source 2026'!$T:$T,'Source 2026'!$B:$B,$A57,'Source 2026'!$A:$A,"Amount (NIS)")</f>
        <v>1450.1</v>
      </c>
      <c r="J57" s="11" t="n">
        <f aca="false">I57*$J$5</f>
        <v>1831.70526315789</v>
      </c>
      <c r="K57" s="11" t="n">
        <f aca="false">J57-H57</f>
        <v>1831.70526315789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107</v>
      </c>
      <c r="B58" s="8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2" t="n">
        <f aca="false">D58*$J$5</f>
        <v>72</v>
      </c>
      <c r="F58" s="22" t="n">
        <f aca="false">E58-C58</f>
        <v>72</v>
      </c>
      <c r="G58" s="10" t="str">
        <f aca="false">IF(AND(C58=0,E58=0),0,IF(C58=0,"New",(E58-C58)/C58))</f>
        <v>New</v>
      </c>
      <c r="H58" s="11" t="n">
        <f aca="false">SUMIFS('Source 2025'!$T:$T,'Source 2025'!$B:$B,$A58,'Source 2025'!$A:$A,"Amount (NIS)")</f>
        <v>0</v>
      </c>
      <c r="I58" s="11" t="n">
        <f aca="false">SUMIFS('Source 2026'!$T:$T,'Source 2026'!$B:$B,$A58,'Source 2026'!$A:$A,"Amount (NIS)")</f>
        <v>1425</v>
      </c>
      <c r="J58" s="11" t="n">
        <f aca="false">I58*$J$5</f>
        <v>1800</v>
      </c>
      <c r="K58" s="11" t="n">
        <f aca="false">J58-H58</f>
        <v>1800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130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2" t="n">
        <f aca="false">D59*$J$5</f>
        <v>96</v>
      </c>
      <c r="F59" s="22" t="n">
        <f aca="false">E59-C59</f>
        <v>96</v>
      </c>
      <c r="G59" s="10" t="str">
        <f aca="false">IF(AND(C59=0,E59=0),0,IF(C59=0,"New",(E59-C59)/C59))</f>
        <v>New</v>
      </c>
      <c r="H59" s="11" t="n">
        <f aca="false">SUMIFS('Source 2025'!$T:$T,'Source 2025'!$B:$B,$A59,'Source 2025'!$A:$A,"Amount (NIS)")</f>
        <v>0</v>
      </c>
      <c r="I59" s="11" t="n">
        <f aca="false">SUMIFS('Source 2026'!$T:$T,'Source 2026'!$B:$B,$A59,'Source 2026'!$A:$A,"Amount (NIS)")</f>
        <v>1300.7</v>
      </c>
      <c r="J59" s="11" t="n">
        <f aca="false">I59*$J$5</f>
        <v>1642.98947368421</v>
      </c>
      <c r="K59" s="11" t="n">
        <f aca="false">J59-H59</f>
        <v>1642.98947368421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253</v>
      </c>
      <c r="B60" s="8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2" t="n">
        <f aca="false">D60*$J$5</f>
        <v>8.84210526315789</v>
      </c>
      <c r="F60" s="22" t="n">
        <f aca="false">E60-C60</f>
        <v>8.84210526315789</v>
      </c>
      <c r="G60" s="10" t="str">
        <f aca="false">IF(AND(C60=0,E60=0),0,IF(C60=0,"New",(E60-C60)/C60))</f>
        <v>New</v>
      </c>
      <c r="H60" s="11" t="n">
        <f aca="false">SUMIFS('Source 2025'!$T:$T,'Source 2025'!$B:$B,$A60,'Source 2025'!$A:$A,"Amount (NIS)")</f>
        <v>0</v>
      </c>
      <c r="I60" s="11" t="n">
        <f aca="false">SUMIFS('Source 2026'!$T:$T,'Source 2026'!$B:$B,$A60,'Source 2026'!$A:$A,"Amount (NIS)")</f>
        <v>1272.2</v>
      </c>
      <c r="J60" s="11" t="n">
        <f aca="false">I60*$J$5</f>
        <v>1606.98947368421</v>
      </c>
      <c r="K60" s="11" t="n">
        <f aca="false">J60-H60</f>
        <v>1606.98947368421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171</v>
      </c>
      <c r="B61" s="8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2" t="n">
        <f aca="false">D61*$J$5</f>
        <v>78.3157894736842</v>
      </c>
      <c r="F61" s="22" t="n">
        <f aca="false">E61-C61</f>
        <v>78.3157894736842</v>
      </c>
      <c r="G61" s="10" t="str">
        <f aca="false">IF(AND(C61=0,E61=0),0,IF(C61=0,"New",(E61-C61)/C61))</f>
        <v>New</v>
      </c>
      <c r="H61" s="11" t="n">
        <f aca="false">SUMIFS('Source 2025'!$T:$T,'Source 2025'!$B:$B,$A61,'Source 2025'!$A:$A,"Amount (NIS)")</f>
        <v>0</v>
      </c>
      <c r="I61" s="11" t="n">
        <f aca="false">SUMIFS('Source 2026'!$T:$T,'Source 2026'!$B:$B,$A61,'Source 2026'!$A:$A,"Amount (NIS)")</f>
        <v>1262</v>
      </c>
      <c r="J61" s="11" t="n">
        <f aca="false">I61*$J$5</f>
        <v>1594.10526315789</v>
      </c>
      <c r="K61" s="11" t="n">
        <f aca="false">J61-H61</f>
        <v>1594.10526315789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291</v>
      </c>
      <c r="B62" s="8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2" t="n">
        <f aca="false">D62*$J$5</f>
        <v>12.6315789473684</v>
      </c>
      <c r="F62" s="22" t="n">
        <f aca="false">E62-C62</f>
        <v>12.6315789473684</v>
      </c>
      <c r="G62" s="10" t="str">
        <f aca="false">IF(AND(C62=0,E62=0),0,IF(C62=0,"New",(E62-C62)/C62))</f>
        <v>New</v>
      </c>
      <c r="H62" s="11" t="n">
        <f aca="false">SUMIFS('Source 2025'!$T:$T,'Source 2025'!$B:$B,$A62,'Source 2025'!$A:$A,"Amount (NIS)")</f>
        <v>0</v>
      </c>
      <c r="I62" s="11" t="n">
        <f aca="false">SUMIFS('Source 2026'!$T:$T,'Source 2026'!$B:$B,$A62,'Source 2026'!$A:$A,"Amount (NIS)")</f>
        <v>1202.4</v>
      </c>
      <c r="J62" s="11" t="n">
        <f aca="false">I62*$J$5</f>
        <v>1518.82105263158</v>
      </c>
      <c r="K62" s="11" t="n">
        <f aca="false">J62-H62</f>
        <v>1518.82105263158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195</v>
      </c>
      <c r="B63" s="8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2" t="n">
        <f aca="false">D63*$J$5</f>
        <v>171.789473684211</v>
      </c>
      <c r="F63" s="22" t="n">
        <f aca="false">E63-C63</f>
        <v>171.789473684211</v>
      </c>
      <c r="G63" s="10" t="str">
        <f aca="false">IF(AND(C63=0,E63=0),0,IF(C63=0,"New",(E63-C63)/C63))</f>
        <v>New</v>
      </c>
      <c r="H63" s="11" t="n">
        <f aca="false">SUMIFS('Source 2025'!$T:$T,'Source 2025'!$B:$B,$A63,'Source 2025'!$A:$A,"Amount (NIS)")</f>
        <v>0</v>
      </c>
      <c r="I63" s="11" t="n">
        <f aca="false">SUMIFS('Source 2026'!$T:$T,'Source 2026'!$B:$B,$A63,'Source 2026'!$A:$A,"Amount (NIS)")</f>
        <v>1201.7</v>
      </c>
      <c r="J63" s="11" t="n">
        <f aca="false">I63*$J$5</f>
        <v>1517.93684210526</v>
      </c>
      <c r="K63" s="11" t="n">
        <f aca="false">J63-H63</f>
        <v>1517.93684210526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388</v>
      </c>
      <c r="B64" s="8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2" t="n">
        <f aca="false">D64*$J$5</f>
        <v>90.9473684210526</v>
      </c>
      <c r="F64" s="22" t="n">
        <f aca="false">E64-C64</f>
        <v>90.9473684210526</v>
      </c>
      <c r="G64" s="10" t="str">
        <f aca="false">IF(AND(C64=0,E64=0),0,IF(C64=0,"New",(E64-C64)/C64))</f>
        <v>New</v>
      </c>
      <c r="H64" s="11" t="n">
        <f aca="false">SUMIFS('Source 2025'!$T:$T,'Source 2025'!$B:$B,$A64,'Source 2025'!$A:$A,"Amount (NIS)")</f>
        <v>0</v>
      </c>
      <c r="I64" s="11" t="n">
        <f aca="false">SUMIFS('Source 2026'!$T:$T,'Source 2026'!$B:$B,$A64,'Source 2026'!$A:$A,"Amount (NIS)")</f>
        <v>1133</v>
      </c>
      <c r="J64" s="11" t="n">
        <f aca="false">I64*$J$5</f>
        <v>1431.15789473684</v>
      </c>
      <c r="K64" s="11" t="n">
        <f aca="false">J64-H64</f>
        <v>1431.15789473684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158</v>
      </c>
      <c r="B65" s="8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2" t="n">
        <f aca="false">D65*$J$5</f>
        <v>72</v>
      </c>
      <c r="F65" s="22" t="n">
        <f aca="false">E65-C65</f>
        <v>72</v>
      </c>
      <c r="G65" s="10" t="str">
        <f aca="false">IF(AND(C65=0,E65=0),0,IF(C65=0,"New",(E65-C65)/C65))</f>
        <v>New</v>
      </c>
      <c r="H65" s="11" t="n">
        <f aca="false">SUMIFS('Source 2025'!$T:$T,'Source 2025'!$B:$B,$A65,'Source 2025'!$A:$A,"Amount (NIS)")</f>
        <v>0</v>
      </c>
      <c r="I65" s="11" t="n">
        <f aca="false">SUMIFS('Source 2026'!$T:$T,'Source 2026'!$B:$B,$A65,'Source 2026'!$A:$A,"Amount (NIS)")</f>
        <v>1095.6</v>
      </c>
      <c r="J65" s="11" t="n">
        <f aca="false">I65*$J$5</f>
        <v>1383.91578947368</v>
      </c>
      <c r="K65" s="11" t="n">
        <f aca="false">J65-H65</f>
        <v>1383.91578947368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256</v>
      </c>
      <c r="B66" s="8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2" t="n">
        <f aca="false">D66*$J$5</f>
        <v>11.3684210526316</v>
      </c>
      <c r="F66" s="22" t="n">
        <f aca="false">E66-C66</f>
        <v>11.3684210526316</v>
      </c>
      <c r="G66" s="10" t="str">
        <f aca="false">IF(AND(C66=0,E66=0),0,IF(C66=0,"New",(E66-C66)/C66))</f>
        <v>New</v>
      </c>
      <c r="H66" s="11" t="n">
        <f aca="false">SUMIFS('Source 2025'!$T:$T,'Source 2025'!$B:$B,$A66,'Source 2025'!$A:$A,"Amount (NIS)")</f>
        <v>0</v>
      </c>
      <c r="I66" s="11" t="n">
        <f aca="false">SUMIFS('Source 2026'!$T:$T,'Source 2026'!$B:$B,$A66,'Source 2026'!$A:$A,"Amount (NIS)")</f>
        <v>1022.3</v>
      </c>
      <c r="J66" s="11" t="n">
        <f aca="false">I66*$J$5</f>
        <v>1291.32631578947</v>
      </c>
      <c r="K66" s="11" t="n">
        <f aca="false">J66-H66</f>
        <v>1291.32631578947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216</v>
      </c>
      <c r="B67" s="8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2" t="n">
        <f aca="false">D67*$J$5</f>
        <v>60.6315789473684</v>
      </c>
      <c r="F67" s="22" t="n">
        <f aca="false">E67-C67</f>
        <v>60.6315789473684</v>
      </c>
      <c r="G67" s="10" t="str">
        <f aca="false">IF(AND(C67=0,E67=0),0,IF(C67=0,"New",(E67-C67)/C67))</f>
        <v>New</v>
      </c>
      <c r="H67" s="11" t="n">
        <f aca="false">SUMIFS('Source 2025'!$T:$T,'Source 2025'!$B:$B,$A67,'Source 2025'!$A:$A,"Amount (NIS)")</f>
        <v>0</v>
      </c>
      <c r="I67" s="11" t="n">
        <f aca="false">SUMIFS('Source 2026'!$T:$T,'Source 2026'!$B:$B,$A67,'Source 2026'!$A:$A,"Amount (NIS)")</f>
        <v>1004.4</v>
      </c>
      <c r="J67" s="11" t="n">
        <f aca="false">I67*$J$5</f>
        <v>1268.71578947368</v>
      </c>
      <c r="K67" s="11" t="n">
        <f aca="false">J67-H67</f>
        <v>1268.71578947368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198</v>
      </c>
      <c r="B68" s="8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2" t="n">
        <f aca="false">D68*$J$5</f>
        <v>20.2105263157895</v>
      </c>
      <c r="F68" s="22" t="n">
        <f aca="false">E68-C68</f>
        <v>20.2105263157895</v>
      </c>
      <c r="G68" s="10" t="str">
        <f aca="false">IF(AND(C68=0,E68=0),0,IF(C68=0,"New",(E68-C68)/C68))</f>
        <v>New</v>
      </c>
      <c r="H68" s="11" t="n">
        <f aca="false">SUMIFS('Source 2025'!$T:$T,'Source 2025'!$B:$B,$A68,'Source 2025'!$A:$A,"Amount (NIS)")</f>
        <v>0</v>
      </c>
      <c r="I68" s="11" t="n">
        <f aca="false">SUMIFS('Source 2026'!$T:$T,'Source 2026'!$B:$B,$A68,'Source 2026'!$A:$A,"Amount (NIS)")</f>
        <v>957.1</v>
      </c>
      <c r="J68" s="11" t="n">
        <f aca="false">I68*$J$5</f>
        <v>1208.96842105263</v>
      </c>
      <c r="K68" s="11" t="n">
        <f aca="false">J68-H68</f>
        <v>1208.96842105263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156</v>
      </c>
      <c r="B69" s="8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2" t="n">
        <f aca="false">D69*$J$5</f>
        <v>98.5263157894737</v>
      </c>
      <c r="F69" s="22" t="n">
        <f aca="false">E69-C69</f>
        <v>98.5263157894737</v>
      </c>
      <c r="G69" s="10" t="str">
        <f aca="false">IF(AND(C69=0,E69=0),0,IF(C69=0,"New",(E69-C69)/C69))</f>
        <v>New</v>
      </c>
      <c r="H69" s="11" t="n">
        <f aca="false">SUMIFS('Source 2025'!$T:$T,'Source 2025'!$B:$B,$A69,'Source 2025'!$A:$A,"Amount (NIS)")</f>
        <v>0</v>
      </c>
      <c r="I69" s="11" t="n">
        <f aca="false">SUMIFS('Source 2026'!$T:$T,'Source 2026'!$B:$B,$A69,'Source 2026'!$A:$A,"Amount (NIS)")</f>
        <v>939.1</v>
      </c>
      <c r="J69" s="11" t="n">
        <f aca="false">I69*$J$5</f>
        <v>1186.23157894737</v>
      </c>
      <c r="K69" s="11" t="n">
        <f aca="false">J69-H69</f>
        <v>1186.23157894737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177</v>
      </c>
      <c r="B70" s="8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2" t="n">
        <f aca="false">D70*$J$5</f>
        <v>29.0526315789474</v>
      </c>
      <c r="F70" s="22" t="n">
        <f aca="false">E70-C70</f>
        <v>29.0526315789474</v>
      </c>
      <c r="G70" s="10" t="str">
        <f aca="false">IF(AND(C70=0,E70=0),0,IF(C70=0,"New",(E70-C70)/C70))</f>
        <v>New</v>
      </c>
      <c r="H70" s="11" t="n">
        <f aca="false">SUMIFS('Source 2025'!$T:$T,'Source 2025'!$B:$B,$A70,'Source 2025'!$A:$A,"Amount (NIS)")</f>
        <v>0</v>
      </c>
      <c r="I70" s="11" t="n">
        <f aca="false">SUMIFS('Source 2026'!$T:$T,'Source 2026'!$B:$B,$A70,'Source 2026'!$A:$A,"Amount (NIS)")</f>
        <v>906.6</v>
      </c>
      <c r="J70" s="11" t="n">
        <f aca="false">I70*$J$5</f>
        <v>1145.17894736842</v>
      </c>
      <c r="K70" s="11" t="n">
        <f aca="false">J70-H70</f>
        <v>1145.17894736842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332</v>
      </c>
      <c r="B71" s="8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2" t="n">
        <f aca="false">D71*$J$5</f>
        <v>82.1052631578947</v>
      </c>
      <c r="F71" s="22" t="n">
        <f aca="false">E71-C71</f>
        <v>82.1052631578947</v>
      </c>
      <c r="G71" s="10" t="str">
        <f aca="false">IF(AND(C71=0,E71=0),0,IF(C71=0,"New",(E71-C71)/C71))</f>
        <v>New</v>
      </c>
      <c r="H71" s="11" t="n">
        <f aca="false">SUMIFS('Source 2025'!$T:$T,'Source 2025'!$B:$B,$A71,'Source 2025'!$A:$A,"Amount (NIS)")</f>
        <v>0</v>
      </c>
      <c r="I71" s="11" t="n">
        <f aca="false">SUMIFS('Source 2026'!$T:$T,'Source 2026'!$B:$B,$A71,'Source 2026'!$A:$A,"Amount (NIS)")</f>
        <v>879.9</v>
      </c>
      <c r="J71" s="11" t="n">
        <f aca="false">I71*$J$5</f>
        <v>1111.45263157895</v>
      </c>
      <c r="K71" s="11" t="n">
        <f aca="false">J71-H71</f>
        <v>1111.45263157895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96</v>
      </c>
      <c r="B72" s="8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2" t="n">
        <f aca="false">D72*$J$5</f>
        <v>44.2105263157895</v>
      </c>
      <c r="F72" s="22" t="n">
        <f aca="false">E72-C72</f>
        <v>44.2105263157895</v>
      </c>
      <c r="G72" s="10" t="str">
        <f aca="false">IF(AND(C72=0,E72=0),0,IF(C72=0,"New",(E72-C72)/C72))</f>
        <v>New</v>
      </c>
      <c r="H72" s="11" t="n">
        <f aca="false">SUMIFS('Source 2025'!$T:$T,'Source 2025'!$B:$B,$A72,'Source 2025'!$A:$A,"Amount (NIS)")</f>
        <v>0</v>
      </c>
      <c r="I72" s="11" t="n">
        <f aca="false">SUMIFS('Source 2026'!$T:$T,'Source 2026'!$B:$B,$A72,'Source 2026'!$A:$A,"Amount (NIS)")</f>
        <v>875</v>
      </c>
      <c r="J72" s="11" t="n">
        <f aca="false">I72*$J$5</f>
        <v>1105.26315789474</v>
      </c>
      <c r="K72" s="11" t="n">
        <f aca="false">J72-H72</f>
        <v>1105.26315789474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121</v>
      </c>
      <c r="B73" s="8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2" t="n">
        <f aca="false">D73*$J$5</f>
        <v>113.684210526316</v>
      </c>
      <c r="F73" s="22" t="n">
        <f aca="false">E73-C73</f>
        <v>113.684210526316</v>
      </c>
      <c r="G73" s="10" t="str">
        <f aca="false">IF(AND(C73=0,E73=0),0,IF(C73=0,"New",(E73-C73)/C73))</f>
        <v>New</v>
      </c>
      <c r="H73" s="11" t="n">
        <f aca="false">SUMIFS('Source 2025'!$T:$T,'Source 2025'!$B:$B,$A73,'Source 2025'!$A:$A,"Amount (NIS)")</f>
        <v>0</v>
      </c>
      <c r="I73" s="11" t="n">
        <f aca="false">SUMIFS('Source 2026'!$T:$T,'Source 2026'!$B:$B,$A73,'Source 2026'!$A:$A,"Amount (NIS)")</f>
        <v>837.1</v>
      </c>
      <c r="J73" s="11" t="n">
        <f aca="false">I73*$J$5</f>
        <v>1057.38947368421</v>
      </c>
      <c r="K73" s="11" t="n">
        <f aca="false">J73-H73</f>
        <v>1057.38947368421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295</v>
      </c>
      <c r="B74" s="8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2" t="n">
        <f aca="false">D74*$J$5</f>
        <v>51.7894736842105</v>
      </c>
      <c r="F74" s="22" t="n">
        <f aca="false">E74-C74</f>
        <v>51.7894736842105</v>
      </c>
      <c r="G74" s="10" t="str">
        <f aca="false">IF(AND(C74=0,E74=0),0,IF(C74=0,"New",(E74-C74)/C74))</f>
        <v>New</v>
      </c>
      <c r="H74" s="11" t="n">
        <f aca="false">SUMIFS('Source 2025'!$T:$T,'Source 2025'!$B:$B,$A74,'Source 2025'!$A:$A,"Amount (NIS)")</f>
        <v>0</v>
      </c>
      <c r="I74" s="11" t="n">
        <f aca="false">SUMIFS('Source 2026'!$T:$T,'Source 2026'!$B:$B,$A74,'Source 2026'!$A:$A,"Amount (NIS)")</f>
        <v>829.8</v>
      </c>
      <c r="J74" s="11" t="n">
        <f aca="false">I74*$J$5</f>
        <v>1048.16842105263</v>
      </c>
      <c r="K74" s="11" t="n">
        <f aca="false">J74-H74</f>
        <v>1048.16842105263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169</v>
      </c>
      <c r="B75" s="8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2" t="n">
        <f aca="false">D75*$J$5</f>
        <v>58.1052631578947</v>
      </c>
      <c r="F75" s="22" t="n">
        <f aca="false">E75-C75</f>
        <v>58.1052631578947</v>
      </c>
      <c r="G75" s="10" t="str">
        <f aca="false">IF(AND(C75=0,E75=0),0,IF(C75=0,"New",(E75-C75)/C75))</f>
        <v>New</v>
      </c>
      <c r="H75" s="11" t="n">
        <f aca="false">SUMIFS('Source 2025'!$T:$T,'Source 2025'!$B:$B,$A75,'Source 2025'!$A:$A,"Amount (NIS)")</f>
        <v>0</v>
      </c>
      <c r="I75" s="11" t="n">
        <f aca="false">SUMIFS('Source 2026'!$T:$T,'Source 2026'!$B:$B,$A75,'Source 2026'!$A:$A,"Amount (NIS)")</f>
        <v>821.2</v>
      </c>
      <c r="J75" s="11" t="n">
        <f aca="false">I75*$J$5</f>
        <v>1037.30526315789</v>
      </c>
      <c r="K75" s="11" t="n">
        <f aca="false">J75-H75</f>
        <v>1037.30526315789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187</v>
      </c>
      <c r="B76" s="8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2" t="n">
        <f aca="false">D76*$J$5</f>
        <v>94.7368421052632</v>
      </c>
      <c r="F76" s="22" t="n">
        <f aca="false">E76-C76</f>
        <v>94.7368421052632</v>
      </c>
      <c r="G76" s="10" t="str">
        <f aca="false">IF(AND(C76=0,E76=0),0,IF(C76=0,"New",(E76-C76)/C76))</f>
        <v>New</v>
      </c>
      <c r="H76" s="11" t="n">
        <f aca="false">SUMIFS('Source 2025'!$T:$T,'Source 2025'!$B:$B,$A76,'Source 2025'!$A:$A,"Amount (NIS)")</f>
        <v>0</v>
      </c>
      <c r="I76" s="11" t="n">
        <f aca="false">SUMIFS('Source 2026'!$T:$T,'Source 2026'!$B:$B,$A76,'Source 2026'!$A:$A,"Amount (NIS)")</f>
        <v>801.6</v>
      </c>
      <c r="J76" s="11" t="n">
        <f aca="false">I76*$J$5</f>
        <v>1012.54736842105</v>
      </c>
      <c r="K76" s="11" t="n">
        <f aca="false">J76-H76</f>
        <v>1012.54736842105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389</v>
      </c>
      <c r="B77" s="8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2" t="n">
        <f aca="false">D77*$J$5</f>
        <v>40.4210526315789</v>
      </c>
      <c r="F77" s="22" t="n">
        <f aca="false">E77-C77</f>
        <v>40.4210526315789</v>
      </c>
      <c r="G77" s="10" t="str">
        <f aca="false">IF(AND(C77=0,E77=0),0,IF(C77=0,"New",(E77-C77)/C77))</f>
        <v>New</v>
      </c>
      <c r="H77" s="11" t="n">
        <f aca="false">SUMIFS('Source 2025'!$T:$T,'Source 2025'!$B:$B,$A77,'Source 2025'!$A:$A,"Amount (NIS)")</f>
        <v>0</v>
      </c>
      <c r="I77" s="11" t="n">
        <f aca="false">SUMIFS('Source 2026'!$T:$T,'Source 2026'!$B:$B,$A77,'Source 2026'!$A:$A,"Amount (NIS)")</f>
        <v>800</v>
      </c>
      <c r="J77" s="11" t="n">
        <f aca="false">I77*$J$5</f>
        <v>1010.52631578947</v>
      </c>
      <c r="K77" s="11" t="n">
        <f aca="false">J77-H77</f>
        <v>1010.52631578947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208</v>
      </c>
      <c r="B78" s="8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2" t="n">
        <f aca="false">D78*$J$5</f>
        <v>45.4736842105263</v>
      </c>
      <c r="F78" s="22" t="n">
        <f aca="false">E78-C78</f>
        <v>45.4736842105263</v>
      </c>
      <c r="G78" s="10" t="str">
        <f aca="false">IF(AND(C78=0,E78=0),0,IF(C78=0,"New",(E78-C78)/C78))</f>
        <v>New</v>
      </c>
      <c r="H78" s="11" t="n">
        <f aca="false">SUMIFS('Source 2025'!$T:$T,'Source 2025'!$B:$B,$A78,'Source 2025'!$A:$A,"Amount (NIS)")</f>
        <v>0</v>
      </c>
      <c r="I78" s="11" t="n">
        <f aca="false">SUMIFS('Source 2026'!$T:$T,'Source 2026'!$B:$B,$A78,'Source 2026'!$A:$A,"Amount (NIS)")</f>
        <v>795.6</v>
      </c>
      <c r="J78" s="11" t="n">
        <f aca="false">I78*$J$5</f>
        <v>1004.96842105263</v>
      </c>
      <c r="K78" s="11" t="n">
        <f aca="false">J78-H78</f>
        <v>1004.96842105263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106</v>
      </c>
      <c r="B79" s="8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2" t="n">
        <f aca="false">D79*$J$5</f>
        <v>39.1578947368421</v>
      </c>
      <c r="F79" s="22" t="n">
        <f aca="false">E79-C79</f>
        <v>39.1578947368421</v>
      </c>
      <c r="G79" s="10" t="str">
        <f aca="false">IF(AND(C79=0,E79=0),0,IF(C79=0,"New",(E79-C79)/C79))</f>
        <v>New</v>
      </c>
      <c r="H79" s="11" t="n">
        <f aca="false">SUMIFS('Source 2025'!$T:$T,'Source 2025'!$B:$B,$A79,'Source 2025'!$A:$A,"Amount (NIS)")</f>
        <v>0</v>
      </c>
      <c r="I79" s="11" t="n">
        <f aca="false">SUMIFS('Source 2026'!$T:$T,'Source 2026'!$B:$B,$A79,'Source 2026'!$A:$A,"Amount (NIS)")</f>
        <v>775</v>
      </c>
      <c r="J79" s="11" t="n">
        <f aca="false">I79*$J$5</f>
        <v>978.947368421053</v>
      </c>
      <c r="K79" s="11" t="n">
        <f aca="false">J79-H79</f>
        <v>978.947368421053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224</v>
      </c>
      <c r="B80" s="8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2" t="n">
        <f aca="false">D80*$J$5</f>
        <v>174.315789473684</v>
      </c>
      <c r="F80" s="22" t="n">
        <f aca="false">E80-C80</f>
        <v>174.315789473684</v>
      </c>
      <c r="G80" s="10" t="str">
        <f aca="false">IF(AND(C80=0,E80=0),0,IF(C80=0,"New",(E80-C80)/C80))</f>
        <v>New</v>
      </c>
      <c r="H80" s="11" t="n">
        <f aca="false">SUMIFS('Source 2025'!$T:$T,'Source 2025'!$B:$B,$A80,'Source 2025'!$A:$A,"Amount (NIS)")</f>
        <v>0</v>
      </c>
      <c r="I80" s="11" t="n">
        <f aca="false">SUMIFS('Source 2026'!$T:$T,'Source 2026'!$B:$B,$A80,'Source 2026'!$A:$A,"Amount (NIS)")</f>
        <v>771.2</v>
      </c>
      <c r="J80" s="11" t="n">
        <f aca="false">I80*$J$5</f>
        <v>974.147368421053</v>
      </c>
      <c r="K80" s="11" t="n">
        <f aca="false">J80-H80</f>
        <v>974.147368421053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180</v>
      </c>
      <c r="B81" s="8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2" t="n">
        <f aca="false">D81*$J$5</f>
        <v>51.7894736842105</v>
      </c>
      <c r="F81" s="22" t="n">
        <f aca="false">E81-C81</f>
        <v>51.7894736842105</v>
      </c>
      <c r="G81" s="10" t="str">
        <f aca="false">IF(AND(C81=0,E81=0),0,IF(C81=0,"New",(E81-C81)/C81))</f>
        <v>New</v>
      </c>
      <c r="H81" s="11" t="n">
        <f aca="false">SUMIFS('Source 2025'!$T:$T,'Source 2025'!$B:$B,$A81,'Source 2025'!$A:$A,"Amount (NIS)")</f>
        <v>0</v>
      </c>
      <c r="I81" s="11" t="n">
        <f aca="false">SUMIFS('Source 2026'!$T:$T,'Source 2026'!$B:$B,$A81,'Source 2026'!$A:$A,"Amount (NIS)")</f>
        <v>754.4</v>
      </c>
      <c r="J81" s="11" t="n">
        <f aca="false">I81*$J$5</f>
        <v>952.926315789474</v>
      </c>
      <c r="K81" s="11" t="n">
        <f aca="false">J81-H81</f>
        <v>952.926315789474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196</v>
      </c>
      <c r="B82" s="8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2" t="n">
        <f aca="false">D82*$J$5</f>
        <v>126.315789473684</v>
      </c>
      <c r="F82" s="22" t="n">
        <f aca="false">E82-C82</f>
        <v>126.315789473684</v>
      </c>
      <c r="G82" s="10" t="str">
        <f aca="false">IF(AND(C82=0,E82=0),0,IF(C82=0,"New",(E82-C82)/C82))</f>
        <v>New</v>
      </c>
      <c r="H82" s="11" t="n">
        <f aca="false">SUMIFS('Source 2025'!$T:$T,'Source 2025'!$B:$B,$A82,'Source 2025'!$A:$A,"Amount (NIS)")</f>
        <v>0</v>
      </c>
      <c r="I82" s="11" t="n">
        <f aca="false">SUMIFS('Source 2026'!$T:$T,'Source 2026'!$B:$B,$A82,'Source 2026'!$A:$A,"Amount (NIS)")</f>
        <v>752.4</v>
      </c>
      <c r="J82" s="11" t="n">
        <f aca="false">I82*$J$5</f>
        <v>950.4</v>
      </c>
      <c r="K82" s="11" t="n">
        <f aca="false">J82-H82</f>
        <v>950.4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276</v>
      </c>
      <c r="B83" s="8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2" t="n">
        <f aca="false">D83*$J$5</f>
        <v>26.5263157894737</v>
      </c>
      <c r="F83" s="22" t="n">
        <f aca="false">E83-C83</f>
        <v>26.5263157894737</v>
      </c>
      <c r="G83" s="10" t="str">
        <f aca="false">IF(AND(C83=0,E83=0),0,IF(C83=0,"New",(E83-C83)/C83))</f>
        <v>New</v>
      </c>
      <c r="H83" s="11" t="n">
        <f aca="false">SUMIFS('Source 2025'!$T:$T,'Source 2025'!$B:$B,$A83,'Source 2025'!$A:$A,"Amount (NIS)")</f>
        <v>0</v>
      </c>
      <c r="I83" s="11" t="n">
        <f aca="false">SUMIFS('Source 2026'!$T:$T,'Source 2026'!$B:$B,$A83,'Source 2026'!$A:$A,"Amount (NIS)")</f>
        <v>749.1</v>
      </c>
      <c r="J83" s="11" t="n">
        <f aca="false">I83*$J$5</f>
        <v>946.231578947368</v>
      </c>
      <c r="K83" s="11" t="n">
        <f aca="false">J83-H83</f>
        <v>946.231578947368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245</v>
      </c>
      <c r="B84" s="8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2" t="n">
        <f aca="false">D84*$J$5</f>
        <v>51.7894736842105</v>
      </c>
      <c r="F84" s="22" t="n">
        <f aca="false">E84-C84</f>
        <v>51.7894736842105</v>
      </c>
      <c r="G84" s="10" t="str">
        <f aca="false">IF(AND(C84=0,E84=0),0,IF(C84=0,"New",(E84-C84)/C84))</f>
        <v>New</v>
      </c>
      <c r="H84" s="11" t="n">
        <f aca="false">SUMIFS('Source 2025'!$T:$T,'Source 2025'!$B:$B,$A84,'Source 2025'!$A:$A,"Amount (NIS)")</f>
        <v>0</v>
      </c>
      <c r="I84" s="11" t="n">
        <f aca="false">SUMIFS('Source 2026'!$T:$T,'Source 2026'!$B:$B,$A84,'Source 2026'!$A:$A,"Amount (NIS)")</f>
        <v>668</v>
      </c>
      <c r="J84" s="11" t="n">
        <f aca="false">I84*$J$5</f>
        <v>843.789473684211</v>
      </c>
      <c r="K84" s="11" t="n">
        <f aca="false">J84-H84</f>
        <v>843.789473684211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270</v>
      </c>
      <c r="B85" s="8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2" t="n">
        <f aca="false">D85*$J$5</f>
        <v>8.84210526315789</v>
      </c>
      <c r="F85" s="22" t="n">
        <f aca="false">E85-C85</f>
        <v>8.84210526315789</v>
      </c>
      <c r="G85" s="10" t="str">
        <f aca="false">IF(AND(C85=0,E85=0),0,IF(C85=0,"New",(E85-C85)/C85))</f>
        <v>New</v>
      </c>
      <c r="H85" s="11" t="n">
        <f aca="false">SUMIFS('Source 2025'!$T:$T,'Source 2025'!$B:$B,$A85,'Source 2025'!$A:$A,"Amount (NIS)")</f>
        <v>0</v>
      </c>
      <c r="I85" s="11" t="n">
        <f aca="false">SUMIFS('Source 2026'!$T:$T,'Source 2026'!$B:$B,$A85,'Source 2026'!$A:$A,"Amount (NIS)")</f>
        <v>632.8</v>
      </c>
      <c r="J85" s="11" t="n">
        <f aca="false">I85*$J$5</f>
        <v>799.326315789474</v>
      </c>
      <c r="K85" s="11" t="n">
        <f aca="false">J85-H85</f>
        <v>799.326315789474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238</v>
      </c>
      <c r="B86" s="8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2" t="n">
        <f aca="false">D86*$J$5</f>
        <v>20.2105263157895</v>
      </c>
      <c r="F86" s="22" t="n">
        <f aca="false">E86-C86</f>
        <v>20.2105263157895</v>
      </c>
      <c r="G86" s="10" t="str">
        <f aca="false">IF(AND(C86=0,E86=0),0,IF(C86=0,"New",(E86-C86)/C86))</f>
        <v>New</v>
      </c>
      <c r="H86" s="11" t="n">
        <f aca="false">SUMIFS('Source 2025'!$T:$T,'Source 2025'!$B:$B,$A86,'Source 2025'!$A:$A,"Amount (NIS)")</f>
        <v>0</v>
      </c>
      <c r="I86" s="11" t="n">
        <f aca="false">SUMIFS('Source 2026'!$T:$T,'Source 2026'!$B:$B,$A86,'Source 2026'!$A:$A,"Amount (NIS)")</f>
        <v>619.2</v>
      </c>
      <c r="J86" s="11" t="n">
        <f aca="false">I86*$J$5</f>
        <v>782.147368421053</v>
      </c>
      <c r="K86" s="11" t="n">
        <f aca="false">J86-H86</f>
        <v>782.147368421053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233</v>
      </c>
      <c r="B87" s="8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22.7368421052632</v>
      </c>
      <c r="G87" s="10" t="str">
        <f aca="false">IF(AND(C87=0,E87=0),0,IF(C87=0,"New",(E87-C87)/C87))</f>
        <v>New</v>
      </c>
      <c r="H87" s="11" t="n">
        <f aca="false">SUMIFS('Source 2025'!$T:$T,'Source 2025'!$B:$B,$A87,'Source 2025'!$A:$A,"Amount (NIS)")</f>
        <v>0</v>
      </c>
      <c r="I87" s="11" t="n">
        <f aca="false">SUMIFS('Source 2026'!$T:$T,'Source 2026'!$B:$B,$A87,'Source 2026'!$A:$A,"Amount (NIS)")</f>
        <v>583.7</v>
      </c>
      <c r="J87" s="11" t="n">
        <f aca="false">I87*$J$5</f>
        <v>737.305263157895</v>
      </c>
      <c r="K87" s="11" t="n">
        <f aca="false">J87-H87</f>
        <v>737.305263157895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2" t="n">
        <f aca="false">D88*$J$5</f>
        <v>32.8421052631579</v>
      </c>
      <c r="F88" s="22" t="n">
        <f aca="false">E88-C88</f>
        <v>32.8421052631579</v>
      </c>
      <c r="G88" s="10" t="str">
        <f aca="false">IF(AND(C88=0,E88=0),0,IF(C88=0,"New",(E88-C88)/C88))</f>
        <v>New</v>
      </c>
      <c r="H88" s="11" t="n">
        <f aca="false">SUMIFS('Source 2025'!$T:$T,'Source 2025'!$B:$B,$A88,'Source 2025'!$A:$A,"Amount (NIS)")</f>
        <v>0</v>
      </c>
      <c r="I88" s="11" t="n">
        <f aca="false">SUMIFS('Source 2026'!$T:$T,'Source 2026'!$B:$B,$A88,'Source 2026'!$A:$A,"Amount (NIS)")</f>
        <v>578.2</v>
      </c>
      <c r="J88" s="11" t="n">
        <f aca="false">I88*$J$5</f>
        <v>730.357894736842</v>
      </c>
      <c r="K88" s="11" t="n">
        <f aca="false">J88-H88</f>
        <v>730.357894736842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274</v>
      </c>
      <c r="B89" s="8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2" t="n">
        <f aca="false">D89*$J$5</f>
        <v>10.1052631578947</v>
      </c>
      <c r="F89" s="22" t="n">
        <f aca="false">E89-C89</f>
        <v>10.1052631578947</v>
      </c>
      <c r="G89" s="10" t="str">
        <f aca="false">IF(AND(C89=0,E89=0),0,IF(C89=0,"New",(E89-C89)/C89))</f>
        <v>New</v>
      </c>
      <c r="H89" s="11" t="n">
        <f aca="false">SUMIFS('Source 2025'!$T:$T,'Source 2025'!$B:$B,$A89,'Source 2025'!$A:$A,"Amount (NIS)")</f>
        <v>0</v>
      </c>
      <c r="I89" s="11" t="n">
        <f aca="false">SUMIFS('Source 2026'!$T:$T,'Source 2026'!$B:$B,$A89,'Source 2026'!$A:$A,"Amount (NIS)")</f>
        <v>568</v>
      </c>
      <c r="J89" s="11" t="n">
        <f aca="false">I89*$J$5</f>
        <v>717.473684210526</v>
      </c>
      <c r="K89" s="11" t="n">
        <f aca="false">J89-H89</f>
        <v>717.473684210526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190</v>
      </c>
      <c r="B90" s="8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2" t="n">
        <f aca="false">D90*$J$5</f>
        <v>54.3157894736842</v>
      </c>
      <c r="F90" s="22" t="n">
        <f aca="false">E90-C90</f>
        <v>54.3157894736842</v>
      </c>
      <c r="G90" s="10" t="str">
        <f aca="false">IF(AND(C90=0,E90=0),0,IF(C90=0,"New",(E90-C90)/C90))</f>
        <v>New</v>
      </c>
      <c r="H90" s="11" t="n">
        <f aca="false">SUMIFS('Source 2025'!$T:$T,'Source 2025'!$B:$B,$A90,'Source 2025'!$A:$A,"Amount (NIS)")</f>
        <v>0</v>
      </c>
      <c r="I90" s="11" t="n">
        <f aca="false">SUMIFS('Source 2026'!$T:$T,'Source 2026'!$B:$B,$A90,'Source 2026'!$A:$A,"Amount (NIS)")</f>
        <v>556.9</v>
      </c>
      <c r="J90" s="11" t="n">
        <f aca="false">I90*$J$5</f>
        <v>703.452631578947</v>
      </c>
      <c r="K90" s="11" t="n">
        <f aca="false">J90-H90</f>
        <v>703.452631578947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221</v>
      </c>
      <c r="B91" s="8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2" t="n">
        <f aca="false">D91*$J$5</f>
        <v>3.78947368421053</v>
      </c>
      <c r="F91" s="22" t="n">
        <f aca="false">E91-C91</f>
        <v>3.78947368421053</v>
      </c>
      <c r="G91" s="10" t="str">
        <f aca="false">IF(AND(C91=0,E91=0),0,IF(C91=0,"New",(E91-C91)/C91))</f>
        <v>New</v>
      </c>
      <c r="H91" s="11" t="n">
        <f aca="false">SUMIFS('Source 2025'!$T:$T,'Source 2025'!$B:$B,$A91,'Source 2025'!$A:$A,"Amount (NIS)")</f>
        <v>0</v>
      </c>
      <c r="I91" s="11" t="n">
        <f aca="false">SUMIFS('Source 2026'!$T:$T,'Source 2026'!$B:$B,$A91,'Source 2026'!$A:$A,"Amount (NIS)")</f>
        <v>480</v>
      </c>
      <c r="J91" s="11" t="n">
        <f aca="false">I91*$J$5</f>
        <v>606.315789473684</v>
      </c>
      <c r="K91" s="11" t="n">
        <f aca="false">J91-H91</f>
        <v>606.315789473684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117</v>
      </c>
      <c r="B92" s="8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2" t="n">
        <f aca="false">D92*$J$5</f>
        <v>31.5789473684211</v>
      </c>
      <c r="F92" s="22" t="n">
        <f aca="false">E92-C92</f>
        <v>31.5789473684211</v>
      </c>
      <c r="G92" s="10" t="str">
        <f aca="false">IF(AND(C92=0,E92=0),0,IF(C92=0,"New",(E92-C92)/C92))</f>
        <v>New</v>
      </c>
      <c r="H92" s="11" t="n">
        <f aca="false">SUMIFS('Source 2025'!$T:$T,'Source 2025'!$B:$B,$A92,'Source 2025'!$A:$A,"Amount (NIS)")</f>
        <v>0</v>
      </c>
      <c r="I92" s="11" t="n">
        <f aca="false">SUMIFS('Source 2026'!$T:$T,'Source 2026'!$B:$B,$A92,'Source 2026'!$A:$A,"Amount (NIS)")</f>
        <v>460</v>
      </c>
      <c r="J92" s="11" t="n">
        <f aca="false">I92*$J$5</f>
        <v>581.052631578947</v>
      </c>
      <c r="K92" s="11" t="n">
        <f aca="false">J92-H92</f>
        <v>581.052631578947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90</v>
      </c>
      <c r="B93" s="8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36.6315789473684</v>
      </c>
      <c r="G93" s="10" t="str">
        <f aca="false">IF(AND(C93=0,E93=0),0,IF(C93=0,"New",(E93-C93)/C93))</f>
        <v>New</v>
      </c>
      <c r="H93" s="11" t="n">
        <f aca="false">SUMIFS('Source 2025'!$T:$T,'Source 2025'!$B:$B,$A93,'Source 2025'!$A:$A,"Amount (NIS)")</f>
        <v>0</v>
      </c>
      <c r="I93" s="11" t="n">
        <f aca="false">SUMIFS('Source 2026'!$T:$T,'Source 2026'!$B:$B,$A93,'Source 2026'!$A:$A,"Amount (NIS)")</f>
        <v>429.2</v>
      </c>
      <c r="J93" s="11" t="n">
        <f aca="false">I93*$J$5</f>
        <v>542.147368421053</v>
      </c>
      <c r="K93" s="11" t="n">
        <f aca="false">J93-H93</f>
        <v>542.147368421053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179</v>
      </c>
      <c r="B94" s="8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2" t="n">
        <f aca="false">D94*$J$5</f>
        <v>39.1578947368421</v>
      </c>
      <c r="F94" s="22" t="n">
        <f aca="false">E94-C94</f>
        <v>39.1578947368421</v>
      </c>
      <c r="G94" s="10" t="str">
        <f aca="false">IF(AND(C94=0,E94=0),0,IF(C94=0,"New",(E94-C94)/C94))</f>
        <v>New</v>
      </c>
      <c r="H94" s="11" t="n">
        <f aca="false">SUMIFS('Source 2025'!$T:$T,'Source 2025'!$B:$B,$A94,'Source 2025'!$A:$A,"Amount (NIS)")</f>
        <v>0</v>
      </c>
      <c r="I94" s="11" t="n">
        <f aca="false">SUMIFS('Source 2026'!$T:$T,'Source 2026'!$B:$B,$A94,'Source 2026'!$A:$A,"Amount (NIS)")</f>
        <v>404.8</v>
      </c>
      <c r="J94" s="11" t="n">
        <f aca="false">I94*$J$5</f>
        <v>511.326315789474</v>
      </c>
      <c r="K94" s="11" t="n">
        <f aca="false">J94-H94</f>
        <v>511.326315789474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191</v>
      </c>
      <c r="B95" s="8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2" t="n">
        <f aca="false">D95*$J$5</f>
        <v>55.5789473684211</v>
      </c>
      <c r="F95" s="22" t="n">
        <f aca="false">E95-C95</f>
        <v>55.5789473684211</v>
      </c>
      <c r="G95" s="10" t="str">
        <f aca="false">IF(AND(C95=0,E95=0),0,IF(C95=0,"New",(E95-C95)/C95))</f>
        <v>New</v>
      </c>
      <c r="H95" s="11" t="n">
        <f aca="false">SUMIFS('Source 2025'!$T:$T,'Source 2025'!$B:$B,$A95,'Source 2025'!$A:$A,"Amount (NIS)")</f>
        <v>0</v>
      </c>
      <c r="I95" s="11" t="n">
        <f aca="false">SUMIFS('Source 2026'!$T:$T,'Source 2026'!$B:$B,$A95,'Source 2026'!$A:$A,"Amount (NIS)")</f>
        <v>400.2</v>
      </c>
      <c r="J95" s="11" t="n">
        <f aca="false">I95*$J$5</f>
        <v>505.515789473684</v>
      </c>
      <c r="K95" s="11" t="n">
        <f aca="false">J95-H95</f>
        <v>505.515789473684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157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2" t="n">
        <f aca="false">D96*$J$5</f>
        <v>26.5263157894737</v>
      </c>
      <c r="F96" s="22" t="n">
        <f aca="false">E96-C96</f>
        <v>26.5263157894737</v>
      </c>
      <c r="G96" s="10" t="str">
        <f aca="false">IF(AND(C96=0,E96=0),0,IF(C96=0,"New",(E96-C96)/C96))</f>
        <v>New</v>
      </c>
      <c r="H96" s="11" t="n">
        <f aca="false">SUMIFS('Source 2025'!$T:$T,'Source 2025'!$B:$B,$A96,'Source 2025'!$A:$A,"Amount (NIS)")</f>
        <v>0</v>
      </c>
      <c r="I96" s="11" t="n">
        <f aca="false">SUMIFS('Source 2026'!$T:$T,'Source 2026'!$B:$B,$A96,'Source 2026'!$A:$A,"Amount (NIS)")</f>
        <v>388.6</v>
      </c>
      <c r="J96" s="11" t="n">
        <f aca="false">I96*$J$5</f>
        <v>490.863157894737</v>
      </c>
      <c r="K96" s="11" t="n">
        <f aca="false">J96-H96</f>
        <v>490.863157894737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342</v>
      </c>
      <c r="B97" s="8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2" t="n">
        <f aca="false">D97*$J$5</f>
        <v>6.31578947368421</v>
      </c>
      <c r="F97" s="22" t="n">
        <f aca="false">E97-C97</f>
        <v>6.31578947368421</v>
      </c>
      <c r="G97" s="10" t="str">
        <f aca="false">IF(AND(C97=0,E97=0),0,IF(C97=0,"New",(E97-C97)/C97))</f>
        <v>New</v>
      </c>
      <c r="H97" s="11" t="n">
        <f aca="false">SUMIFS('Source 2025'!$T:$T,'Source 2025'!$B:$B,$A97,'Source 2025'!$A:$A,"Amount (NIS)")</f>
        <v>0</v>
      </c>
      <c r="I97" s="11" t="n">
        <f aca="false">SUMIFS('Source 2026'!$T:$T,'Source 2026'!$B:$B,$A97,'Source 2026'!$A:$A,"Amount (NIS)")</f>
        <v>325</v>
      </c>
      <c r="J97" s="11" t="n">
        <f aca="false">I97*$J$5</f>
        <v>410.526315789474</v>
      </c>
      <c r="K97" s="11" t="n">
        <f aca="false">J97-H97</f>
        <v>410.526315789474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194</v>
      </c>
      <c r="B98" s="8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2" t="n">
        <f aca="false">D98*$J$5</f>
        <v>5.05263157894737</v>
      </c>
      <c r="F98" s="22" t="n">
        <f aca="false">E98-C98</f>
        <v>5.05263157894737</v>
      </c>
      <c r="G98" s="10" t="str">
        <f aca="false">IF(AND(C98=0,E98=0),0,IF(C98=0,"New",(E98-C98)/C98))</f>
        <v>New</v>
      </c>
      <c r="H98" s="11" t="n">
        <f aca="false">SUMIFS('Source 2025'!$T:$T,'Source 2025'!$B:$B,$A98,'Source 2025'!$A:$A,"Amount (NIS)")</f>
        <v>0</v>
      </c>
      <c r="I98" s="11" t="n">
        <f aca="false">SUMIFS('Source 2026'!$T:$T,'Source 2026'!$B:$B,$A98,'Source 2026'!$A:$A,"Amount (NIS)")</f>
        <v>309</v>
      </c>
      <c r="J98" s="11" t="n">
        <f aca="false">I98*$J$5</f>
        <v>390.315789473684</v>
      </c>
      <c r="K98" s="11" t="n">
        <f aca="false">J98-H98</f>
        <v>390.315789473684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207</v>
      </c>
      <c r="B99" s="8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2" t="n">
        <f aca="false">D99*$J$5</f>
        <v>21.4736842105263</v>
      </c>
      <c r="F99" s="22" t="n">
        <f aca="false">E99-C99</f>
        <v>21.4736842105263</v>
      </c>
      <c r="G99" s="10" t="str">
        <f aca="false">IF(AND(C99=0,E99=0),0,IF(C99=0,"New",(E99-C99)/C99))</f>
        <v>New</v>
      </c>
      <c r="H99" s="11" t="n">
        <f aca="false">SUMIFS('Source 2025'!$T:$T,'Source 2025'!$B:$B,$A99,'Source 2025'!$A:$A,"Amount (NIS)")</f>
        <v>0</v>
      </c>
      <c r="I99" s="11" t="n">
        <f aca="false">SUMIFS('Source 2026'!$T:$T,'Source 2026'!$B:$B,$A99,'Source 2026'!$A:$A,"Amount (NIS)")</f>
        <v>275.4</v>
      </c>
      <c r="J99" s="11" t="n">
        <f aca="false">I99*$J$5</f>
        <v>347.873684210526</v>
      </c>
      <c r="K99" s="11" t="n">
        <f aca="false">J99-H99</f>
        <v>347.873684210526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132</v>
      </c>
      <c r="B100" s="8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2" t="n">
        <f aca="false">D100*$J$5</f>
        <v>41.6842105263158</v>
      </c>
      <c r="F100" s="22" t="n">
        <f aca="false">E100-C100</f>
        <v>41.6842105263158</v>
      </c>
      <c r="G100" s="10" t="str">
        <f aca="false">IF(AND(C100=0,E100=0),0,IF(C100=0,"New",(E100-C100)/C100))</f>
        <v>New</v>
      </c>
      <c r="H100" s="11" t="n">
        <f aca="false">SUMIFS('Source 2025'!$T:$T,'Source 2025'!$B:$B,$A100,'Source 2025'!$A:$A,"Amount (NIS)")</f>
        <v>0</v>
      </c>
      <c r="I100" s="11" t="n">
        <f aca="false">SUMIFS('Source 2026'!$T:$T,'Source 2026'!$B:$B,$A100,'Source 2026'!$A:$A,"Amount (NIS)")</f>
        <v>270.6</v>
      </c>
      <c r="J100" s="11" t="n">
        <f aca="false">I100*$J$5</f>
        <v>341.81052631579</v>
      </c>
      <c r="K100" s="11" t="n">
        <f aca="false">J100-H100</f>
        <v>341.81052631579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2" t="n">
        <f aca="false">D101*$J$5</f>
        <v>5.05263157894737</v>
      </c>
      <c r="F101" s="22" t="n">
        <f aca="false">E101-C101</f>
        <v>5.05263157894737</v>
      </c>
      <c r="G101" s="10" t="str">
        <f aca="false">IF(AND(C101=0,E101=0),0,IF(C101=0,"New",(E101-C101)/C101))</f>
        <v>New</v>
      </c>
      <c r="H101" s="11" t="n">
        <f aca="false">SUMIFS('Source 2025'!$T:$T,'Source 2025'!$B:$B,$A101,'Source 2025'!$A:$A,"Amount (NIS)")</f>
        <v>0</v>
      </c>
      <c r="I101" s="11" t="n">
        <f aca="false">SUMIFS('Source 2026'!$T:$T,'Source 2026'!$B:$B,$A101,'Source 2026'!$A:$A,"Amount (NIS)")</f>
        <v>260</v>
      </c>
      <c r="J101" s="11" t="n">
        <f aca="false">I101*$J$5</f>
        <v>328.421052631579</v>
      </c>
      <c r="K101" s="11" t="n">
        <f aca="false">J101-H101</f>
        <v>328.421052631579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248</v>
      </c>
      <c r="B102" s="8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2" t="n">
        <f aca="false">D102*$J$5</f>
        <v>18.9473684210526</v>
      </c>
      <c r="F102" s="22" t="n">
        <f aca="false">E102-C102</f>
        <v>18.9473684210526</v>
      </c>
      <c r="G102" s="10" t="str">
        <f aca="false">IF(AND(C102=0,E102=0),0,IF(C102=0,"New",(E102-C102)/C102))</f>
        <v>New</v>
      </c>
      <c r="H102" s="11" t="n">
        <f aca="false">SUMIFS('Source 2025'!$T:$T,'Source 2025'!$B:$B,$A102,'Source 2025'!$A:$A,"Amount (NIS)")</f>
        <v>0</v>
      </c>
      <c r="I102" s="11" t="n">
        <f aca="false">SUMIFS('Source 2026'!$T:$T,'Source 2026'!$B:$B,$A102,'Source 2026'!$A:$A,"Amount (NIS)")</f>
        <v>205.9</v>
      </c>
      <c r="J102" s="11" t="n">
        <f aca="false">I102*$J$5</f>
        <v>260.084210526316</v>
      </c>
      <c r="K102" s="11" t="n">
        <f aca="false">J102-H102</f>
        <v>260.084210526316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390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2" t="n">
        <f aca="false">D103*$J$5</f>
        <v>6.31578947368421</v>
      </c>
      <c r="F103" s="22" t="n">
        <f aca="false">E103-C103</f>
        <v>6.31578947368421</v>
      </c>
      <c r="G103" s="10" t="str">
        <f aca="false">IF(AND(C103=0,E103=0),0,IF(C103=0,"New",(E103-C103)/C103))</f>
        <v>New</v>
      </c>
      <c r="H103" s="11" t="n">
        <f aca="false">SUMIFS('Source 2025'!$T:$T,'Source 2025'!$B:$B,$A103,'Source 2025'!$A:$A,"Amount (NIS)")</f>
        <v>0</v>
      </c>
      <c r="I103" s="11" t="n">
        <f aca="false">SUMIFS('Source 2026'!$T:$T,'Source 2026'!$B:$B,$A103,'Source 2026'!$A:$A,"Amount (NIS)")</f>
        <v>171</v>
      </c>
      <c r="J103" s="11" t="n">
        <f aca="false">I103*$J$5</f>
        <v>216</v>
      </c>
      <c r="K103" s="11" t="n">
        <f aca="false">J103-H103</f>
        <v>216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214</v>
      </c>
      <c r="B104" s="8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2" t="n">
        <f aca="false">D104*$J$5</f>
        <v>13.8947368421053</v>
      </c>
      <c r="F104" s="22" t="n">
        <f aca="false">E104-C104</f>
        <v>13.8947368421053</v>
      </c>
      <c r="G104" s="10" t="str">
        <f aca="false">IF(AND(C104=0,E104=0),0,IF(C104=0,"New",(E104-C104)/C104))</f>
        <v>New</v>
      </c>
      <c r="H104" s="11" t="n">
        <f aca="false">SUMIFS('Source 2025'!$T:$T,'Source 2025'!$B:$B,$A104,'Source 2025'!$A:$A,"Amount (NIS)")</f>
        <v>0</v>
      </c>
      <c r="I104" s="11" t="n">
        <f aca="false">SUMIFS('Source 2026'!$T:$T,'Source 2026'!$B:$B,$A104,'Source 2026'!$A:$A,"Amount (NIS)")</f>
        <v>171</v>
      </c>
      <c r="J104" s="11" t="n">
        <f aca="false">I104*$J$5</f>
        <v>216</v>
      </c>
      <c r="K104" s="11" t="n">
        <f aca="false">J104-H104</f>
        <v>216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257</v>
      </c>
      <c r="B105" s="8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5.05263157894737</v>
      </c>
      <c r="G105" s="10" t="str">
        <f aca="false">IF(AND(C105=0,E105=0),0,IF(C105=0,"New",(E105-C105)/C105))</f>
        <v>New</v>
      </c>
      <c r="H105" s="11" t="n">
        <f aca="false">SUMIFS('Source 2025'!$T:$T,'Source 2025'!$B:$B,$A105,'Source 2025'!$A:$A,"Amount (NIS)")</f>
        <v>0</v>
      </c>
      <c r="I105" s="11" t="n">
        <f aca="false">SUMIFS('Source 2026'!$T:$T,'Source 2026'!$B:$B,$A105,'Source 2026'!$A:$A,"Amount (NIS)")</f>
        <v>158.1</v>
      </c>
      <c r="J105" s="11" t="n">
        <f aca="false">I105*$J$5</f>
        <v>199.705263157895</v>
      </c>
      <c r="K105" s="11" t="n">
        <f aca="false">J105-H105</f>
        <v>199.705263157895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347</v>
      </c>
      <c r="B106" s="8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2" t="n">
        <f aca="false">D106*$J$5</f>
        <v>11.3684210526316</v>
      </c>
      <c r="F106" s="22" t="n">
        <f aca="false">E106-C106</f>
        <v>11.3684210526316</v>
      </c>
      <c r="G106" s="10" t="str">
        <f aca="false">IF(AND(C106=0,E106=0),0,IF(C106=0,"New",(E106-C106)/C106))</f>
        <v>New</v>
      </c>
      <c r="H106" s="11" t="n">
        <f aca="false">SUMIFS('Source 2025'!$T:$T,'Source 2025'!$B:$B,$A106,'Source 2025'!$A:$A,"Amount (NIS)")</f>
        <v>0</v>
      </c>
      <c r="I106" s="11" t="n">
        <f aca="false">SUMIFS('Source 2026'!$T:$T,'Source 2026'!$B:$B,$A106,'Source 2026'!$A:$A,"Amount (NIS)")</f>
        <v>135.2</v>
      </c>
      <c r="J106" s="11" t="n">
        <f aca="false">I106*$J$5</f>
        <v>170.778947368421</v>
      </c>
      <c r="K106" s="11" t="n">
        <f aca="false">J106-H106</f>
        <v>170.778947368421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324</v>
      </c>
      <c r="B107" s="8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2" t="n">
        <f aca="false">D107*$J$5</f>
        <v>6.31578947368421</v>
      </c>
      <c r="F107" s="22" t="n">
        <f aca="false">E107-C107</f>
        <v>6.31578947368421</v>
      </c>
      <c r="G107" s="10" t="str">
        <f aca="false">IF(AND(C107=0,E107=0),0,IF(C107=0,"New",(E107-C107)/C107))</f>
        <v>New</v>
      </c>
      <c r="H107" s="11" t="n">
        <f aca="false">SUMIFS('Source 2025'!$T:$T,'Source 2025'!$B:$B,$A107,'Source 2025'!$A:$A,"Amount (NIS)")</f>
        <v>0</v>
      </c>
      <c r="I107" s="11" t="n">
        <f aca="false">SUMIFS('Source 2026'!$T:$T,'Source 2026'!$B:$B,$A107,'Source 2026'!$A:$A,"Amount (NIS)")</f>
        <v>118</v>
      </c>
      <c r="J107" s="11" t="n">
        <f aca="false">I107*$J$5</f>
        <v>149.052631578947</v>
      </c>
      <c r="K107" s="11" t="n">
        <f aca="false">J107-H107</f>
        <v>149.052631578947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318</v>
      </c>
      <c r="B108" s="8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2" t="n">
        <f aca="false">D108*$J$5</f>
        <v>2.52631578947368</v>
      </c>
      <c r="F108" s="22" t="n">
        <f aca="false">E108-C108</f>
        <v>2.52631578947368</v>
      </c>
      <c r="G108" s="10" t="str">
        <f aca="false">IF(AND(C108=0,E108=0),0,IF(C108=0,"New",(E108-C108)/C108))</f>
        <v>New</v>
      </c>
      <c r="H108" s="11" t="n">
        <f aca="false">SUMIFS('Source 2025'!$T:$T,'Source 2025'!$B:$B,$A108,'Source 2025'!$A:$A,"Amount (NIS)")</f>
        <v>0</v>
      </c>
      <c r="I108" s="11" t="n">
        <f aca="false">SUMIFS('Source 2026'!$T:$T,'Source 2026'!$B:$B,$A108,'Source 2026'!$A:$A,"Amount (NIS)")</f>
        <v>115.9</v>
      </c>
      <c r="J108" s="11" t="n">
        <f aca="false">I108*$J$5</f>
        <v>146.4</v>
      </c>
      <c r="K108" s="11" t="n">
        <f aca="false">J108-H108</f>
        <v>146.4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217</v>
      </c>
      <c r="B109" s="8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2" t="n">
        <f aca="false">D109*$J$5</f>
        <v>21.4736842105263</v>
      </c>
      <c r="F109" s="22" t="n">
        <f aca="false">E109-C109</f>
        <v>21.4736842105263</v>
      </c>
      <c r="G109" s="10" t="str">
        <f aca="false">IF(AND(C109=0,E109=0),0,IF(C109=0,"New",(E109-C109)/C109))</f>
        <v>New</v>
      </c>
      <c r="H109" s="11" t="n">
        <f aca="false">SUMIFS('Source 2025'!$T:$T,'Source 2025'!$B:$B,$A109,'Source 2025'!$A:$A,"Amount (NIS)")</f>
        <v>0</v>
      </c>
      <c r="I109" s="11" t="n">
        <f aca="false">SUMIFS('Source 2026'!$T:$T,'Source 2026'!$B:$B,$A109,'Source 2026'!$A:$A,"Amount (NIS)")</f>
        <v>115.6</v>
      </c>
      <c r="J109" s="11" t="n">
        <f aca="false">I109*$J$5</f>
        <v>146.021052631579</v>
      </c>
      <c r="K109" s="11" t="n">
        <f aca="false">J109-H109</f>
        <v>146.021052631579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329</v>
      </c>
      <c r="B110" s="8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2" t="n">
        <f aca="false">D110*$J$5</f>
        <v>7.57894736842105</v>
      </c>
      <c r="F110" s="22" t="n">
        <f aca="false">E110-C110</f>
        <v>7.57894736842105</v>
      </c>
      <c r="G110" s="10" t="str">
        <f aca="false">IF(AND(C110=0,E110=0),0,IF(C110=0,"New",(E110-C110)/C110))</f>
        <v>New</v>
      </c>
      <c r="H110" s="11" t="n">
        <f aca="false">SUMIFS('Source 2025'!$T:$T,'Source 2025'!$B:$B,$A110,'Source 2025'!$A:$A,"Amount (NIS)")</f>
        <v>0</v>
      </c>
      <c r="I110" s="11" t="n">
        <f aca="false">SUMIFS('Source 2026'!$T:$T,'Source 2026'!$B:$B,$A110,'Source 2026'!$A:$A,"Amount (NIS)")</f>
        <v>66</v>
      </c>
      <c r="J110" s="11" t="n">
        <f aca="false">I110*$J$5</f>
        <v>83.3684210526316</v>
      </c>
      <c r="K110" s="11" t="n">
        <f aca="false">J110-H110</f>
        <v>83.3684210526316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391</v>
      </c>
      <c r="B111" s="8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2" t="n">
        <f aca="false">D111*$J$5</f>
        <v>3.78947368421053</v>
      </c>
      <c r="F111" s="22" t="n">
        <f aca="false">E111-C111</f>
        <v>3.78947368421053</v>
      </c>
      <c r="G111" s="10" t="str">
        <f aca="false">IF(AND(C111=0,E111=0),0,IF(C111=0,"New",(E111-C111)/C111))</f>
        <v>New</v>
      </c>
      <c r="H111" s="11" t="n">
        <f aca="false">SUMIFS('Source 2025'!$T:$T,'Source 2025'!$B:$B,$A111,'Source 2025'!$A:$A,"Amount (NIS)")</f>
        <v>0</v>
      </c>
      <c r="I111" s="11" t="n">
        <f aca="false">SUMIFS('Source 2026'!$T:$T,'Source 2026'!$B:$B,$A111,'Source 2026'!$A:$A,"Amount (NIS)")</f>
        <v>61.5</v>
      </c>
      <c r="J111" s="11" t="n">
        <f aca="false">I111*$J$5</f>
        <v>77.6842105263158</v>
      </c>
      <c r="K111" s="11" t="n">
        <f aca="false">J111-H111</f>
        <v>77.6842105263158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252</v>
      </c>
      <c r="B112" s="8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2" t="n">
        <f aca="false">D112*$J$5</f>
        <v>3.78947368421053</v>
      </c>
      <c r="F112" s="22" t="n">
        <f aca="false">E112-C112</f>
        <v>3.78947368421053</v>
      </c>
      <c r="G112" s="10" t="str">
        <f aca="false">IF(AND(C112=0,E112=0),0,IF(C112=0,"New",(E112-C112)/C112))</f>
        <v>New</v>
      </c>
      <c r="H112" s="11" t="n">
        <f aca="false">SUMIFS('Source 2025'!$T:$T,'Source 2025'!$B:$B,$A112,'Source 2025'!$A:$A,"Amount (NIS)")</f>
        <v>0</v>
      </c>
      <c r="I112" s="11" t="n">
        <f aca="false">SUMIFS('Source 2026'!$T:$T,'Source 2026'!$B:$B,$A112,'Source 2026'!$A:$A,"Amount (NIS)")</f>
        <v>53.1</v>
      </c>
      <c r="J112" s="11" t="n">
        <f aca="false">I112*$J$5</f>
        <v>67.0736842105263</v>
      </c>
      <c r="K112" s="11" t="n">
        <f aca="false">J112-H112</f>
        <v>67.0736842105263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301</v>
      </c>
      <c r="B113" s="8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2" t="n">
        <f aca="false">D113*$J$5</f>
        <v>1.26315789473684</v>
      </c>
      <c r="F113" s="22" t="n">
        <f aca="false">E113-C113</f>
        <v>1.26315789473684</v>
      </c>
      <c r="G113" s="10" t="str">
        <f aca="false">IF(AND(C113=0,E113=0),0,IF(C113=0,"New",(E113-C113)/C113))</f>
        <v>New</v>
      </c>
      <c r="H113" s="11" t="n">
        <f aca="false">SUMIFS('Source 2025'!$T:$T,'Source 2025'!$B:$B,$A113,'Source 2025'!$A:$A,"Amount (NIS)")</f>
        <v>0</v>
      </c>
      <c r="I113" s="11" t="n">
        <f aca="false">SUMIFS('Source 2026'!$T:$T,'Source 2026'!$B:$B,$A113,'Source 2026'!$A:$A,"Amount (NIS)")</f>
        <v>32.1</v>
      </c>
      <c r="J113" s="11" t="n">
        <f aca="false">I113*$J$5</f>
        <v>40.5473684210526</v>
      </c>
      <c r="K113" s="11" t="n">
        <f aca="false">J113-H113</f>
        <v>40.5473684210526</v>
      </c>
      <c r="L113" s="10" t="str">
        <f aca="false">IF(AND(H113=0,J113=0),0,IF(H113=0,"New",(J113-H113)/H113))</f>
        <v>New</v>
      </c>
    </row>
    <row r="115" customFormat="false" ht="15" hidden="false" customHeight="true" outlineLevel="0" collapsed="false">
      <c r="A115" s="23"/>
      <c r="B115" s="24" t="s">
        <v>350</v>
      </c>
      <c r="C115" s="25" t="n">
        <f aca="false">SUM(C7:C113)</f>
        <v>0</v>
      </c>
      <c r="D115" s="25" t="n">
        <f aca="false">SUM(D7:D113)</f>
        <v>10037</v>
      </c>
      <c r="E115" s="25" t="n">
        <f aca="false">SUM(E7:E113)</f>
        <v>12678.3157894737</v>
      </c>
      <c r="F115" s="25" t="n">
        <f aca="false">SUM(F7:F113)</f>
        <v>12678.3157894737</v>
      </c>
      <c r="G115" s="26" t="str">
        <f aca="false">IF(C115=0,"N/A",F115/C115)</f>
        <v>N/A</v>
      </c>
      <c r="H115" s="27" t="n">
        <f aca="false">SUM(H7:H113)</f>
        <v>0</v>
      </c>
      <c r="I115" s="27" t="n">
        <f aca="false">SUM(I7:I113)</f>
        <v>307514.4</v>
      </c>
      <c r="J115" s="27" t="n">
        <f aca="false">SUM(J7:J113)</f>
        <v>388439.242105263</v>
      </c>
      <c r="K115" s="27" t="n">
        <f aca="false">SUM(K7:K113)</f>
        <v>388439.242105263</v>
      </c>
      <c r="L115" s="26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392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53</v>
      </c>
      <c r="B4" s="5"/>
      <c r="C4" s="5"/>
      <c r="D4" s="5"/>
      <c r="E4" s="5"/>
      <c r="F4" s="5"/>
      <c r="G4" s="5"/>
      <c r="H4" s="5"/>
      <c r="I4" s="16" t="s">
        <v>54</v>
      </c>
      <c r="J4" s="17" t="n">
        <v>12</v>
      </c>
      <c r="K4" s="18" t="s">
        <v>55</v>
      </c>
      <c r="L4" s="17" t="n">
        <v>9.5</v>
      </c>
    </row>
    <row r="5" customFormat="false" ht="21.75" hidden="false" customHeight="true" outlineLevel="0" collapsed="false">
      <c r="I5" s="19" t="s">
        <v>56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57</v>
      </c>
      <c r="B6" s="6" t="s">
        <v>58</v>
      </c>
      <c r="C6" s="6" t="s">
        <v>11</v>
      </c>
      <c r="D6" s="21" t="s">
        <v>59</v>
      </c>
      <c r="E6" s="6" t="s">
        <v>60</v>
      </c>
      <c r="F6" s="6" t="s">
        <v>61</v>
      </c>
      <c r="G6" s="6" t="s">
        <v>62</v>
      </c>
      <c r="H6" s="6" t="s">
        <v>14</v>
      </c>
      <c r="I6" s="21" t="s">
        <v>63</v>
      </c>
      <c r="J6" s="6" t="s">
        <v>64</v>
      </c>
      <c r="K6" s="6" t="s">
        <v>65</v>
      </c>
      <c r="L6" s="6" t="s">
        <v>66</v>
      </c>
    </row>
    <row r="7" customFormat="false" ht="15" hidden="false" customHeight="true" outlineLevel="0" collapsed="false">
      <c r="A7" s="8" t="s">
        <v>140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2" t="n">
        <f aca="false">D7*$J$5</f>
        <v>607.578947368421</v>
      </c>
      <c r="F7" s="22" t="n">
        <f aca="false">E7-C7</f>
        <v>-2247.42105263158</v>
      </c>
      <c r="G7" s="10" t="n">
        <f aca="false">IF(AND(C7=0,E7=0),0,IF(C7=0,"New",(E7-C7)/C7))</f>
        <v>-0.787187759240483</v>
      </c>
      <c r="H7" s="11" t="n">
        <f aca="false">SUMIFS('Source 2025'!$I:$I,'Source 2025'!$B:$B,$A7,'Source 2025'!$A:$A,"Amount (NIS)")</f>
        <v>265726.2</v>
      </c>
      <c r="I7" s="11" t="n">
        <f aca="false">SUMIFS('Source 2026'!$I:$I,'Source 2026'!$B:$B,$A7,'Source 2026'!$A:$A,"Amount (NIS)")</f>
        <v>47626.6</v>
      </c>
      <c r="J7" s="11" t="n">
        <f aca="false">I7*$J$5</f>
        <v>60159.9157894737</v>
      </c>
      <c r="K7" s="11" t="n">
        <f aca="false">J7-H7</f>
        <v>-205566.284210526</v>
      </c>
      <c r="L7" s="10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277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2" t="n">
        <f aca="false">D8*$J$5</f>
        <v>141.473684210526</v>
      </c>
      <c r="F8" s="22" t="n">
        <f aca="false">E8-C8</f>
        <v>-1634.52631578947</v>
      </c>
      <c r="G8" s="10" t="n">
        <f aca="false">IF(AND(C8=0,E8=0),0,IF(C8=0,"New",(E8-C8)/C8))</f>
        <v>-0.920341394025605</v>
      </c>
      <c r="H8" s="11" t="n">
        <f aca="false">SUMIFS('Source 2025'!$I:$I,'Source 2025'!$B:$B,$A8,'Source 2025'!$A:$A,"Amount (NIS)")</f>
        <v>164431.7</v>
      </c>
      <c r="I8" s="11" t="n">
        <f aca="false">SUMIFS('Source 2026'!$I:$I,'Source 2026'!$B:$B,$A8,'Source 2026'!$A:$A,"Amount (NIS)")</f>
        <v>11519.9</v>
      </c>
      <c r="J8" s="11" t="n">
        <f aca="false">I8*$J$5</f>
        <v>14551.4526315789</v>
      </c>
      <c r="K8" s="11" t="n">
        <f aca="false">J8-H8</f>
        <v>-149880.247368421</v>
      </c>
      <c r="L8" s="10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160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2" t="n">
        <f aca="false">D9*$J$5</f>
        <v>659.368421052632</v>
      </c>
      <c r="F9" s="22" t="n">
        <f aca="false">E9-C9</f>
        <v>-1365.63157894737</v>
      </c>
      <c r="G9" s="10" t="n">
        <f aca="false">IF(AND(C9=0,E9=0),0,IF(C9=0,"New",(E9-C9)/C9))</f>
        <v>-0.674385964912281</v>
      </c>
      <c r="H9" s="11" t="n">
        <f aca="false">SUMIFS('Source 2025'!$I:$I,'Source 2025'!$B:$B,$A9,'Source 2025'!$A:$A,"Amount (NIS)")</f>
        <v>188767.1</v>
      </c>
      <c r="I9" s="11" t="n">
        <f aca="false">SUMIFS('Source 2026'!$I:$I,'Source 2026'!$B:$B,$A9,'Source 2026'!$A:$A,"Amount (NIS)")</f>
        <v>52314</v>
      </c>
      <c r="J9" s="11" t="n">
        <f aca="false">I9*$J$5</f>
        <v>66080.8421052632</v>
      </c>
      <c r="K9" s="11" t="n">
        <f aca="false">J9-H9</f>
        <v>-122686.257894737</v>
      </c>
      <c r="L9" s="10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168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2" t="n">
        <f aca="false">D10*$J$5</f>
        <v>996.631578947368</v>
      </c>
      <c r="F10" s="22" t="n">
        <f aca="false">E10-C10</f>
        <v>-1125.36842105263</v>
      </c>
      <c r="G10" s="10" t="n">
        <f aca="false">IF(AND(C10=0,E10=0),0,IF(C10=0,"New",(E10-C10)/C10))</f>
        <v>-0.530333845924897</v>
      </c>
      <c r="H10" s="11" t="n">
        <f aca="false">SUMIFS('Source 2025'!$I:$I,'Source 2025'!$B:$B,$A10,'Source 2025'!$A:$A,"Amount (NIS)")</f>
        <v>197774.9</v>
      </c>
      <c r="I10" s="11" t="n">
        <f aca="false">SUMIFS('Source 2026'!$I:$I,'Source 2026'!$B:$B,$A10,'Source 2026'!$A:$A,"Amount (NIS)")</f>
        <v>78734.4</v>
      </c>
      <c r="J10" s="11" t="n">
        <f aca="false">I10*$J$5</f>
        <v>99453.9789473684</v>
      </c>
      <c r="K10" s="11" t="n">
        <f aca="false">J10-H10</f>
        <v>-98320.9210526316</v>
      </c>
      <c r="L10" s="10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74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2" t="n">
        <f aca="false">D11*$J$5</f>
        <v>1719.15789473684</v>
      </c>
      <c r="F11" s="22" t="n">
        <f aca="false">E11-C11</f>
        <v>-1014.84210526316</v>
      </c>
      <c r="G11" s="10" t="n">
        <f aca="false">IF(AND(C11=0,E11=0),0,IF(C11=0,"New",(E11-C11)/C11))</f>
        <v>-0.371193162129904</v>
      </c>
      <c r="H11" s="11" t="n">
        <f aca="false">SUMIFS('Source 2025'!$I:$I,'Source 2025'!$B:$B,$A11,'Source 2025'!$A:$A,"Amount (NIS)")</f>
        <v>224663.9</v>
      </c>
      <c r="I11" s="11" t="n">
        <f aca="false">SUMIFS('Source 2026'!$I:$I,'Source 2026'!$B:$B,$A11,'Source 2026'!$A:$A,"Amount (NIS)")</f>
        <v>113662.8</v>
      </c>
      <c r="J11" s="11" t="n">
        <f aca="false">I11*$J$5</f>
        <v>143574.063157895</v>
      </c>
      <c r="K11" s="11" t="n">
        <f aca="false">J11-H11</f>
        <v>-81089.8368421053</v>
      </c>
      <c r="L11" s="10" t="n">
        <f aca="false">IF(AND(H11=0,J11=0),0,IF(H11=0,"New",(J11-H11)/H11))</f>
        <v>-0.360938436669644</v>
      </c>
    </row>
    <row r="12" customFormat="false" ht="15" hidden="false" customHeight="true" outlineLevel="0" collapsed="false">
      <c r="A12" s="8" t="s">
        <v>68</v>
      </c>
      <c r="B12" s="8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2" t="n">
        <f aca="false">D12*$J$5</f>
        <v>-11.3684210526316</v>
      </c>
      <c r="F12" s="22" t="n">
        <f aca="false">E12-C12</f>
        <v>-2059.36842105263</v>
      </c>
      <c r="G12" s="10" t="n">
        <f aca="false">IF(AND(C12=0,E12=0),0,IF(C12=0,"New",(E12-C12)/C12))</f>
        <v>-1.00555098684211</v>
      </c>
      <c r="H12" s="11" t="n">
        <f aca="false">SUMIFS('Source 2025'!$I:$I,'Source 2025'!$B:$B,$A12,'Source 2025'!$A:$A,"Amount (NIS)")</f>
        <v>110040.8</v>
      </c>
      <c r="I12" s="11" t="n">
        <f aca="false">SUMIFS('Source 2026'!$I:$I,'Source 2026'!$B:$B,$A12,'Source 2026'!$A:$A,"Amount (NIS)")</f>
        <v>-457.7</v>
      </c>
      <c r="J12" s="11" t="n">
        <f aca="false">I12*$J$5</f>
        <v>-578.147368421053</v>
      </c>
      <c r="K12" s="11" t="n">
        <f aca="false">J12-H12</f>
        <v>-110618.947368421</v>
      </c>
      <c r="L12" s="10" t="n">
        <f aca="false">IF(AND(H12=0,J12=0),0,IF(H12=0,"New",(J12-H12)/H12))</f>
        <v>-1.00525393643468</v>
      </c>
    </row>
    <row r="13" customFormat="false" ht="15" hidden="false" customHeight="true" outlineLevel="0" collapsed="false">
      <c r="A13" s="8" t="s">
        <v>83</v>
      </c>
      <c r="B13" s="8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2" t="n">
        <f aca="false">D13*$J$5</f>
        <v>9784.42105263158</v>
      </c>
      <c r="F13" s="22" t="n">
        <f aca="false">E13-C13</f>
        <v>-1897.57894736842</v>
      </c>
      <c r="G13" s="10" t="n">
        <f aca="false">IF(AND(C13=0,E13=0),0,IF(C13=0,"New",(E13-C13)/C13))</f>
        <v>-0.162436136566377</v>
      </c>
      <c r="H13" s="11" t="n">
        <f aca="false">SUMIFS('Source 2025'!$I:$I,'Source 2025'!$B:$B,$A13,'Source 2025'!$A:$A,"Amount (NIS)")</f>
        <v>302519</v>
      </c>
      <c r="I13" s="11" t="n">
        <f aca="false">SUMIFS('Source 2026'!$I:$I,'Source 2026'!$B:$B,$A13,'Source 2026'!$A:$A,"Amount (NIS)")</f>
        <v>203753.2</v>
      </c>
      <c r="J13" s="11" t="n">
        <f aca="false">I13*$J$5</f>
        <v>257372.463157895</v>
      </c>
      <c r="K13" s="11" t="n">
        <f aca="false">J13-H13</f>
        <v>-45146.5368421053</v>
      </c>
      <c r="L13" s="10" t="n">
        <f aca="false">IF(AND(H13=0,J13=0),0,IF(H13=0,"New",(J13-H13)/H13))</f>
        <v>-0.149235376429597</v>
      </c>
    </row>
    <row r="14" customFormat="false" ht="15" hidden="false" customHeight="true" outlineLevel="0" collapsed="false">
      <c r="A14" s="8" t="s">
        <v>67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2" t="n">
        <f aca="false">D14*$J$5</f>
        <v>7585.26315789474</v>
      </c>
      <c r="F14" s="22" t="n">
        <f aca="false">E14-C14</f>
        <v>-1437.73684210526</v>
      </c>
      <c r="G14" s="10" t="n">
        <f aca="false">IF(AND(C14=0,E14=0),0,IF(C14=0,"New",(E14-C14)/C14))</f>
        <v>-0.159341332384491</v>
      </c>
      <c r="H14" s="11" t="n">
        <f aca="false">SUMIFS('Source 2025'!$I:$I,'Source 2025'!$B:$B,$A14,'Source 2025'!$A:$A,"Amount (NIS)")</f>
        <v>296880.7</v>
      </c>
      <c r="I14" s="11" t="n">
        <f aca="false">SUMIFS('Source 2026'!$I:$I,'Source 2026'!$B:$B,$A14,'Source 2026'!$A:$A,"Amount (NIS)")</f>
        <v>199190.1</v>
      </c>
      <c r="J14" s="11" t="n">
        <f aca="false">I14*$J$5</f>
        <v>251608.547368421</v>
      </c>
      <c r="K14" s="11" t="n">
        <f aca="false">J14-H14</f>
        <v>-45272.152631579</v>
      </c>
      <c r="L14" s="10" t="n">
        <f aca="false">IF(AND(H14=0,J14=0),0,IF(H14=0,"New",(J14-H14)/H14))</f>
        <v>-0.152492744161473</v>
      </c>
    </row>
    <row r="15" customFormat="false" ht="15" hidden="false" customHeight="true" outlineLevel="0" collapsed="false">
      <c r="A15" s="8" t="s">
        <v>69</v>
      </c>
      <c r="B15" s="8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2" t="n">
        <f aca="false">D15*$J$5</f>
        <v>1960.42105263158</v>
      </c>
      <c r="F15" s="22" t="n">
        <f aca="false">E15-C15</f>
        <v>1960.42105263158</v>
      </c>
      <c r="G15" s="10" t="str">
        <f aca="false">IF(AND(C15=0,E15=0),0,IF(C15=0,"New",(E15-C15)/C15))</f>
        <v>New</v>
      </c>
      <c r="H15" s="11" t="n">
        <f aca="false">SUMIFS('Source 2025'!$I:$I,'Source 2025'!$B:$B,$A15,'Source 2025'!$A:$A,"Amount (NIS)")</f>
        <v>0</v>
      </c>
      <c r="I15" s="11" t="n">
        <f aca="false">SUMIFS('Source 2026'!$I:$I,'Source 2026'!$B:$B,$A15,'Source 2026'!$A:$A,"Amount (NIS)")</f>
        <v>84761</v>
      </c>
      <c r="J15" s="11" t="n">
        <f aca="false">I15*$J$5</f>
        <v>107066.526315789</v>
      </c>
      <c r="K15" s="11" t="n">
        <f aca="false">J15-H15</f>
        <v>107066.526315789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2" t="n">
        <f aca="false">D16*$J$5</f>
        <v>5821.89473684211</v>
      </c>
      <c r="F16" s="22" t="n">
        <f aca="false">E16-C16</f>
        <v>-1050.1052631579</v>
      </c>
      <c r="G16" s="10" t="n">
        <f aca="false">IF(AND(C16=0,E16=0),0,IF(C16=0,"New",(E16-C16)/C16))</f>
        <v>-0.152809264138227</v>
      </c>
      <c r="H16" s="11" t="n">
        <f aca="false">SUMIFS('Source 2025'!$I:$I,'Source 2025'!$B:$B,$A16,'Source 2025'!$A:$A,"Amount (NIS)")</f>
        <v>260017.5</v>
      </c>
      <c r="I16" s="11" t="n">
        <f aca="false">SUMIFS('Source 2026'!$I:$I,'Source 2026'!$B:$B,$A16,'Source 2026'!$A:$A,"Amount (NIS)")</f>
        <v>176444.8</v>
      </c>
      <c r="J16" s="11" t="n">
        <f aca="false">I16*$J$5</f>
        <v>222877.642105263</v>
      </c>
      <c r="K16" s="11" t="n">
        <f aca="false">J16-H16</f>
        <v>-37139.8578947369</v>
      </c>
      <c r="L16" s="10" t="n">
        <f aca="false">IF(AND(H16=0,J16=0),0,IF(H16=0,"New",(J16-H16)/H16))</f>
        <v>-0.14283599332636</v>
      </c>
    </row>
    <row r="17" customFormat="false" ht="15" hidden="false" customHeight="true" outlineLevel="0" collapsed="false">
      <c r="A17" s="8" t="s">
        <v>76</v>
      </c>
      <c r="B17" s="8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2" t="n">
        <f aca="false">D17*$J$5</f>
        <v>10121.6842105263</v>
      </c>
      <c r="F17" s="22" t="n">
        <f aca="false">E17-C17</f>
        <v>-983.315789473685</v>
      </c>
      <c r="G17" s="10" t="n">
        <f aca="false">IF(AND(C17=0,E17=0),0,IF(C17=0,"New",(E17-C17)/C17))</f>
        <v>-0.088547121969715</v>
      </c>
      <c r="H17" s="11" t="n">
        <f aca="false">SUMIFS('Source 2025'!$I:$I,'Source 2025'!$B:$B,$A17,'Source 2025'!$A:$A,"Amount (NIS)")</f>
        <v>287948.7</v>
      </c>
      <c r="I17" s="11" t="n">
        <f aca="false">SUMIFS('Source 2026'!$I:$I,'Source 2026'!$B:$B,$A17,'Source 2026'!$A:$A,"Amount (NIS)")</f>
        <v>209745.6</v>
      </c>
      <c r="J17" s="11" t="n">
        <f aca="false">I17*$J$5</f>
        <v>264941.810526316</v>
      </c>
      <c r="K17" s="11" t="n">
        <f aca="false">J17-H17</f>
        <v>-23006.8894736843</v>
      </c>
      <c r="L17" s="10" t="n">
        <f aca="false">IF(AND(H17=0,J17=0),0,IF(H17=0,"New",(J17-H17)/H17))</f>
        <v>-0.0798992649513064</v>
      </c>
    </row>
    <row r="18" customFormat="false" ht="15" hidden="false" customHeight="true" outlineLevel="0" collapsed="false">
      <c r="A18" s="8" t="s">
        <v>84</v>
      </c>
      <c r="B18" s="8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2" t="n">
        <f aca="false">D18*$J$5</f>
        <v>2261.05263157895</v>
      </c>
      <c r="F18" s="22" t="n">
        <f aca="false">E18-C18</f>
        <v>1523.05263157895</v>
      </c>
      <c r="G18" s="10" t="n">
        <f aca="false">IF(AND(C18=0,E18=0),0,IF(C18=0,"New",(E18-C18)/C18))</f>
        <v>2.06375695335901</v>
      </c>
      <c r="H18" s="11" t="n">
        <f aca="false">SUMIFS('Source 2025'!$I:$I,'Source 2025'!$B:$B,$A18,'Source 2025'!$A:$A,"Amount (NIS)")</f>
        <v>46423.4</v>
      </c>
      <c r="I18" s="11" t="n">
        <f aca="false">SUMIFS('Source 2026'!$I:$I,'Source 2026'!$B:$B,$A18,'Source 2026'!$A:$A,"Amount (NIS)")</f>
        <v>116307.2</v>
      </c>
      <c r="J18" s="11" t="n">
        <f aca="false">I18*$J$5</f>
        <v>146914.357894737</v>
      </c>
      <c r="K18" s="11" t="n">
        <f aca="false">J18-H18</f>
        <v>100490.957894737</v>
      </c>
      <c r="L18" s="10" t="n">
        <f aca="false">IF(AND(H18=0,J18=0),0,IF(H18=0,"New",(J18-H18)/H18))</f>
        <v>2.16466174159447</v>
      </c>
    </row>
    <row r="19" customFormat="false" ht="15" hidden="false" customHeight="true" outlineLevel="0" collapsed="false">
      <c r="A19" s="8" t="s">
        <v>103</v>
      </c>
      <c r="B19" s="8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2" t="n">
        <f aca="false">D19*$J$5</f>
        <v>4198.73684210526</v>
      </c>
      <c r="F19" s="22" t="n">
        <f aca="false">E19-C19</f>
        <v>-1314.26315789474</v>
      </c>
      <c r="G19" s="10" t="n">
        <f aca="false">IF(AND(C19=0,E19=0),0,IF(C19=0,"New",(E19-C19)/C19))</f>
        <v>-0.238393462342597</v>
      </c>
      <c r="H19" s="11" t="n">
        <f aca="false">SUMIFS('Source 2025'!$I:$I,'Source 2025'!$B:$B,$A19,'Source 2025'!$A:$A,"Amount (NIS)")</f>
        <v>173295.8</v>
      </c>
      <c r="I19" s="11" t="n">
        <f aca="false">SUMIFS('Source 2026'!$I:$I,'Source 2026'!$B:$B,$A19,'Source 2026'!$A:$A,"Amount (NIS)")</f>
        <v>105234.2</v>
      </c>
      <c r="J19" s="11" t="n">
        <f aca="false">I19*$J$5</f>
        <v>132927.410526316</v>
      </c>
      <c r="K19" s="11" t="n">
        <f aca="false">J19-H19</f>
        <v>-40368.3894736842</v>
      </c>
      <c r="L19" s="10" t="n">
        <f aca="false">IF(AND(H19=0,J19=0),0,IF(H19=0,"New",(J19-H19)/H19))</f>
        <v>-0.232944996206972</v>
      </c>
    </row>
    <row r="20" customFormat="false" ht="15" hidden="false" customHeight="true" outlineLevel="0" collapsed="false">
      <c r="A20" s="8" t="s">
        <v>183</v>
      </c>
      <c r="B20" s="8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2" t="n">
        <f aca="false">D20*$J$5</f>
        <v>9006.31578947368</v>
      </c>
      <c r="F20" s="22" t="n">
        <f aca="false">E20-C20</f>
        <v>-344.684210526317</v>
      </c>
      <c r="G20" s="10" t="n">
        <f aca="false">IF(AND(C20=0,E20=0),0,IF(C20=0,"New",(E20-C20)/C20))</f>
        <v>-0.0368606791280416</v>
      </c>
      <c r="H20" s="11" t="n">
        <f aca="false">SUMIFS('Source 2025'!$I:$I,'Source 2025'!$B:$B,$A20,'Source 2025'!$A:$A,"Amount (NIS)")</f>
        <v>290388.7</v>
      </c>
      <c r="I20" s="11" t="n">
        <f aca="false">SUMIFS('Source 2026'!$I:$I,'Source 2026'!$B:$B,$A20,'Source 2026'!$A:$A,"Amount (NIS)")</f>
        <v>222926.7</v>
      </c>
      <c r="J20" s="11" t="n">
        <f aca="false">I20*$J$5</f>
        <v>281591.621052632</v>
      </c>
      <c r="K20" s="11" t="n">
        <f aca="false">J20-H20</f>
        <v>-8797.07894736843</v>
      </c>
      <c r="L20" s="10" t="n">
        <f aca="false">IF(AND(H20=0,J20=0),0,IF(H20=0,"New",(J20-H20)/H20))</f>
        <v>-0.0302941503831534</v>
      </c>
    </row>
    <row r="21" customFormat="false" ht="15" hidden="false" customHeight="true" outlineLevel="0" collapsed="false">
      <c r="A21" s="8" t="s">
        <v>78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2" t="n">
        <f aca="false">D21*$J$5</f>
        <v>1794.94736842105</v>
      </c>
      <c r="F21" s="22" t="n">
        <f aca="false">E21-C21</f>
        <v>-403.052631578948</v>
      </c>
      <c r="G21" s="10" t="n">
        <f aca="false">IF(AND(C21=0,E21=0),0,IF(C21=0,"New",(E21-C21)/C21))</f>
        <v>-0.183372443848475</v>
      </c>
      <c r="H21" s="11" t="n">
        <f aca="false">SUMIFS('Source 2025'!$I:$I,'Source 2025'!$B:$B,$A21,'Source 2025'!$A:$A,"Amount (NIS)")</f>
        <v>181024.5</v>
      </c>
      <c r="I21" s="11" t="n">
        <f aca="false">SUMIFS('Source 2026'!$I:$I,'Source 2026'!$B:$B,$A21,'Source 2026'!$A:$A,"Amount (NIS)")</f>
        <v>117841.5</v>
      </c>
      <c r="J21" s="11" t="n">
        <f aca="false">I21*$J$5</f>
        <v>148852.421052632</v>
      </c>
      <c r="K21" s="11" t="n">
        <f aca="false">J21-H21</f>
        <v>-32172.0789473684</v>
      </c>
      <c r="L21" s="10" t="n">
        <f aca="false">IF(AND(H21=0,J21=0),0,IF(H21=0,"New",(J21-H21)/H21))</f>
        <v>-0.177722236202108</v>
      </c>
    </row>
    <row r="22" customFormat="false" ht="15" hidden="false" customHeight="true" outlineLevel="0" collapsed="false">
      <c r="A22" s="8" t="s">
        <v>77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2" t="n">
        <f aca="false">D22*$J$5</f>
        <v>5005.89473684211</v>
      </c>
      <c r="F22" s="22" t="n">
        <f aca="false">E22-C22</f>
        <v>117.894736842105</v>
      </c>
      <c r="G22" s="10" t="n">
        <f aca="false">IF(AND(C22=0,E22=0),0,IF(C22=0,"New",(E22-C22)/C22))</f>
        <v>0.0241192178482211</v>
      </c>
      <c r="H22" s="11" t="n">
        <f aca="false">SUMIFS('Source 2025'!$I:$I,'Source 2025'!$B:$B,$A22,'Source 2025'!$A:$A,"Amount (NIS)")</f>
        <v>331446.1</v>
      </c>
      <c r="I22" s="11" t="n">
        <f aca="false">SUMIFS('Source 2026'!$I:$I,'Source 2026'!$B:$B,$A22,'Source 2026'!$A:$A,"Amount (NIS)")</f>
        <v>269878.4</v>
      </c>
      <c r="J22" s="11" t="n">
        <f aca="false">I22*$J$5</f>
        <v>340899.031578947</v>
      </c>
      <c r="K22" s="11" t="n">
        <f aca="false">J22-H22</f>
        <v>9452.93157894741</v>
      </c>
      <c r="L22" s="10" t="n">
        <f aca="false">IF(AND(H22=0,J22=0),0,IF(H22=0,"New",(J22-H22)/H22))</f>
        <v>0.0285202679378258</v>
      </c>
    </row>
    <row r="23" customFormat="false" ht="15" hidden="false" customHeight="true" outlineLevel="0" collapsed="false">
      <c r="A23" s="8" t="s">
        <v>88</v>
      </c>
      <c r="B23" s="8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2" t="n">
        <f aca="false">D23*$J$5</f>
        <v>5679.15789473684</v>
      </c>
      <c r="F23" s="22" t="n">
        <f aca="false">E23-C23</f>
        <v>-1133.84210526316</v>
      </c>
      <c r="G23" s="10" t="n">
        <f aca="false">IF(AND(C23=0,E23=0),0,IF(C23=0,"New",(E23-C23)/C23))</f>
        <v>-0.166423323831375</v>
      </c>
      <c r="H23" s="11" t="n">
        <f aca="false">SUMIFS('Source 2025'!$I:$I,'Source 2025'!$B:$B,$A23,'Source 2025'!$A:$A,"Amount (NIS)")</f>
        <v>177028.3</v>
      </c>
      <c r="I23" s="11" t="n">
        <f aca="false">SUMIFS('Source 2026'!$I:$I,'Source 2026'!$B:$B,$A23,'Source 2026'!$A:$A,"Amount (NIS)")</f>
        <v>118238.6</v>
      </c>
      <c r="J23" s="11" t="n">
        <f aca="false">I23*$J$5</f>
        <v>149354.021052632</v>
      </c>
      <c r="K23" s="11" t="n">
        <f aca="false">J23-H23</f>
        <v>-27674.2789473684</v>
      </c>
      <c r="L23" s="10" t="n">
        <f aca="false">IF(AND(H23=0,J23=0),0,IF(H23=0,"New",(J23-H23)/H23))</f>
        <v>-0.156326863825549</v>
      </c>
    </row>
    <row r="24" customFormat="false" ht="15" hidden="false" customHeight="true" outlineLevel="0" collapsed="false">
      <c r="A24" s="8" t="s">
        <v>89</v>
      </c>
      <c r="B24" s="8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2" t="n">
        <f aca="false">D24*$J$5</f>
        <v>5060.21052631579</v>
      </c>
      <c r="F24" s="22" t="n">
        <f aca="false">E24-C24</f>
        <v>-1198.78947368421</v>
      </c>
      <c r="G24" s="10" t="n">
        <f aca="false">IF(AND(C24=0,E24=0),0,IF(C24=0,"New",(E24-C24)/C24))</f>
        <v>-0.191530511852406</v>
      </c>
      <c r="H24" s="11" t="n">
        <f aca="false">SUMIFS('Source 2025'!$I:$I,'Source 2025'!$B:$B,$A24,'Source 2025'!$A:$A,"Amount (NIS)")</f>
        <v>162645.6</v>
      </c>
      <c r="I24" s="11" t="n">
        <f aca="false">SUMIFS('Source 2026'!$I:$I,'Source 2026'!$B:$B,$A24,'Source 2026'!$A:$A,"Amount (NIS)")</f>
        <v>105352.3</v>
      </c>
      <c r="J24" s="11" t="n">
        <f aca="false">I24*$J$5</f>
        <v>133076.589473684</v>
      </c>
      <c r="K24" s="11" t="n">
        <f aca="false">J24-H24</f>
        <v>-29569.0105263158</v>
      </c>
      <c r="L24" s="10" t="n">
        <f aca="false">IF(AND(H24=0,J24=0),0,IF(H24=0,"New",(J24-H24)/H24))</f>
        <v>-0.18180024867759</v>
      </c>
    </row>
    <row r="25" customFormat="false" ht="15" hidden="false" customHeight="true" outlineLevel="0" collapsed="false">
      <c r="A25" s="8" t="s">
        <v>162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2" t="n">
        <f aca="false">D25*$J$5</f>
        <v>1265.68421052632</v>
      </c>
      <c r="F25" s="22" t="n">
        <f aca="false">E25-C25</f>
        <v>-330.315789473684</v>
      </c>
      <c r="G25" s="10" t="n">
        <f aca="false">IF(AND(C25=0,E25=0),0,IF(C25=0,"New",(E25-C25)/C25))</f>
        <v>-0.206964780371983</v>
      </c>
      <c r="H25" s="11" t="n">
        <f aca="false">SUMIFS('Source 2025'!$I:$I,'Source 2025'!$B:$B,$A25,'Source 2025'!$A:$A,"Amount (NIS)")</f>
        <v>147542.2</v>
      </c>
      <c r="I25" s="11" t="n">
        <f aca="false">SUMIFS('Source 2026'!$I:$I,'Source 2026'!$B:$B,$A25,'Source 2026'!$A:$A,"Amount (NIS)")</f>
        <v>94468</v>
      </c>
      <c r="J25" s="11" t="n">
        <f aca="false">I25*$J$5</f>
        <v>119328</v>
      </c>
      <c r="K25" s="11" t="n">
        <f aca="false">J25-H25</f>
        <v>-28214.2</v>
      </c>
      <c r="L25" s="10" t="n">
        <f aca="false">IF(AND(H25=0,J25=0),0,IF(H25=0,"New",(J25-H25)/H25))</f>
        <v>-0.191228001209146</v>
      </c>
    </row>
    <row r="26" customFormat="false" ht="15" hidden="false" customHeight="true" outlineLevel="0" collapsed="false">
      <c r="A26" s="8" t="s">
        <v>97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2" t="n">
        <f aca="false">D26*$J$5</f>
        <v>1263.15789473684</v>
      </c>
      <c r="F26" s="22" t="n">
        <f aca="false">E26-C26</f>
        <v>-332.842105263158</v>
      </c>
      <c r="G26" s="10" t="n">
        <f aca="false">IF(AND(C26=0,E26=0),0,IF(C26=0,"New",(E26-C26)/C26))</f>
        <v>-0.208547685001979</v>
      </c>
      <c r="H26" s="11" t="n">
        <f aca="false">SUMIFS('Source 2025'!$I:$I,'Source 2025'!$B:$B,$A26,'Source 2025'!$A:$A,"Amount (NIS)")</f>
        <v>144702.3</v>
      </c>
      <c r="I26" s="11" t="n">
        <f aca="false">SUMIFS('Source 2026'!$I:$I,'Source 2026'!$B:$B,$A26,'Source 2026'!$A:$A,"Amount (NIS)")</f>
        <v>91878</v>
      </c>
      <c r="J26" s="11" t="n">
        <f aca="false">I26*$J$5</f>
        <v>116056.421052632</v>
      </c>
      <c r="K26" s="11" t="n">
        <f aca="false">J26-H26</f>
        <v>-28645.8789473684</v>
      </c>
      <c r="L26" s="10" t="n">
        <f aca="false">IF(AND(H26=0,J26=0),0,IF(H26=0,"New",(J26-H26)/H26))</f>
        <v>-0.197964226880764</v>
      </c>
    </row>
    <row r="27" customFormat="false" ht="15" hidden="false" customHeight="true" outlineLevel="0" collapsed="false">
      <c r="A27" s="8" t="s">
        <v>220</v>
      </c>
      <c r="B27" s="8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2" t="n">
        <f aca="false">D27*$J$5</f>
        <v>1674.94736842105</v>
      </c>
      <c r="F27" s="22" t="n">
        <f aca="false">E27-C27</f>
        <v>-231.052631578948</v>
      </c>
      <c r="G27" s="10" t="n">
        <f aca="false">IF(AND(C27=0,E27=0),0,IF(C27=0,"New",(E27-C27)/C27))</f>
        <v>-0.121223836085492</v>
      </c>
      <c r="H27" s="11" t="n">
        <f aca="false">SUMIFS('Source 2025'!$I:$I,'Source 2025'!$B:$B,$A27,'Source 2025'!$A:$A,"Amount (NIS)")</f>
        <v>176482.5</v>
      </c>
      <c r="I27" s="11" t="n">
        <f aca="false">SUMIFS('Source 2026'!$I:$I,'Source 2026'!$B:$B,$A27,'Source 2026'!$A:$A,"Amount (NIS)")</f>
        <v>124925.3</v>
      </c>
      <c r="J27" s="11" t="n">
        <f aca="false">I27*$J$5</f>
        <v>157800.378947368</v>
      </c>
      <c r="K27" s="11" t="n">
        <f aca="false">J27-H27</f>
        <v>-18682.1210526316</v>
      </c>
      <c r="L27" s="10" t="n">
        <f aca="false">IF(AND(H27=0,J27=0),0,IF(H27=0,"New",(J27-H27)/H27))</f>
        <v>-0.105858207202593</v>
      </c>
    </row>
    <row r="28" customFormat="false" ht="15" hidden="false" customHeight="true" outlineLevel="0" collapsed="false">
      <c r="A28" s="8" t="s">
        <v>80</v>
      </c>
      <c r="B28" s="8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2" t="n">
        <f aca="false">D28*$J$5</f>
        <v>2391.15789473684</v>
      </c>
      <c r="F28" s="22" t="n">
        <f aca="false">E28-C28</f>
        <v>-477.842105263158</v>
      </c>
      <c r="G28" s="10" t="n">
        <f aca="false">IF(AND(C28=0,E28=0),0,IF(C28=0,"New",(E28-C28)/C28))</f>
        <v>-0.166553539652547</v>
      </c>
      <c r="H28" s="11" t="n">
        <f aca="false">SUMIFS('Source 2025'!$I:$I,'Source 2025'!$B:$B,$A28,'Source 2025'!$A:$A,"Amount (NIS)")</f>
        <v>142560.8</v>
      </c>
      <c r="I28" s="11" t="n">
        <f aca="false">SUMIFS('Source 2026'!$I:$I,'Source 2026'!$B:$B,$A28,'Source 2026'!$A:$A,"Amount (NIS)")</f>
        <v>94031.4</v>
      </c>
      <c r="J28" s="11" t="n">
        <f aca="false">I28*$J$5</f>
        <v>118776.505263158</v>
      </c>
      <c r="K28" s="11" t="n">
        <f aca="false">J28-H28</f>
        <v>-23784.2947368421</v>
      </c>
      <c r="L28" s="10" t="n">
        <f aca="false">IF(AND(H28=0,J28=0),0,IF(H28=0,"New",(J28-H28)/H28))</f>
        <v>-0.166836148063438</v>
      </c>
    </row>
    <row r="29" customFormat="false" ht="15" hidden="false" customHeight="true" outlineLevel="0" collapsed="false">
      <c r="A29" s="8" t="s">
        <v>114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2" t="n">
        <f aca="false">D29*$J$5</f>
        <v>5530.10526315789</v>
      </c>
      <c r="F29" s="22" t="n">
        <f aca="false">E29-C29</f>
        <v>-214.894736842106</v>
      </c>
      <c r="G29" s="10" t="n">
        <f aca="false">IF(AND(C29=0,E29=0),0,IF(C29=0,"New",(E29-C29)/C29))</f>
        <v>-0.0374055242545006</v>
      </c>
      <c r="H29" s="11" t="n">
        <f aca="false">SUMIFS('Source 2025'!$I:$I,'Source 2025'!$B:$B,$A29,'Source 2025'!$A:$A,"Amount (NIS)")</f>
        <v>212254.7</v>
      </c>
      <c r="I29" s="11" t="n">
        <f aca="false">SUMIFS('Source 2026'!$I:$I,'Source 2026'!$B:$B,$A29,'Source 2026'!$A:$A,"Amount (NIS)")</f>
        <v>164101.8</v>
      </c>
      <c r="J29" s="11" t="n">
        <f aca="false">I29*$J$5</f>
        <v>207286.484210526</v>
      </c>
      <c r="K29" s="11" t="n">
        <f aca="false">J29-H29</f>
        <v>-4968.21578947373</v>
      </c>
      <c r="L29" s="10" t="n">
        <f aca="false">IF(AND(H29=0,J29=0),0,IF(H29=0,"New",(J29-H29)/H29))</f>
        <v>-0.023406858785571</v>
      </c>
    </row>
    <row r="30" customFormat="false" ht="15" hidden="false" customHeight="true" outlineLevel="0" collapsed="false">
      <c r="A30" s="8" t="s">
        <v>85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2" t="n">
        <f aca="false">D30*$J$5</f>
        <v>4519.57894736842</v>
      </c>
      <c r="F30" s="22" t="n">
        <f aca="false">E30-C30</f>
        <v>-269.421052631579</v>
      </c>
      <c r="G30" s="10" t="n">
        <f aca="false">IF(AND(C30=0,E30=0),0,IF(C30=0,"New",(E30-C30)/C30))</f>
        <v>-0.0562583112615534</v>
      </c>
      <c r="H30" s="11" t="n">
        <f aca="false">SUMIFS('Source 2025'!$I:$I,'Source 2025'!$B:$B,$A30,'Source 2025'!$A:$A,"Amount (NIS)")</f>
        <v>177353.6</v>
      </c>
      <c r="I30" s="11" t="n">
        <f aca="false">SUMIFS('Source 2026'!$I:$I,'Source 2026'!$B:$B,$A30,'Source 2026'!$A:$A,"Amount (NIS)")</f>
        <v>134216.9</v>
      </c>
      <c r="J30" s="11" t="n">
        <f aca="false">I30*$J$5</f>
        <v>169537.136842105</v>
      </c>
      <c r="K30" s="11" t="n">
        <f aca="false">J30-H30</f>
        <v>-7816.46315789476</v>
      </c>
      <c r="L30" s="10" t="n">
        <f aca="false">IF(AND(H30=0,J30=0),0,IF(H30=0,"New",(J30-H30)/H30))</f>
        <v>-0.0440727628753787</v>
      </c>
    </row>
    <row r="31" customFormat="false" ht="15" hidden="false" customHeight="true" outlineLevel="0" collapsed="false">
      <c r="A31" s="8" t="s">
        <v>338</v>
      </c>
      <c r="B31" s="8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2" t="n">
        <f aca="false">D31*$J$5</f>
        <v>1093.89473684211</v>
      </c>
      <c r="F31" s="22" t="n">
        <f aca="false">E31-C31</f>
        <v>-188.105263157895</v>
      </c>
      <c r="G31" s="10" t="n">
        <f aca="false">IF(AND(C31=0,E31=0),0,IF(C31=0,"New",(E31-C31)/C31))</f>
        <v>-0.146727974382133</v>
      </c>
      <c r="H31" s="11" t="n">
        <f aca="false">SUMIFS('Source 2025'!$I:$I,'Source 2025'!$B:$B,$A31,'Source 2025'!$A:$A,"Amount (NIS)")</f>
        <v>118489.3</v>
      </c>
      <c r="I31" s="11" t="n">
        <f aca="false">SUMIFS('Source 2026'!$I:$I,'Source 2026'!$B:$B,$A31,'Source 2026'!$A:$A,"Amount (NIS)")</f>
        <v>81426.9</v>
      </c>
      <c r="J31" s="11" t="n">
        <f aca="false">I31*$J$5</f>
        <v>102855.031578947</v>
      </c>
      <c r="K31" s="11" t="n">
        <f aca="false">J31-H31</f>
        <v>-15634.2684210527</v>
      </c>
      <c r="L31" s="10" t="n">
        <f aca="false">IF(AND(H31=0,J31=0),0,IF(H31=0,"New",(J31-H31)/H31))</f>
        <v>-0.131946668779819</v>
      </c>
    </row>
    <row r="32" customFormat="false" ht="15" hidden="false" customHeight="true" outlineLevel="0" collapsed="false">
      <c r="A32" s="8" t="s">
        <v>73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2" t="n">
        <f aca="false">D32*$J$5</f>
        <v>1539.78947368421</v>
      </c>
      <c r="F32" s="22" t="n">
        <f aca="false">E32-C32</f>
        <v>-59.2105263157896</v>
      </c>
      <c r="G32" s="10" t="n">
        <f aca="false">IF(AND(C32=0,E32=0),0,IF(C32=0,"New",(E32-C32)/C32))</f>
        <v>-0.037029722523946</v>
      </c>
      <c r="H32" s="11" t="n">
        <f aca="false">SUMIFS('Source 2025'!$I:$I,'Source 2025'!$B:$B,$A32,'Source 2025'!$A:$A,"Amount (NIS)")</f>
        <v>131658.1</v>
      </c>
      <c r="I32" s="11" t="n">
        <f aca="false">SUMIFS('Source 2026'!$I:$I,'Source 2026'!$B:$B,$A32,'Source 2026'!$A:$A,"Amount (NIS)")</f>
        <v>100335.9</v>
      </c>
      <c r="J32" s="11" t="n">
        <f aca="false">I32*$J$5</f>
        <v>126740.084210526</v>
      </c>
      <c r="K32" s="11" t="n">
        <f aca="false">J32-H32</f>
        <v>-4918.01578947371</v>
      </c>
      <c r="L32" s="10" t="n">
        <f aca="false">IF(AND(H32=0,J32=0),0,IF(H32=0,"New",(J32-H32)/H32))</f>
        <v>-0.0373544490576251</v>
      </c>
    </row>
    <row r="33" customFormat="false" ht="15" hidden="false" customHeight="true" outlineLevel="0" collapsed="false">
      <c r="A33" s="8" t="s">
        <v>102</v>
      </c>
      <c r="B33" s="8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2" t="n">
        <f aca="false">D33*$J$5</f>
        <v>2935.57894736842</v>
      </c>
      <c r="F33" s="22" t="n">
        <f aca="false">E33-C33</f>
        <v>-494.421052631579</v>
      </c>
      <c r="G33" s="10" t="n">
        <f aca="false">IF(AND(C33=0,E33=0),0,IF(C33=0,"New",(E33-C33)/C33))</f>
        <v>-0.144146079484425</v>
      </c>
      <c r="H33" s="11" t="n">
        <f aca="false">SUMIFS('Source 2025'!$I:$I,'Source 2025'!$B:$B,$A33,'Source 2025'!$A:$A,"Amount (NIS)")</f>
        <v>89082.3</v>
      </c>
      <c r="I33" s="11" t="n">
        <f aca="false">SUMIFS('Source 2026'!$I:$I,'Source 2026'!$B:$B,$A33,'Source 2026'!$A:$A,"Amount (NIS)")</f>
        <v>61292</v>
      </c>
      <c r="J33" s="11" t="n">
        <f aca="false">I33*$J$5</f>
        <v>77421.4736842105</v>
      </c>
      <c r="K33" s="11" t="n">
        <f aca="false">J33-H33</f>
        <v>-11660.8263157895</v>
      </c>
      <c r="L33" s="10" t="n">
        <f aca="false">IF(AND(H33=0,J33=0),0,IF(H33=0,"New",(J33-H33)/H33))</f>
        <v>-0.130899475157124</v>
      </c>
    </row>
    <row r="34" customFormat="false" ht="15" hidden="false" customHeight="true" outlineLevel="0" collapsed="false">
      <c r="A34" s="8" t="s">
        <v>72</v>
      </c>
      <c r="B34" s="8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2" t="n">
        <f aca="false">D34*$J$5</f>
        <v>188.210526315789</v>
      </c>
      <c r="F34" s="22" t="n">
        <f aca="false">E34-C34</f>
        <v>188.210526315789</v>
      </c>
      <c r="G34" s="10" t="str">
        <f aca="false">IF(AND(C34=0,E34=0),0,IF(C34=0,"New",(E34-C34)/C34))</f>
        <v>New</v>
      </c>
      <c r="H34" s="11" t="n">
        <f aca="false">SUMIFS('Source 2025'!$I:$I,'Source 2025'!$B:$B,$A34,'Source 2025'!$A:$A,"Amount (NIS)")</f>
        <v>0</v>
      </c>
      <c r="I34" s="11" t="n">
        <f aca="false">SUMIFS('Source 2026'!$I:$I,'Source 2026'!$B:$B,$A34,'Source 2026'!$A:$A,"Amount (NIS)")</f>
        <v>26893.1</v>
      </c>
      <c r="J34" s="11" t="n">
        <f aca="false">I34*$J$5</f>
        <v>33970.2315789474</v>
      </c>
      <c r="K34" s="11" t="n">
        <f aca="false">J34-H34</f>
        <v>33970.2315789474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118</v>
      </c>
      <c r="B35" s="8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2" t="n">
        <f aca="false">D35*$J$5</f>
        <v>1844.21052631579</v>
      </c>
      <c r="F35" s="22" t="n">
        <f aca="false">E35-C35</f>
        <v>-2155.78947368421</v>
      </c>
      <c r="G35" s="10" t="n">
        <f aca="false">IF(AND(C35=0,E35=0),0,IF(C35=0,"New",(E35-C35)/C35))</f>
        <v>-0.538947368421053</v>
      </c>
      <c r="H35" s="11" t="n">
        <f aca="false">SUMIFS('Source 2025'!$I:$I,'Source 2025'!$B:$B,$A35,'Source 2025'!$A:$A,"Amount (NIS)")</f>
        <v>41284.6</v>
      </c>
      <c r="I35" s="11" t="n">
        <f aca="false">SUMIFS('Source 2026'!$I:$I,'Source 2026'!$B:$B,$A35,'Source 2026'!$A:$A,"Amount (NIS)")</f>
        <v>15123.4</v>
      </c>
      <c r="J35" s="11" t="n">
        <f aca="false">I35*$J$5</f>
        <v>19103.2421052632</v>
      </c>
      <c r="K35" s="11" t="n">
        <f aca="false">J35-H35</f>
        <v>-22181.3578947368</v>
      </c>
      <c r="L35" s="10" t="n">
        <f aca="false">IF(AND(H35=0,J35=0),0,IF(H35=0,"New",(J35-H35)/H35))</f>
        <v>-0.537279225055755</v>
      </c>
    </row>
    <row r="36" customFormat="false" ht="15" hidden="false" customHeight="true" outlineLevel="0" collapsed="false">
      <c r="A36" s="8" t="s">
        <v>135</v>
      </c>
      <c r="B36" s="8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2" t="n">
        <f aca="false">D36*$J$5</f>
        <v>626.526315789474</v>
      </c>
      <c r="F36" s="22" t="n">
        <f aca="false">E36-C36</f>
        <v>526.526315789474</v>
      </c>
      <c r="G36" s="10" t="n">
        <f aca="false">IF(AND(C36=0,E36=0),0,IF(C36=0,"New",(E36-C36)/C36))</f>
        <v>5.26526315789474</v>
      </c>
      <c r="H36" s="11" t="n">
        <f aca="false">SUMIFS('Source 2025'!$I:$I,'Source 2025'!$B:$B,$A36,'Source 2025'!$A:$A,"Amount (NIS)")</f>
        <v>6000.1</v>
      </c>
      <c r="I36" s="11" t="n">
        <f aca="false">SUMIFS('Source 2026'!$I:$I,'Source 2026'!$B:$B,$A36,'Source 2026'!$A:$A,"Amount (NIS)")</f>
        <v>31792.8</v>
      </c>
      <c r="J36" s="11" t="n">
        <f aca="false">I36*$J$5</f>
        <v>40159.3263157895</v>
      </c>
      <c r="K36" s="11" t="n">
        <f aca="false">J36-H36</f>
        <v>34159.2263157895</v>
      </c>
      <c r="L36" s="10" t="n">
        <f aca="false">IF(AND(H36=0,J36=0),0,IF(H36=0,"New",(J36-H36)/H36))</f>
        <v>5.69310950080657</v>
      </c>
    </row>
    <row r="37" customFormat="false" ht="15" hidden="false" customHeight="true" outlineLevel="0" collapsed="false">
      <c r="A37" s="8" t="s">
        <v>133</v>
      </c>
      <c r="B37" s="8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2" t="n">
        <f aca="false">D37*$J$5</f>
        <v>971.368421052632</v>
      </c>
      <c r="F37" s="22" t="n">
        <f aca="false">E37-C37</f>
        <v>-267.631578947368</v>
      </c>
      <c r="G37" s="10" t="n">
        <f aca="false">IF(AND(C37=0,E37=0),0,IF(C37=0,"New",(E37-C37)/C37))</f>
        <v>-0.216006116987384</v>
      </c>
      <c r="H37" s="11" t="n">
        <f aca="false">SUMIFS('Source 2025'!$I:$I,'Source 2025'!$B:$B,$A37,'Source 2025'!$A:$A,"Amount (NIS)")</f>
        <v>64494.5</v>
      </c>
      <c r="I37" s="11" t="n">
        <f aca="false">SUMIFS('Source 2026'!$I:$I,'Source 2026'!$B:$B,$A37,'Source 2026'!$A:$A,"Amount (NIS)")</f>
        <v>40241</v>
      </c>
      <c r="J37" s="11" t="n">
        <f aca="false">I37*$J$5</f>
        <v>50830.7368421053</v>
      </c>
      <c r="K37" s="11" t="n">
        <f aca="false">J37-H37</f>
        <v>-13663.7631578947</v>
      </c>
      <c r="L37" s="10" t="n">
        <f aca="false">IF(AND(H37=0,J37=0),0,IF(H37=0,"New",(J37-H37)/H37))</f>
        <v>-0.211859354796064</v>
      </c>
    </row>
    <row r="38" customFormat="false" ht="15" hidden="false" customHeight="true" outlineLevel="0" collapsed="false">
      <c r="A38" s="8" t="s">
        <v>276</v>
      </c>
      <c r="B38" s="8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2" t="n">
        <f aca="false">D38*$J$5</f>
        <v>624</v>
      </c>
      <c r="F38" s="22" t="n">
        <f aca="false">E38-C38</f>
        <v>-397</v>
      </c>
      <c r="G38" s="10" t="n">
        <f aca="false">IF(AND(C38=0,E38=0),0,IF(C38=0,"New",(E38-C38)/C38))</f>
        <v>-0.388834476003918</v>
      </c>
      <c r="H38" s="11" t="n">
        <f aca="false">SUMIFS('Source 2025'!$I:$I,'Source 2025'!$B:$B,$A38,'Source 2025'!$A:$A,"Amount (NIS)")</f>
        <v>46100.5</v>
      </c>
      <c r="I38" s="11" t="n">
        <f aca="false">SUMIFS('Source 2026'!$I:$I,'Source 2026'!$B:$B,$A38,'Source 2026'!$A:$A,"Amount (NIS)")</f>
        <v>22307.3</v>
      </c>
      <c r="J38" s="11" t="n">
        <f aca="false">I38*$J$5</f>
        <v>28177.6421052632</v>
      </c>
      <c r="K38" s="11" t="n">
        <f aca="false">J38-H38</f>
        <v>-17922.8578947368</v>
      </c>
      <c r="L38" s="10" t="n">
        <f aca="false">IF(AND(H38=0,J38=0),0,IF(H38=0,"New",(J38-H38)/H38))</f>
        <v>-0.388777950233443</v>
      </c>
    </row>
    <row r="39" customFormat="false" ht="15" hidden="false" customHeight="true" outlineLevel="0" collapsed="false">
      <c r="A39" s="8" t="s">
        <v>95</v>
      </c>
      <c r="B39" s="8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2" t="n">
        <f aca="false">D39*$J$5</f>
        <v>1645.89473684211</v>
      </c>
      <c r="F39" s="22" t="n">
        <f aca="false">E39-C39</f>
        <v>-1023.10526315789</v>
      </c>
      <c r="G39" s="10" t="n">
        <f aca="false">IF(AND(C39=0,E39=0),0,IF(C39=0,"New",(E39-C39)/C39))</f>
        <v>-0.383329060756049</v>
      </c>
      <c r="H39" s="11" t="n">
        <f aca="false">SUMIFS('Source 2025'!$I:$I,'Source 2025'!$B:$B,$A39,'Source 2025'!$A:$A,"Amount (NIS)")</f>
        <v>45083.3</v>
      </c>
      <c r="I39" s="11" t="n">
        <f aca="false">SUMIFS('Source 2026'!$I:$I,'Source 2026'!$B:$B,$A39,'Source 2026'!$A:$A,"Amount (NIS)")</f>
        <v>22114.5</v>
      </c>
      <c r="J39" s="11" t="n">
        <f aca="false">I39*$J$5</f>
        <v>27934.1052631579</v>
      </c>
      <c r="K39" s="11" t="n">
        <f aca="false">J39-H39</f>
        <v>-17149.1947368421</v>
      </c>
      <c r="L39" s="10" t="n">
        <f aca="false">IF(AND(H39=0,J39=0),0,IF(H39=0,"New",(J39-H39)/H39))</f>
        <v>-0.380389073932967</v>
      </c>
    </row>
    <row r="40" customFormat="false" ht="15" hidden="false" customHeight="true" outlineLevel="0" collapsed="false">
      <c r="A40" s="8" t="s">
        <v>98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2" t="n">
        <f aca="false">D40*$J$5</f>
        <v>2021.05263157895</v>
      </c>
      <c r="F40" s="22" t="n">
        <f aca="false">E40-C40</f>
        <v>-306.947368421053</v>
      </c>
      <c r="G40" s="10" t="n">
        <f aca="false">IF(AND(C40=0,E40=0),0,IF(C40=0,"New",(E40-C40)/C40))</f>
        <v>-0.131850244167119</v>
      </c>
      <c r="H40" s="11" t="n">
        <f aca="false">SUMIFS('Source 2025'!$I:$I,'Source 2025'!$B:$B,$A40,'Source 2025'!$A:$A,"Amount (NIS)")</f>
        <v>73148</v>
      </c>
      <c r="I40" s="11" t="n">
        <f aca="false">SUMIFS('Source 2026'!$I:$I,'Source 2026'!$B:$B,$A40,'Source 2026'!$A:$A,"Amount (NIS)")</f>
        <v>50431.7</v>
      </c>
      <c r="J40" s="11" t="n">
        <f aca="false">I40*$J$5</f>
        <v>63703.2</v>
      </c>
      <c r="K40" s="11" t="n">
        <f aca="false">J40-H40</f>
        <v>-9444.80000000001</v>
      </c>
      <c r="L40" s="10" t="n">
        <f aca="false">IF(AND(H40=0,J40=0),0,IF(H40=0,"New",(J40-H40)/H40))</f>
        <v>-0.129119046317056</v>
      </c>
    </row>
    <row r="41" customFormat="false" ht="15" hidden="false" customHeight="true" outlineLevel="0" collapsed="false">
      <c r="A41" s="8" t="s">
        <v>75</v>
      </c>
      <c r="B41" s="8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2" t="n">
        <f aca="false">D41*$J$5</f>
        <v>2115.78947368421</v>
      </c>
      <c r="F41" s="22" t="n">
        <f aca="false">E41-C41</f>
        <v>-384.21052631579</v>
      </c>
      <c r="G41" s="10" t="n">
        <f aca="false">IF(AND(C41=0,E41=0),0,IF(C41=0,"New",(E41-C41)/C41))</f>
        <v>-0.153684210526316</v>
      </c>
      <c r="H41" s="11" t="n">
        <f aca="false">SUMIFS('Source 2025'!$I:$I,'Source 2025'!$B:$B,$A41,'Source 2025'!$A:$A,"Amount (NIS)")</f>
        <v>75752.2</v>
      </c>
      <c r="I41" s="11" t="n">
        <f aca="false">SUMIFS('Source 2026'!$I:$I,'Source 2026'!$B:$B,$A41,'Source 2026'!$A:$A,"Amount (NIS)")</f>
        <v>53058.3</v>
      </c>
      <c r="J41" s="11" t="n">
        <f aca="false">I41*$J$5</f>
        <v>67021.0105263158</v>
      </c>
      <c r="K41" s="11" t="n">
        <f aca="false">J41-H41</f>
        <v>-8731.18947368421</v>
      </c>
      <c r="L41" s="10" t="n">
        <f aca="false">IF(AND(H41=0,J41=0),0,IF(H41=0,"New",(J41-H41)/H41))</f>
        <v>-0.115259879893709</v>
      </c>
    </row>
    <row r="42" customFormat="false" ht="15" hidden="false" customHeight="true" outlineLevel="0" collapsed="false">
      <c r="A42" s="8" t="s">
        <v>197</v>
      </c>
      <c r="B42" s="8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2" t="n">
        <f aca="false">D42*$J$5</f>
        <v>-39.1578947368421</v>
      </c>
      <c r="F42" s="22" t="n">
        <f aca="false">E42-C42</f>
        <v>-298.157894736842</v>
      </c>
      <c r="G42" s="10" t="n">
        <f aca="false">IF(AND(C42=0,E42=0),0,IF(C42=0,"New",(E42-C42)/C42))</f>
        <v>-1.15118878276773</v>
      </c>
      <c r="H42" s="11" t="n">
        <f aca="false">SUMIFS('Source 2025'!$I:$I,'Source 2025'!$B:$B,$A42,'Source 2025'!$A:$A,"Amount (NIS)")</f>
        <v>18291</v>
      </c>
      <c r="I42" s="11" t="n">
        <f aca="false">SUMIFS('Source 2026'!$I:$I,'Source 2026'!$B:$B,$A42,'Source 2026'!$A:$A,"Amount (NIS)")</f>
        <v>-2165</v>
      </c>
      <c r="J42" s="11" t="n">
        <f aca="false">I42*$J$5</f>
        <v>-2734.73684210526</v>
      </c>
      <c r="K42" s="11" t="n">
        <f aca="false">J42-H42</f>
        <v>-21025.7368421053</v>
      </c>
      <c r="L42" s="10" t="n">
        <f aca="false">IF(AND(H42=0,J42=0),0,IF(H42=0,"New",(J42-H42)/H42))</f>
        <v>-1.14951270253705</v>
      </c>
    </row>
    <row r="43" customFormat="false" ht="15" hidden="false" customHeight="true" outlineLevel="0" collapsed="false">
      <c r="A43" s="8" t="s">
        <v>106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2" t="n">
        <f aca="false">D43*$J$5</f>
        <v>711.157894736842</v>
      </c>
      <c r="F43" s="22" t="n">
        <f aca="false">E43-C43</f>
        <v>-340.842105263158</v>
      </c>
      <c r="G43" s="10" t="n">
        <f aca="false">IF(AND(C43=0,E43=0),0,IF(C43=0,"New",(E43-C43)/C43))</f>
        <v>-0.323994396637983</v>
      </c>
      <c r="H43" s="11" t="n">
        <f aca="false">SUMIFS('Source 2025'!$I:$I,'Source 2025'!$B:$B,$A43,'Source 2025'!$A:$A,"Amount (NIS)")</f>
        <v>43432.7</v>
      </c>
      <c r="I43" s="11" t="n">
        <f aca="false">SUMIFS('Source 2026'!$I:$I,'Source 2026'!$B:$B,$A43,'Source 2026'!$A:$A,"Amount (NIS)")</f>
        <v>23392.6</v>
      </c>
      <c r="J43" s="11" t="n">
        <f aca="false">I43*$J$5</f>
        <v>29548.5473684211</v>
      </c>
      <c r="K43" s="11" t="n">
        <f aca="false">J43-H43</f>
        <v>-13884.1526315789</v>
      </c>
      <c r="L43" s="10" t="n">
        <f aca="false">IF(AND(H43=0,J43=0),0,IF(H43=0,"New",(J43-H43)/H43))</f>
        <v>-0.319670493236178</v>
      </c>
    </row>
    <row r="44" customFormat="false" ht="15" hidden="false" customHeight="true" outlineLevel="0" collapsed="false">
      <c r="A44" s="8" t="s">
        <v>96</v>
      </c>
      <c r="B44" s="8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2" t="n">
        <f aca="false">D44*$J$5</f>
        <v>898.105263157895</v>
      </c>
      <c r="F44" s="22" t="n">
        <f aca="false">E44-C44</f>
        <v>-301.894736842105</v>
      </c>
      <c r="G44" s="10" t="n">
        <f aca="false">IF(AND(C44=0,E44=0),0,IF(C44=0,"New",(E44-C44)/C44))</f>
        <v>-0.251578947368421</v>
      </c>
      <c r="H44" s="11" t="n">
        <f aca="false">SUMIFS('Source 2025'!$I:$I,'Source 2025'!$B:$B,$A44,'Source 2025'!$A:$A,"Amount (NIS)")</f>
        <v>48495.6</v>
      </c>
      <c r="I44" s="11" t="n">
        <f aca="false">SUMIFS('Source 2026'!$I:$I,'Source 2026'!$B:$B,$A44,'Source 2026'!$A:$A,"Amount (NIS)")</f>
        <v>28682.6</v>
      </c>
      <c r="J44" s="11" t="n">
        <f aca="false">I44*$J$5</f>
        <v>36230.6526315789</v>
      </c>
      <c r="K44" s="11" t="n">
        <f aca="false">J44-H44</f>
        <v>-12264.9473684211</v>
      </c>
      <c r="L44" s="10" t="n">
        <f aca="false">IF(AND(H44=0,J44=0),0,IF(H44=0,"New",(J44-H44)/H44))</f>
        <v>-0.252908457023339</v>
      </c>
    </row>
    <row r="45" customFormat="false" ht="15" hidden="false" customHeight="true" outlineLevel="0" collapsed="false">
      <c r="A45" s="8" t="s">
        <v>125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2" t="n">
        <f aca="false">D45*$J$5</f>
        <v>1506.94736842105</v>
      </c>
      <c r="F45" s="22" t="n">
        <f aca="false">E45-C45</f>
        <v>-437.052631578948</v>
      </c>
      <c r="G45" s="10" t="n">
        <f aca="false">IF(AND(C45=0,E45=0),0,IF(C45=0,"New",(E45-C45)/C45))</f>
        <v>-0.224821312540611</v>
      </c>
      <c r="H45" s="11" t="n">
        <f aca="false">SUMIFS('Source 2025'!$I:$I,'Source 2025'!$B:$B,$A45,'Source 2025'!$A:$A,"Amount (NIS)")</f>
        <v>50757.7</v>
      </c>
      <c r="I45" s="11" t="n">
        <f aca="false">SUMIFS('Source 2026'!$I:$I,'Source 2026'!$B:$B,$A45,'Source 2026'!$A:$A,"Amount (NIS)")</f>
        <v>31560.2</v>
      </c>
      <c r="J45" s="11" t="n">
        <f aca="false">I45*$J$5</f>
        <v>39865.5157894737</v>
      </c>
      <c r="K45" s="11" t="n">
        <f aca="false">J45-H45</f>
        <v>-10892.1842105263</v>
      </c>
      <c r="L45" s="10" t="n">
        <f aca="false">IF(AND(H45=0,J45=0),0,IF(H45=0,"New",(J45-H45)/H45))</f>
        <v>-0.214591760669343</v>
      </c>
    </row>
    <row r="46" customFormat="false" ht="15" hidden="false" customHeight="true" outlineLevel="0" collapsed="false">
      <c r="A46" s="8" t="s">
        <v>107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2" t="n">
        <f aca="false">D46*$J$5</f>
        <v>984</v>
      </c>
      <c r="F46" s="22" t="n">
        <f aca="false">E46-C46</f>
        <v>-266</v>
      </c>
      <c r="G46" s="10" t="n">
        <f aca="false">IF(AND(C46=0,E46=0),0,IF(C46=0,"New",(E46-C46)/C46))</f>
        <v>-0.2128</v>
      </c>
      <c r="H46" s="11" t="n">
        <f aca="false">SUMIFS('Source 2025'!$I:$I,'Source 2025'!$B:$B,$A46,'Source 2025'!$A:$A,"Amount (NIS)")</f>
        <v>49625.3</v>
      </c>
      <c r="I46" s="11" t="n">
        <f aca="false">SUMIFS('Source 2026'!$I:$I,'Source 2026'!$B:$B,$A46,'Source 2026'!$A:$A,"Amount (NIS)")</f>
        <v>31161.7</v>
      </c>
      <c r="J46" s="11" t="n">
        <f aca="false">I46*$J$5</f>
        <v>39362.1473684211</v>
      </c>
      <c r="K46" s="11" t="n">
        <f aca="false">J46-H46</f>
        <v>-10263.152631579</v>
      </c>
      <c r="L46" s="10" t="n">
        <f aca="false">IF(AND(H46=0,J46=0),0,IF(H46=0,"New",(J46-H46)/H46))</f>
        <v>-0.206812908568391</v>
      </c>
    </row>
    <row r="47" customFormat="false" ht="15" hidden="false" customHeight="true" outlineLevel="0" collapsed="false">
      <c r="A47" s="8" t="s">
        <v>259</v>
      </c>
      <c r="B47" s="8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2" t="n">
        <f aca="false">D47*$J$5</f>
        <v>584.842105263158</v>
      </c>
      <c r="F47" s="22" t="n">
        <f aca="false">E47-C47</f>
        <v>10.8421052631579</v>
      </c>
      <c r="G47" s="10" t="n">
        <f aca="false">IF(AND(C47=0,E47=0),0,IF(C47=0,"New",(E47-C47)/C47))</f>
        <v>0.0188886851274528</v>
      </c>
      <c r="H47" s="11" t="n">
        <f aca="false">SUMIFS('Source 2025'!$I:$I,'Source 2025'!$B:$B,$A47,'Source 2025'!$A:$A,"Amount (NIS)")</f>
        <v>92968.5</v>
      </c>
      <c r="I47" s="11" t="n">
        <f aca="false">SUMIFS('Source 2026'!$I:$I,'Source 2026'!$B:$B,$A47,'Source 2026'!$A:$A,"Amount (NIS)")</f>
        <v>75091.9</v>
      </c>
      <c r="J47" s="11" t="n">
        <f aca="false">I47*$J$5</f>
        <v>94852.9263157895</v>
      </c>
      <c r="K47" s="11" t="n">
        <f aca="false">J47-H47</f>
        <v>1884.42631578946</v>
      </c>
      <c r="L47" s="10" t="n">
        <f aca="false">IF(AND(H47=0,J47=0),0,IF(H47=0,"New",(J47-H47)/H47))</f>
        <v>0.020269514037437</v>
      </c>
    </row>
    <row r="48" customFormat="false" ht="15" hidden="false" customHeight="true" outlineLevel="0" collapsed="false">
      <c r="A48" s="8" t="s">
        <v>115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2" t="n">
        <f aca="false">D48*$J$5</f>
        <v>889.263157894737</v>
      </c>
      <c r="F48" s="22" t="n">
        <f aca="false">E48-C48</f>
        <v>-260.736842105263</v>
      </c>
      <c r="G48" s="10" t="n">
        <f aca="false">IF(AND(C48=0,E48=0),0,IF(C48=0,"New",(E48-C48)/C48))</f>
        <v>-0.226727688787185</v>
      </c>
      <c r="H48" s="11" t="n">
        <f aca="false">SUMIFS('Source 2025'!$I:$I,'Source 2025'!$B:$B,$A48,'Source 2025'!$A:$A,"Amount (NIS)")</f>
        <v>45598.1</v>
      </c>
      <c r="I48" s="11" t="n">
        <f aca="false">SUMIFS('Source 2026'!$I:$I,'Source 2026'!$B:$B,$A48,'Source 2026'!$A:$A,"Amount (NIS)")</f>
        <v>28209.3</v>
      </c>
      <c r="J48" s="11" t="n">
        <f aca="false">I48*$J$5</f>
        <v>35632.8</v>
      </c>
      <c r="K48" s="11" t="n">
        <f aca="false">J48-H48</f>
        <v>-9965.3</v>
      </c>
      <c r="L48" s="10" t="n">
        <f aca="false">IF(AND(H48=0,J48=0),0,IF(H48=0,"New",(J48-H48)/H48))</f>
        <v>-0.218546386801205</v>
      </c>
    </row>
    <row r="49" customFormat="false" ht="15" hidden="false" customHeight="true" outlineLevel="0" collapsed="false">
      <c r="A49" s="8" t="s">
        <v>116</v>
      </c>
      <c r="B49" s="8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2" t="n">
        <f aca="false">D49*$J$5</f>
        <v>1882.10526315789</v>
      </c>
      <c r="F49" s="22" t="n">
        <f aca="false">E49-C49</f>
        <v>-83.8947368421054</v>
      </c>
      <c r="G49" s="10" t="n">
        <f aca="false">IF(AND(C49=0,E49=0),0,IF(C49=0,"New",(E49-C49)/C49))</f>
        <v>-0.0426728061251808</v>
      </c>
      <c r="H49" s="11" t="n">
        <f aca="false">SUMIFS('Source 2025'!$I:$I,'Source 2025'!$B:$B,$A49,'Source 2025'!$A:$A,"Amount (NIS)")</f>
        <v>68574.3</v>
      </c>
      <c r="I49" s="11" t="n">
        <f aca="false">SUMIFS('Source 2026'!$I:$I,'Source 2026'!$B:$B,$A49,'Source 2026'!$A:$A,"Amount (NIS)")</f>
        <v>51711.1</v>
      </c>
      <c r="J49" s="11" t="n">
        <f aca="false">I49*$J$5</f>
        <v>65319.2842105263</v>
      </c>
      <c r="K49" s="11" t="n">
        <f aca="false">J49-H49</f>
        <v>-3255.01578947369</v>
      </c>
      <c r="L49" s="10" t="n">
        <f aca="false">IF(AND(H49=0,J49=0),0,IF(H49=0,"New",(J49-H49)/H49))</f>
        <v>-0.0474669925828436</v>
      </c>
    </row>
    <row r="50" customFormat="false" ht="15" hidden="false" customHeight="true" outlineLevel="0" collapsed="false">
      <c r="A50" s="8" t="s">
        <v>120</v>
      </c>
      <c r="B50" s="8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2" t="n">
        <f aca="false">D50*$J$5</f>
        <v>2206.73684210526</v>
      </c>
      <c r="F50" s="22" t="n">
        <f aca="false">E50-C50</f>
        <v>-267.263157894737</v>
      </c>
      <c r="G50" s="10" t="n">
        <f aca="false">IF(AND(C50=0,E50=0),0,IF(C50=0,"New",(E50-C50)/C50))</f>
        <v>-0.108028762285666</v>
      </c>
      <c r="H50" s="11" t="n">
        <f aca="false">SUMIFS('Source 2025'!$I:$I,'Source 2025'!$B:$B,$A50,'Source 2025'!$A:$A,"Amount (NIS)")</f>
        <v>54688.9</v>
      </c>
      <c r="I50" s="11" t="n">
        <f aca="false">SUMIFS('Source 2026'!$I:$I,'Source 2026'!$B:$B,$A50,'Source 2026'!$A:$A,"Amount (NIS)")</f>
        <v>38938.5</v>
      </c>
      <c r="J50" s="11" t="n">
        <f aca="false">I50*$J$5</f>
        <v>49185.4736842105</v>
      </c>
      <c r="K50" s="11" t="n">
        <f aca="false">J50-H50</f>
        <v>-5503.42631578948</v>
      </c>
      <c r="L50" s="10" t="n">
        <f aca="false">IF(AND(H50=0,J50=0),0,IF(H50=0,"New",(J50-H50)/H50))</f>
        <v>-0.100631505036479</v>
      </c>
    </row>
    <row r="51" customFormat="false" ht="15" hidden="false" customHeight="true" outlineLevel="0" collapsed="false">
      <c r="A51" s="8" t="s">
        <v>231</v>
      </c>
      <c r="B51" s="8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2" t="n">
        <f aca="false">D51*$J$5</f>
        <v>72</v>
      </c>
      <c r="F51" s="22" t="n">
        <f aca="false">E51-C51</f>
        <v>-105</v>
      </c>
      <c r="G51" s="10" t="n">
        <f aca="false">IF(AND(C51=0,E51=0),0,IF(C51=0,"New",(E51-C51)/C51))</f>
        <v>-0.593220338983051</v>
      </c>
      <c r="H51" s="11" t="n">
        <f aca="false">SUMIFS('Source 2025'!$I:$I,'Source 2025'!$B:$B,$A51,'Source 2025'!$A:$A,"Amount (NIS)")</f>
        <v>23269.9</v>
      </c>
      <c r="I51" s="11" t="n">
        <f aca="false">SUMIFS('Source 2026'!$I:$I,'Source 2026'!$B:$B,$A51,'Source 2026'!$A:$A,"Amount (NIS)")</f>
        <v>7725.5</v>
      </c>
      <c r="J51" s="11" t="n">
        <f aca="false">I51*$J$5</f>
        <v>9758.52631578947</v>
      </c>
      <c r="K51" s="11" t="n">
        <f aca="false">J51-H51</f>
        <v>-13511.3736842105</v>
      </c>
      <c r="L51" s="10" t="n">
        <f aca="false">IF(AND(H51=0,J51=0),0,IF(H51=0,"New",(J51-H51)/H51))</f>
        <v>-0.58063737636219</v>
      </c>
    </row>
    <row r="52" customFormat="false" ht="15" hidden="false" customHeight="true" outlineLevel="0" collapsed="false">
      <c r="A52" s="8" t="s">
        <v>240</v>
      </c>
      <c r="B52" s="8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2" t="n">
        <f aca="false">D52*$J$5</f>
        <v>166.736842105263</v>
      </c>
      <c r="F52" s="22" t="n">
        <f aca="false">E52-C52</f>
        <v>-135.263157894737</v>
      </c>
      <c r="G52" s="10" t="n">
        <f aca="false">IF(AND(C52=0,E52=0),0,IF(C52=0,"New",(E52-C52)/C52))</f>
        <v>-0.447891251307076</v>
      </c>
      <c r="H52" s="11" t="n">
        <f aca="false">SUMIFS('Source 2025'!$I:$I,'Source 2025'!$B:$B,$A52,'Source 2025'!$A:$A,"Amount (NIS)")</f>
        <v>27486.1</v>
      </c>
      <c r="I52" s="11" t="n">
        <f aca="false">SUMIFS('Source 2026'!$I:$I,'Source 2026'!$B:$B,$A52,'Source 2026'!$A:$A,"Amount (NIS)")</f>
        <v>12246.5</v>
      </c>
      <c r="J52" s="11" t="n">
        <f aca="false">I52*$J$5</f>
        <v>15469.2631578947</v>
      </c>
      <c r="K52" s="11" t="n">
        <f aca="false">J52-H52</f>
        <v>-12016.8368421053</v>
      </c>
      <c r="L52" s="10" t="n">
        <f aca="false">IF(AND(H52=0,J52=0),0,IF(H52=0,"New",(J52-H52)/H52))</f>
        <v>-0.437196868311811</v>
      </c>
    </row>
    <row r="53" customFormat="false" ht="15" hidden="false" customHeight="true" outlineLevel="0" collapsed="false">
      <c r="A53" s="8" t="s">
        <v>121</v>
      </c>
      <c r="B53" s="8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2" t="n">
        <f aca="false">D53*$J$5</f>
        <v>4138.10526315789</v>
      </c>
      <c r="F53" s="22" t="n">
        <f aca="false">E53-C53</f>
        <v>-491.894736842106</v>
      </c>
      <c r="G53" s="10" t="n">
        <f aca="false">IF(AND(C53=0,E53=0),0,IF(C53=0,"New",(E53-C53)/C53))</f>
        <v>-0.106240763896783</v>
      </c>
      <c r="H53" s="11" t="n">
        <f aca="false">SUMIFS('Source 2025'!$I:$I,'Source 2025'!$B:$B,$A53,'Source 2025'!$A:$A,"Amount (NIS)")</f>
        <v>57852</v>
      </c>
      <c r="I53" s="11" t="n">
        <f aca="false">SUMIFS('Source 2026'!$I:$I,'Source 2026'!$B:$B,$A53,'Source 2026'!$A:$A,"Amount (NIS)")</f>
        <v>44217.4</v>
      </c>
      <c r="J53" s="11" t="n">
        <f aca="false">I53*$J$5</f>
        <v>55853.5578947368</v>
      </c>
      <c r="K53" s="11" t="n">
        <f aca="false">J53-H53</f>
        <v>-1998.44210526316</v>
      </c>
      <c r="L53" s="10" t="n">
        <f aca="false">IF(AND(H53=0,J53=0),0,IF(H53=0,"New",(J53-H53)/H53))</f>
        <v>-0.0345440452406686</v>
      </c>
    </row>
    <row r="54" customFormat="false" ht="15" hidden="false" customHeight="true" outlineLevel="0" collapsed="false">
      <c r="A54" s="8" t="s">
        <v>204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2" t="n">
        <f aca="false">D54*$J$5</f>
        <v>59.3684210526316</v>
      </c>
      <c r="F54" s="22" t="n">
        <f aca="false">E54-C54</f>
        <v>59.3684210526316</v>
      </c>
      <c r="G54" s="10" t="str">
        <f aca="false">IF(AND(C54=0,E54=0),0,IF(C54=0,"New",(E54-C54)/C54))</f>
        <v>New</v>
      </c>
      <c r="H54" s="11" t="n">
        <f aca="false">SUMIFS('Source 2025'!$I:$I,'Source 2025'!$B:$B,$A54,'Source 2025'!$A:$A,"Amount (NIS)")</f>
        <v>0</v>
      </c>
      <c r="I54" s="11" t="n">
        <f aca="false">SUMIFS('Source 2026'!$I:$I,'Source 2026'!$B:$B,$A54,'Source 2026'!$A:$A,"Amount (NIS)")</f>
        <v>13130.3</v>
      </c>
      <c r="J54" s="11" t="n">
        <f aca="false">I54*$J$5</f>
        <v>16585.6421052632</v>
      </c>
      <c r="K54" s="11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100</v>
      </c>
      <c r="B55" s="8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2" t="n">
        <f aca="false">D55*$J$5</f>
        <v>487.578947368421</v>
      </c>
      <c r="F55" s="22" t="n">
        <f aca="false">E55-C55</f>
        <v>-85.421052631579</v>
      </c>
      <c r="G55" s="10" t="n">
        <f aca="false">IF(AND(C55=0,E55=0),0,IF(C55=0,"New",(E55-C55)/C55))</f>
        <v>-0.149076880683384</v>
      </c>
      <c r="H55" s="11" t="n">
        <f aca="false">SUMIFS('Source 2025'!$I:$I,'Source 2025'!$B:$B,$A55,'Source 2025'!$A:$A,"Amount (NIS)")</f>
        <v>38173.9</v>
      </c>
      <c r="I55" s="11" t="n">
        <f aca="false">SUMIFS('Source 2026'!$I:$I,'Source 2026'!$B:$B,$A55,'Source 2026'!$A:$A,"Amount (NIS)")</f>
        <v>25266.8</v>
      </c>
      <c r="J55" s="11" t="n">
        <f aca="false">I55*$J$5</f>
        <v>31915.9578947368</v>
      </c>
      <c r="K55" s="11" t="n">
        <f aca="false">J55-H55</f>
        <v>-6257.94210526316</v>
      </c>
      <c r="L55" s="10" t="n">
        <f aca="false">IF(AND(H55=0,J55=0),0,IF(H55=0,"New",(J55-H55)/H55))</f>
        <v>-0.16393248018314</v>
      </c>
    </row>
    <row r="56" customFormat="false" ht="15" hidden="false" customHeight="true" outlineLevel="0" collapsed="false">
      <c r="A56" s="8" t="s">
        <v>163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2" t="n">
        <f aca="false">D56*$J$5</f>
        <v>732.631578947368</v>
      </c>
      <c r="F56" s="22" t="n">
        <f aca="false">E56-C56</f>
        <v>-1057.36842105263</v>
      </c>
      <c r="G56" s="10" t="n">
        <f aca="false">IF(AND(C56=0,E56=0),0,IF(C56=0,"New",(E56-C56)/C56))</f>
        <v>-0.590708615113202</v>
      </c>
      <c r="H56" s="11" t="n">
        <f aca="false">SUMIFS('Source 2025'!$I:$I,'Source 2025'!$B:$B,$A56,'Source 2025'!$A:$A,"Amount (NIS)")</f>
        <v>18164.7</v>
      </c>
      <c r="I56" s="11" t="n">
        <f aca="false">SUMIFS('Source 2026'!$I:$I,'Source 2026'!$B:$B,$A56,'Source 2026'!$A:$A,"Amount (NIS)")</f>
        <v>5942.1</v>
      </c>
      <c r="J56" s="11" t="n">
        <f aca="false">I56*$J$5</f>
        <v>7505.81052631579</v>
      </c>
      <c r="K56" s="11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152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2" t="n">
        <f aca="false">D57*$J$5</f>
        <v>452.210526315789</v>
      </c>
      <c r="F57" s="22" t="n">
        <f aca="false">E57-C57</f>
        <v>-1103.78947368421</v>
      </c>
      <c r="G57" s="10" t="n">
        <f aca="false">IF(AND(C57=0,E57=0),0,IF(C57=0,"New",(E57-C57)/C57))</f>
        <v>-0.709376268434583</v>
      </c>
      <c r="H57" s="11" t="n">
        <f aca="false">SUMIFS('Source 2025'!$I:$I,'Source 2025'!$B:$B,$A57,'Source 2025'!$A:$A,"Amount (NIS)")</f>
        <v>15795.7</v>
      </c>
      <c r="I57" s="11" t="n">
        <f aca="false">SUMIFS('Source 2026'!$I:$I,'Source 2026'!$B:$B,$A57,'Source 2026'!$A:$A,"Amount (NIS)")</f>
        <v>3674.8</v>
      </c>
      <c r="J57" s="11" t="n">
        <f aca="false">I57*$J$5</f>
        <v>4641.85263157895</v>
      </c>
      <c r="K57" s="11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156</v>
      </c>
      <c r="B58" s="8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2" t="n">
        <f aca="false">D58*$J$5</f>
        <v>1750.73684210526</v>
      </c>
      <c r="F58" s="22" t="n">
        <f aca="false">E58-C58</f>
        <v>-311.263157894737</v>
      </c>
      <c r="G58" s="10" t="n">
        <f aca="false">IF(AND(C58=0,E58=0),0,IF(C58=0,"New",(E58-C58)/C58))</f>
        <v>-0.150952064934402</v>
      </c>
      <c r="H58" s="11" t="n">
        <f aca="false">SUMIFS('Source 2025'!$I:$I,'Source 2025'!$B:$B,$A58,'Source 2025'!$A:$A,"Amount (NIS)")</f>
        <v>36835</v>
      </c>
      <c r="I58" s="11" t="n">
        <f aca="false">SUMIFS('Source 2026'!$I:$I,'Source 2026'!$B:$B,$A58,'Source 2026'!$A:$A,"Amount (NIS)")</f>
        <v>24943.6</v>
      </c>
      <c r="J58" s="11" t="n">
        <f aca="false">I58*$J$5</f>
        <v>31507.7052631579</v>
      </c>
      <c r="K58" s="11" t="n">
        <f aca="false">J58-H58</f>
        <v>-5327.29473684211</v>
      </c>
      <c r="L58" s="10" t="n">
        <f aca="false">IF(AND(H58=0,J58=0),0,IF(H58=0,"New",(J58-H58)/H58))</f>
        <v>-0.144625892136341</v>
      </c>
    </row>
    <row r="59" customFormat="false" ht="15" hidden="false" customHeight="true" outlineLevel="0" collapsed="false">
      <c r="A59" s="8" t="s">
        <v>130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2" t="n">
        <f aca="false">D59*$J$5</f>
        <v>2314.10526315789</v>
      </c>
      <c r="F59" s="22" t="n">
        <f aca="false">E59-C59</f>
        <v>-57.8947368421054</v>
      </c>
      <c r="G59" s="10" t="n">
        <f aca="false">IF(AND(C59=0,E59=0),0,IF(C59=0,"New",(E59-C59)/C59))</f>
        <v>-0.0244075619064525</v>
      </c>
      <c r="H59" s="11" t="n">
        <f aca="false">SUMIFS('Source 2025'!$I:$I,'Source 2025'!$B:$B,$A59,'Source 2025'!$A:$A,"Amount (NIS)")</f>
        <v>55348</v>
      </c>
      <c r="I59" s="11" t="n">
        <f aca="false">SUMIFS('Source 2026'!$I:$I,'Source 2026'!$B:$B,$A59,'Source 2026'!$A:$A,"Amount (NIS)")</f>
        <v>43701.2</v>
      </c>
      <c r="J59" s="11" t="n">
        <f aca="false">I59*$J$5</f>
        <v>55201.5157894737</v>
      </c>
      <c r="K59" s="11" t="n">
        <f aca="false">J59-H59</f>
        <v>-146.484210526323</v>
      </c>
      <c r="L59" s="10" t="n">
        <f aca="false">IF(AND(H59=0,J59=0),0,IF(H59=0,"New",(J59-H59)/H59))</f>
        <v>-0.00264660350015038</v>
      </c>
    </row>
    <row r="60" customFormat="false" ht="15" hidden="false" customHeight="true" outlineLevel="0" collapsed="false">
      <c r="A60" s="8" t="s">
        <v>111</v>
      </c>
      <c r="B60" s="8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2" t="n">
        <f aca="false">D60*$J$5</f>
        <v>216</v>
      </c>
      <c r="F60" s="22" t="n">
        <f aca="false">E60-C60</f>
        <v>-51</v>
      </c>
      <c r="G60" s="10" t="n">
        <f aca="false">IF(AND(C60=0,E60=0),0,IF(C60=0,"New",(E60-C60)/C60))</f>
        <v>-0.191011235955056</v>
      </c>
      <c r="H60" s="11" t="n">
        <f aca="false">SUMIFS('Source 2025'!$I:$I,'Source 2025'!$B:$B,$A60,'Source 2025'!$A:$A,"Amount (NIS)")</f>
        <v>36138.1</v>
      </c>
      <c r="I60" s="11" t="n">
        <f aca="false">SUMIFS('Source 2026'!$I:$I,'Source 2026'!$B:$B,$A60,'Source 2026'!$A:$A,"Amount (NIS)")</f>
        <v>24630.6</v>
      </c>
      <c r="J60" s="11" t="n">
        <f aca="false">I60*$J$5</f>
        <v>31112.3368421053</v>
      </c>
      <c r="K60" s="11" t="n">
        <f aca="false">J60-H60</f>
        <v>-5025.76315789474</v>
      </c>
      <c r="L60" s="10" t="n">
        <f aca="false">IF(AND(H60=0,J60=0),0,IF(H60=0,"New",(J60-H60)/H60))</f>
        <v>-0.139071040201193</v>
      </c>
    </row>
    <row r="61" customFormat="false" ht="15" hidden="false" customHeight="true" outlineLevel="0" collapsed="false">
      <c r="A61" s="8" t="s">
        <v>215</v>
      </c>
      <c r="B61" s="8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2" t="n">
        <f aca="false">D61*$J$5</f>
        <v>409.263157894737</v>
      </c>
      <c r="F61" s="22" t="n">
        <f aca="false">E61-C61</f>
        <v>162.263157894737</v>
      </c>
      <c r="G61" s="10" t="n">
        <f aca="false">IF(AND(C61=0,E61=0),0,IF(C61=0,"New",(E61-C61)/C61))</f>
        <v>0.656935861922012</v>
      </c>
      <c r="H61" s="11" t="n">
        <f aca="false">SUMIFS('Source 2025'!$I:$I,'Source 2025'!$B:$B,$A61,'Source 2025'!$A:$A,"Amount (NIS)")</f>
        <v>34609.9</v>
      </c>
      <c r="I61" s="11" t="n">
        <f aca="false">SUMIFS('Source 2026'!$I:$I,'Source 2026'!$B:$B,$A61,'Source 2026'!$A:$A,"Amount (NIS)")</f>
        <v>45987.8</v>
      </c>
      <c r="J61" s="11" t="n">
        <f aca="false">I61*$J$5</f>
        <v>58089.852631579</v>
      </c>
      <c r="K61" s="11" t="n">
        <f aca="false">J61-H61</f>
        <v>23479.9526315789</v>
      </c>
      <c r="L61" s="10" t="n">
        <f aca="false">IF(AND(H61=0,J61=0),0,IF(H61=0,"New",(J61-H61)/H61))</f>
        <v>0.678417234131822</v>
      </c>
    </row>
    <row r="62" customFormat="false" ht="15" hidden="false" customHeight="true" outlineLevel="0" collapsed="false">
      <c r="A62" s="8" t="s">
        <v>146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2" t="n">
        <f aca="false">D62*$J$5</f>
        <v>1205.05263157895</v>
      </c>
      <c r="F62" s="22" t="n">
        <f aca="false">E62-C62</f>
        <v>-830.947368421053</v>
      </c>
      <c r="G62" s="10" t="n">
        <f aca="false">IF(AND(C62=0,E62=0),0,IF(C62=0,"New",(E62-C62)/C62))</f>
        <v>-0.408127391169476</v>
      </c>
      <c r="H62" s="11" t="n">
        <f aca="false">SUMIFS('Source 2025'!$I:$I,'Source 2025'!$B:$B,$A62,'Source 2025'!$A:$A,"Amount (NIS)")</f>
        <v>21006.6</v>
      </c>
      <c r="I62" s="11" t="n">
        <f aca="false">SUMIFS('Source 2026'!$I:$I,'Source 2026'!$B:$B,$A62,'Source 2026'!$A:$A,"Amount (NIS)")</f>
        <v>9939.5</v>
      </c>
      <c r="J62" s="11" t="n">
        <f aca="false">I62*$J$5</f>
        <v>12555.1578947368</v>
      </c>
      <c r="K62" s="11" t="n">
        <f aca="false">J62-H62</f>
        <v>-8451.44210526316</v>
      </c>
      <c r="L62" s="10" t="n">
        <f aca="false">IF(AND(H62=0,J62=0),0,IF(H62=0,"New",(J62-H62)/H62))</f>
        <v>-0.402323179632266</v>
      </c>
    </row>
    <row r="63" customFormat="false" ht="15" hidden="false" customHeight="true" outlineLevel="0" collapsed="false">
      <c r="A63" s="8" t="s">
        <v>175</v>
      </c>
      <c r="B63" s="8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2" t="n">
        <f aca="false">D63*$J$5</f>
        <v>858.947368421053</v>
      </c>
      <c r="F63" s="22" t="n">
        <f aca="false">E63-C63</f>
        <v>-210.052631578947</v>
      </c>
      <c r="G63" s="10" t="n">
        <f aca="false">IF(AND(C63=0,E63=0),0,IF(C63=0,"New",(E63-C63)/C63))</f>
        <v>-0.196494510363842</v>
      </c>
      <c r="H63" s="11" t="n">
        <f aca="false">SUMIFS('Source 2025'!$I:$I,'Source 2025'!$B:$B,$A63,'Source 2025'!$A:$A,"Amount (NIS)")</f>
        <v>30816.1</v>
      </c>
      <c r="I63" s="11" t="n">
        <f aca="false">SUMIFS('Source 2026'!$I:$I,'Source 2026'!$B:$B,$A63,'Source 2026'!$A:$A,"Amount (NIS)")</f>
        <v>19986</v>
      </c>
      <c r="J63" s="11" t="n">
        <f aca="false">I63*$J$5</f>
        <v>25245.4736842105</v>
      </c>
      <c r="K63" s="11" t="n">
        <f aca="false">J63-H63</f>
        <v>-5570.62631578947</v>
      </c>
      <c r="L63" s="10" t="n">
        <f aca="false">IF(AND(H63=0,J63=0),0,IF(H63=0,"New",(J63-H63)/H63))</f>
        <v>-0.180769997364672</v>
      </c>
    </row>
    <row r="64" customFormat="false" ht="15" hidden="false" customHeight="true" outlineLevel="0" collapsed="false">
      <c r="A64" s="8" t="s">
        <v>134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2" t="n">
        <f aca="false">D64*$J$5</f>
        <v>2920.42105263158</v>
      </c>
      <c r="F64" s="22" t="n">
        <f aca="false">E64-C64</f>
        <v>-434.578947368421</v>
      </c>
      <c r="G64" s="10" t="n">
        <f aca="false">IF(AND(C64=0,E64=0),0,IF(C64=0,"New",(E64-C64)/C64))</f>
        <v>-0.129531727978665</v>
      </c>
      <c r="H64" s="11" t="n">
        <f aca="false">SUMIFS('Source 2025'!$I:$I,'Source 2025'!$B:$B,$A64,'Source 2025'!$A:$A,"Amount (NIS)")</f>
        <v>34596.7</v>
      </c>
      <c r="I64" s="11" t="n">
        <f aca="false">SUMIFS('Source 2026'!$I:$I,'Source 2026'!$B:$B,$A64,'Source 2026'!$A:$A,"Amount (NIS)")</f>
        <v>24034.3</v>
      </c>
      <c r="J64" s="11" t="n">
        <f aca="false">I64*$J$5</f>
        <v>30359.1157894737</v>
      </c>
      <c r="K64" s="11" t="n">
        <f aca="false">J64-H64</f>
        <v>-4237.58421052632</v>
      </c>
      <c r="L64" s="10" t="n">
        <f aca="false">IF(AND(H64=0,J64=0),0,IF(H64=0,"New",(J64-H64)/H64))</f>
        <v>-0.122485214211943</v>
      </c>
    </row>
    <row r="65" customFormat="false" ht="15" hidden="false" customHeight="true" outlineLevel="0" collapsed="false">
      <c r="A65" s="8" t="s">
        <v>147</v>
      </c>
      <c r="B65" s="8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2" t="n">
        <f aca="false">D65*$J$5</f>
        <v>-56.8421052631579</v>
      </c>
      <c r="F65" s="22" t="n">
        <f aca="false">E65-C65</f>
        <v>-192.842105263158</v>
      </c>
      <c r="G65" s="10" t="n">
        <f aca="false">IF(AND(C65=0,E65=0),0,IF(C65=0,"New",(E65-C65)/C65))</f>
        <v>-1.41795665634675</v>
      </c>
      <c r="H65" s="11" t="n">
        <f aca="false">SUMIFS('Source 2025'!$I:$I,'Source 2025'!$B:$B,$A65,'Source 2025'!$A:$A,"Amount (NIS)")</f>
        <v>7975.8</v>
      </c>
      <c r="I65" s="11" t="n">
        <f aca="false">SUMIFS('Source 2026'!$I:$I,'Source 2026'!$B:$B,$A65,'Source 2026'!$A:$A,"Amount (NIS)")</f>
        <v>-2538.3</v>
      </c>
      <c r="J65" s="11" t="n">
        <f aca="false">I65*$J$5</f>
        <v>-3206.27368421053</v>
      </c>
      <c r="K65" s="11" t="n">
        <f aca="false">J65-H65</f>
        <v>-11182.0736842105</v>
      </c>
      <c r="L65" s="10" t="n">
        <f aca="false">IF(AND(H65=0,J65=0),0,IF(H65=0,"New",(J65-H65)/H65))</f>
        <v>-1.4020002613168</v>
      </c>
    </row>
    <row r="66" customFormat="false" ht="15" hidden="false" customHeight="true" outlineLevel="0" collapsed="false">
      <c r="A66" s="8" t="s">
        <v>93</v>
      </c>
      <c r="B66" s="8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2" t="n">
        <f aca="false">D66*$J$5</f>
        <v>869.052631578947</v>
      </c>
      <c r="F66" s="22" t="n">
        <f aca="false">E66-C66</f>
        <v>-222.947368421053</v>
      </c>
      <c r="G66" s="10" t="n">
        <f aca="false">IF(AND(C66=0,E66=0),0,IF(C66=0,"New",(E66-C66)/C66))</f>
        <v>-0.204164256795836</v>
      </c>
      <c r="H66" s="11" t="n">
        <f aca="false">SUMIFS('Source 2025'!$I:$I,'Source 2025'!$B:$B,$A66,'Source 2025'!$A:$A,"Amount (NIS)")</f>
        <v>28193.9</v>
      </c>
      <c r="I66" s="11" t="n">
        <f aca="false">SUMIFS('Source 2026'!$I:$I,'Source 2026'!$B:$B,$A66,'Source 2026'!$A:$A,"Amount (NIS)")</f>
        <v>18222.6</v>
      </c>
      <c r="J66" s="11" t="n">
        <f aca="false">I66*$J$5</f>
        <v>23018.0210526316</v>
      </c>
      <c r="K66" s="11" t="n">
        <f aca="false">J66-H66</f>
        <v>-5175.87894736843</v>
      </c>
      <c r="L66" s="10" t="n">
        <f aca="false">IF(AND(H66=0,J66=0),0,IF(H66=0,"New",(J66-H66)/H66))</f>
        <v>-0.183581517539909</v>
      </c>
    </row>
    <row r="67" customFormat="false" ht="15" hidden="false" customHeight="true" outlineLevel="0" collapsed="false">
      <c r="A67" s="8" t="s">
        <v>246</v>
      </c>
      <c r="B67" s="8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2" t="n">
        <f aca="false">D67*$J$5</f>
        <v>117.473684210526</v>
      </c>
      <c r="F67" s="22" t="n">
        <f aca="false">E67-C67</f>
        <v>117.473684210526</v>
      </c>
      <c r="G67" s="10" t="str">
        <f aca="false">IF(AND(C67=0,E67=0),0,IF(C67=0,"New",(E67-C67)/C67))</f>
        <v>New</v>
      </c>
      <c r="H67" s="11" t="n">
        <f aca="false">SUMIFS('Source 2025'!$I:$I,'Source 2025'!$B:$B,$A67,'Source 2025'!$A:$A,"Amount (NIS)")</f>
        <v>0</v>
      </c>
      <c r="I67" s="11" t="n">
        <f aca="false">SUMIFS('Source 2026'!$I:$I,'Source 2026'!$B:$B,$A67,'Source 2026'!$A:$A,"Amount (NIS)")</f>
        <v>9344.9</v>
      </c>
      <c r="J67" s="11" t="n">
        <f aca="false">I67*$J$5</f>
        <v>11804.0842105263</v>
      </c>
      <c r="K67" s="11" t="n">
        <f aca="false">J67-H67</f>
        <v>11804.0842105263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81</v>
      </c>
      <c r="B68" s="8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2" t="n">
        <f aca="false">D68*$J$5</f>
        <v>1620.63157894737</v>
      </c>
      <c r="F68" s="22" t="n">
        <f aca="false">E68-C68</f>
        <v>-60.3684210526317</v>
      </c>
      <c r="G68" s="10" t="n">
        <f aca="false">IF(AND(C68=0,E68=0),0,IF(C68=0,"New",(E68-C68)/C68))</f>
        <v>-0.0359122076458249</v>
      </c>
      <c r="H68" s="11" t="n">
        <f aca="false">SUMIFS('Source 2025'!$I:$I,'Source 2025'!$B:$B,$A68,'Source 2025'!$A:$A,"Amount (NIS)")</f>
        <v>30910.4</v>
      </c>
      <c r="I68" s="11" t="n">
        <f aca="false">SUMIFS('Source 2026'!$I:$I,'Source 2026'!$B:$B,$A68,'Source 2026'!$A:$A,"Amount (NIS)")</f>
        <v>22225.7</v>
      </c>
      <c r="J68" s="11" t="n">
        <f aca="false">I68*$J$5</f>
        <v>28074.5684210526</v>
      </c>
      <c r="K68" s="11" t="n">
        <f aca="false">J68-H68</f>
        <v>-2835.83157894737</v>
      </c>
      <c r="L68" s="10" t="n">
        <f aca="false">IF(AND(H68=0,J68=0),0,IF(H68=0,"New",(J68-H68)/H68))</f>
        <v>-0.0917436066484863</v>
      </c>
    </row>
    <row r="69" customFormat="false" ht="15" hidden="false" customHeight="true" outlineLevel="0" collapsed="false">
      <c r="A69" s="8" t="s">
        <v>193</v>
      </c>
      <c r="B69" s="8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2" t="n">
        <f aca="false">D69*$J$5</f>
        <v>357.473684210526</v>
      </c>
      <c r="F69" s="22" t="n">
        <f aca="false">E69-C69</f>
        <v>-776.526315789474</v>
      </c>
      <c r="G69" s="10" t="n">
        <f aca="false">IF(AND(C69=0,E69=0),0,IF(C69=0,"New",(E69-C69)/C69))</f>
        <v>-0.684767474241159</v>
      </c>
      <c r="H69" s="11" t="n">
        <f aca="false">SUMIFS('Source 2025'!$I:$I,'Source 2025'!$B:$B,$A69,'Source 2025'!$A:$A,"Amount (NIS)")</f>
        <v>11512.2</v>
      </c>
      <c r="I69" s="11" t="n">
        <f aca="false">SUMIFS('Source 2026'!$I:$I,'Source 2026'!$B:$B,$A69,'Source 2026'!$A:$A,"Amount (NIS)")</f>
        <v>2916</v>
      </c>
      <c r="J69" s="11" t="n">
        <f aca="false">I69*$J$5</f>
        <v>3683.36842105263</v>
      </c>
      <c r="K69" s="11" t="n">
        <f aca="false">J69-H69</f>
        <v>-7828.83157894737</v>
      </c>
      <c r="L69" s="10" t="n">
        <f aca="false">IF(AND(H69=0,J69=0),0,IF(H69=0,"New",(J69-H69)/H69))</f>
        <v>-0.680046522727834</v>
      </c>
    </row>
    <row r="70" customFormat="false" ht="15" hidden="false" customHeight="true" outlineLevel="0" collapsed="false">
      <c r="A70" s="8" t="s">
        <v>101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2" t="n">
        <f aca="false">D70*$J$5</f>
        <v>53.0526315789474</v>
      </c>
      <c r="F70" s="22" t="n">
        <f aca="false">E70-C70</f>
        <v>-78.9473684210526</v>
      </c>
      <c r="G70" s="10" t="n">
        <f aca="false">IF(AND(C70=0,E70=0),0,IF(C70=0,"New",(E70-C70)/C70))</f>
        <v>-0.598086124401914</v>
      </c>
      <c r="H70" s="11" t="n">
        <f aca="false">SUMIFS('Source 2025'!$I:$I,'Source 2025'!$B:$B,$A70,'Source 2025'!$A:$A,"Amount (NIS)")</f>
        <v>12600.2</v>
      </c>
      <c r="I70" s="11" t="n">
        <f aca="false">SUMIFS('Source 2026'!$I:$I,'Source 2026'!$B:$B,$A70,'Source 2026'!$A:$A,"Amount (NIS)")</f>
        <v>4263.8</v>
      </c>
      <c r="J70" s="11" t="n">
        <f aca="false">I70*$J$5</f>
        <v>5385.85263157895</v>
      </c>
      <c r="K70" s="11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171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2" t="n">
        <f aca="false">D71*$J$5</f>
        <v>934.736842105263</v>
      </c>
      <c r="F71" s="22" t="n">
        <f aca="false">E71-C71</f>
        <v>-108.263157894737</v>
      </c>
      <c r="G71" s="10" t="n">
        <f aca="false">IF(AND(C71=0,E71=0),0,IF(C71=0,"New",(E71-C71)/C71))</f>
        <v>-0.103799767876066</v>
      </c>
      <c r="H71" s="11" t="n">
        <f aca="false">SUMIFS('Source 2025'!$I:$I,'Source 2025'!$B:$B,$A71,'Source 2025'!$A:$A,"Amount (NIS)")</f>
        <v>28034.3</v>
      </c>
      <c r="I71" s="11" t="n">
        <f aca="false">SUMIFS('Source 2026'!$I:$I,'Source 2026'!$B:$B,$A71,'Source 2026'!$A:$A,"Amount (NIS)")</f>
        <v>20141.7</v>
      </c>
      <c r="J71" s="11" t="n">
        <f aca="false">I71*$J$5</f>
        <v>25442.1473684211</v>
      </c>
      <c r="K71" s="11" t="n">
        <f aca="false">J71-H71</f>
        <v>-2592.15263157895</v>
      </c>
      <c r="L71" s="10" t="n">
        <f aca="false">IF(AND(H71=0,J71=0),0,IF(H71=0,"New",(J71-H71)/H71))</f>
        <v>-0.092463611774824</v>
      </c>
    </row>
    <row r="72" customFormat="false" ht="15" hidden="false" customHeight="true" outlineLevel="0" collapsed="false">
      <c r="A72" s="8" t="s">
        <v>271</v>
      </c>
      <c r="B72" s="8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2" t="n">
        <f aca="false">D72*$J$5</f>
        <v>860.21052631579</v>
      </c>
      <c r="F72" s="22" t="n">
        <f aca="false">E72-C72</f>
        <v>-3.78947368421052</v>
      </c>
      <c r="G72" s="10" t="n">
        <f aca="false">IF(AND(C72=0,E72=0),0,IF(C72=0,"New",(E72-C72)/C72))</f>
        <v>-0.0043859649122807</v>
      </c>
      <c r="H72" s="11" t="n">
        <f aca="false">SUMIFS('Source 2025'!$I:$I,'Source 2025'!$B:$B,$A72,'Source 2025'!$A:$A,"Amount (NIS)")</f>
        <v>35507.8</v>
      </c>
      <c r="I72" s="11" t="n">
        <f aca="false">SUMIFS('Source 2026'!$I:$I,'Source 2026'!$B:$B,$A72,'Source 2026'!$A:$A,"Amount (NIS)")</f>
        <v>27867.7</v>
      </c>
      <c r="J72" s="11" t="n">
        <f aca="false">I72*$J$5</f>
        <v>35201.3052631579</v>
      </c>
      <c r="K72" s="11" t="n">
        <f aca="false">J72-H72</f>
        <v>-306.494736842113</v>
      </c>
      <c r="L72" s="10" t="n">
        <f aca="false">IF(AND(H72=0,J72=0),0,IF(H72=0,"New",(J72-H72)/H72))</f>
        <v>-0.00863175800365307</v>
      </c>
    </row>
    <row r="73" customFormat="false" ht="15" hidden="false" customHeight="true" outlineLevel="0" collapsed="false">
      <c r="A73" s="8" t="s">
        <v>94</v>
      </c>
      <c r="B73" s="8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2" t="n">
        <f aca="false">D73*$J$5</f>
        <v>103.578947368421</v>
      </c>
      <c r="F73" s="22" t="n">
        <f aca="false">E73-C73</f>
        <v>-60.421052631579</v>
      </c>
      <c r="G73" s="10" t="n">
        <f aca="false">IF(AND(C73=0,E73=0),0,IF(C73=0,"New",(E73-C73)/C73))</f>
        <v>-0.368421052631579</v>
      </c>
      <c r="H73" s="11" t="n">
        <f aca="false">SUMIFS('Source 2025'!$I:$I,'Source 2025'!$B:$B,$A73,'Source 2025'!$A:$A,"Amount (NIS)")</f>
        <v>15702.7</v>
      </c>
      <c r="I73" s="11" t="n">
        <f aca="false">SUMIFS('Source 2026'!$I:$I,'Source 2026'!$B:$B,$A73,'Source 2026'!$A:$A,"Amount (NIS)")</f>
        <v>8230.7</v>
      </c>
      <c r="J73" s="11" t="n">
        <f aca="false">I73*$J$5</f>
        <v>10396.6736842105</v>
      </c>
      <c r="K73" s="11" t="n">
        <f aca="false">J73-H73</f>
        <v>-5306.02631578947</v>
      </c>
      <c r="L73" s="10" t="n">
        <f aca="false">IF(AND(H73=0,J73=0),0,IF(H73=0,"New",(J73-H73)/H73))</f>
        <v>-0.337905348493538</v>
      </c>
    </row>
    <row r="74" customFormat="false" ht="15" hidden="false" customHeight="true" outlineLevel="0" collapsed="false">
      <c r="A74" s="8" t="s">
        <v>342</v>
      </c>
      <c r="B74" s="8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2" t="n">
        <f aca="false">D74*$J$5</f>
        <v>366.315789473684</v>
      </c>
      <c r="F74" s="22" t="n">
        <f aca="false">E74-C74</f>
        <v>-10.6842105263158</v>
      </c>
      <c r="G74" s="10" t="n">
        <f aca="false">IF(AND(C74=0,E74=0),0,IF(C74=0,"New",(E74-C74)/C74))</f>
        <v>-0.02834008097166</v>
      </c>
      <c r="H74" s="11" t="n">
        <f aca="false">SUMIFS('Source 2025'!$I:$I,'Source 2025'!$B:$B,$A74,'Source 2025'!$A:$A,"Amount (NIS)")</f>
        <v>34663.2</v>
      </c>
      <c r="I74" s="11" t="n">
        <f aca="false">SUMIFS('Source 2026'!$I:$I,'Source 2026'!$B:$B,$A74,'Source 2026'!$A:$A,"Amount (NIS)")</f>
        <v>27286.9</v>
      </c>
      <c r="J74" s="11" t="n">
        <f aca="false">I74*$J$5</f>
        <v>34467.6631578947</v>
      </c>
      <c r="K74" s="11" t="n">
        <f aca="false">J74-H74</f>
        <v>-195.536842105263</v>
      </c>
      <c r="L74" s="10" t="n">
        <f aca="false">IF(AND(H74=0,J74=0),0,IF(H74=0,"New",(J74-H74)/H74))</f>
        <v>-0.005641049934953</v>
      </c>
    </row>
    <row r="75" customFormat="false" ht="15" hidden="false" customHeight="true" outlineLevel="0" collapsed="false">
      <c r="A75" s="8" t="s">
        <v>164</v>
      </c>
      <c r="B75" s="8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2" t="n">
        <f aca="false">D75*$J$5</f>
        <v>178.105263157895</v>
      </c>
      <c r="F75" s="22" t="n">
        <f aca="false">E75-C75</f>
        <v>-42.8947368421053</v>
      </c>
      <c r="G75" s="10" t="n">
        <f aca="false">IF(AND(C75=0,E75=0),0,IF(C75=0,"New",(E75-C75)/C75))</f>
        <v>-0.19409383186473</v>
      </c>
      <c r="H75" s="11" t="n">
        <f aca="false">SUMIFS('Source 2025'!$I:$I,'Source 2025'!$B:$B,$A75,'Source 2025'!$A:$A,"Amount (NIS)")</f>
        <v>20730.3</v>
      </c>
      <c r="I75" s="11" t="n">
        <f aca="false">SUMIFS('Source 2026'!$I:$I,'Source 2026'!$B:$B,$A75,'Source 2026'!$A:$A,"Amount (NIS)")</f>
        <v>13459.4</v>
      </c>
      <c r="J75" s="11" t="n">
        <f aca="false">I75*$J$5</f>
        <v>17001.3473684211</v>
      </c>
      <c r="K75" s="11" t="n">
        <f aca="false">J75-H75</f>
        <v>-3728.95263157895</v>
      </c>
      <c r="L75" s="10" t="n">
        <f aca="false">IF(AND(H75=0,J75=0),0,IF(H75=0,"New",(J75-H75)/H75))</f>
        <v>-0.179879337567664</v>
      </c>
    </row>
    <row r="76" customFormat="false" ht="15" hidden="false" customHeight="true" outlineLevel="0" collapsed="false">
      <c r="A76" s="8" t="s">
        <v>155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2" t="n">
        <f aca="false">D76*$J$5</f>
        <v>454.736842105263</v>
      </c>
      <c r="F76" s="22" t="n">
        <f aca="false">E76-C76</f>
        <v>-30.2631578947369</v>
      </c>
      <c r="G76" s="10" t="n">
        <f aca="false">IF(AND(C76=0,E76=0),0,IF(C76=0,"New",(E76-C76)/C76))</f>
        <v>-0.0623982637004884</v>
      </c>
      <c r="H76" s="11" t="n">
        <f aca="false">SUMIFS('Source 2025'!$I:$I,'Source 2025'!$B:$B,$A76,'Source 2025'!$A:$A,"Amount (NIS)")</f>
        <v>28234.1</v>
      </c>
      <c r="I76" s="11" t="n">
        <f aca="false">SUMIFS('Source 2026'!$I:$I,'Source 2026'!$B:$B,$A76,'Source 2026'!$A:$A,"Amount (NIS)")</f>
        <v>21127.7</v>
      </c>
      <c r="J76" s="11" t="n">
        <f aca="false">I76*$J$5</f>
        <v>26687.6210526316</v>
      </c>
      <c r="K76" s="11" t="n">
        <f aca="false">J76-H76</f>
        <v>-1546.47894736842</v>
      </c>
      <c r="L76" s="10" t="n">
        <f aca="false">IF(AND(H76=0,J76=0),0,IF(H76=0,"New",(J76-H76)/H76))</f>
        <v>-0.0547734458462788</v>
      </c>
    </row>
    <row r="77" customFormat="false" ht="15" hidden="false" customHeight="true" outlineLevel="0" collapsed="false">
      <c r="A77" s="8" t="s">
        <v>128</v>
      </c>
      <c r="B77" s="8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2" t="n">
        <f aca="false">D77*$J$5</f>
        <v>588.631578947368</v>
      </c>
      <c r="F77" s="22" t="n">
        <f aca="false">E77-C77</f>
        <v>-5.36842105263156</v>
      </c>
      <c r="G77" s="10" t="n">
        <f aca="false">IF(AND(C77=0,E77=0),0,IF(C77=0,"New",(E77-C77)/C77))</f>
        <v>-0.00903774587985111</v>
      </c>
      <c r="H77" s="11" t="n">
        <f aca="false">SUMIFS('Source 2025'!$I:$I,'Source 2025'!$B:$B,$A77,'Source 2025'!$A:$A,"Amount (NIS)")</f>
        <v>32796.7</v>
      </c>
      <c r="I77" s="11" t="n">
        <f aca="false">SUMIFS('Source 2026'!$I:$I,'Source 2026'!$B:$B,$A77,'Source 2026'!$A:$A,"Amount (NIS)")</f>
        <v>26002.3</v>
      </c>
      <c r="J77" s="11" t="n">
        <f aca="false">I77*$J$5</f>
        <v>32845.0105263158</v>
      </c>
      <c r="K77" s="11" t="n">
        <f aca="false">J77-H77</f>
        <v>48.3105263157922</v>
      </c>
      <c r="L77" s="10" t="n">
        <f aca="false">IF(AND(H77=0,J77=0),0,IF(H77=0,"New",(J77-H77)/H77))</f>
        <v>0.00147303010107091</v>
      </c>
    </row>
    <row r="78" customFormat="false" ht="15" hidden="false" customHeight="true" outlineLevel="0" collapsed="false">
      <c r="A78" s="8" t="s">
        <v>243</v>
      </c>
      <c r="B78" s="8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2" t="n">
        <f aca="false">D78*$J$5</f>
        <v>112.421052631579</v>
      </c>
      <c r="F78" s="22" t="n">
        <f aca="false">E78-C78</f>
        <v>-383.578947368421</v>
      </c>
      <c r="G78" s="10" t="n">
        <f aca="false">IF(AND(C78=0,E78=0),0,IF(C78=0,"New",(E78-C78)/C78))</f>
        <v>-0.773344651952462</v>
      </c>
      <c r="H78" s="11" t="n">
        <f aca="false">SUMIFS('Source 2025'!$I:$I,'Source 2025'!$B:$B,$A78,'Source 2025'!$A:$A,"Amount (NIS)")</f>
        <v>8292.2</v>
      </c>
      <c r="I78" s="11" t="n">
        <f aca="false">SUMIFS('Source 2026'!$I:$I,'Source 2026'!$B:$B,$A78,'Source 2026'!$A:$A,"Amount (NIS)")</f>
        <v>1612.2</v>
      </c>
      <c r="J78" s="11" t="n">
        <f aca="false">I78*$J$5</f>
        <v>2036.46315789474</v>
      </c>
      <c r="K78" s="11" t="n">
        <f aca="false">J78-H78</f>
        <v>-6255.73684210526</v>
      </c>
      <c r="L78" s="10" t="n">
        <f aca="false">IF(AND(H78=0,J78=0),0,IF(H78=0,"New",(J78-H78)/H78))</f>
        <v>-0.754412199670204</v>
      </c>
    </row>
    <row r="79" customFormat="false" ht="15" hidden="false" customHeight="true" outlineLevel="0" collapsed="false">
      <c r="A79" s="8" t="s">
        <v>117</v>
      </c>
      <c r="B79" s="8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2" t="n">
        <f aca="false">D79*$J$5</f>
        <v>224.842105263158</v>
      </c>
      <c r="F79" s="22" t="n">
        <f aca="false">E79-C79</f>
        <v>-248.157894736842</v>
      </c>
      <c r="G79" s="10" t="n">
        <f aca="false">IF(AND(C79=0,E79=0),0,IF(C79=0,"New",(E79-C79)/C79))</f>
        <v>-0.524646711917214</v>
      </c>
      <c r="H79" s="11" t="n">
        <f aca="false">SUMIFS('Source 2025'!$I:$I,'Source 2025'!$B:$B,$A79,'Source 2025'!$A:$A,"Amount (NIS)")</f>
        <v>10594.9</v>
      </c>
      <c r="I79" s="11" t="n">
        <f aca="false">SUMIFS('Source 2026'!$I:$I,'Source 2026'!$B:$B,$A79,'Source 2026'!$A:$A,"Amount (NIS)")</f>
        <v>3940.9</v>
      </c>
      <c r="J79" s="11" t="n">
        <f aca="false">I79*$J$5</f>
        <v>4977.97894736842</v>
      </c>
      <c r="K79" s="11" t="n">
        <f aca="false">J79-H79</f>
        <v>-5616.92105263158</v>
      </c>
      <c r="L79" s="10" t="n">
        <f aca="false">IF(AND(H79=0,J79=0),0,IF(H79=0,"New",(J79-H79)/H79))</f>
        <v>-0.530153286263351</v>
      </c>
    </row>
    <row r="80" customFormat="false" ht="15" hidden="false" customHeight="true" outlineLevel="0" collapsed="false">
      <c r="A80" s="8" t="s">
        <v>275</v>
      </c>
      <c r="B80" s="8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2" t="n">
        <f aca="false">D80*$J$5</f>
        <v>80.8421052631579</v>
      </c>
      <c r="F80" s="22" t="n">
        <f aca="false">E80-C80</f>
        <v>80.8421052631579</v>
      </c>
      <c r="G80" s="10" t="str">
        <f aca="false">IF(AND(C80=0,E80=0),0,IF(C80=0,"New",(E80-C80)/C80))</f>
        <v>New</v>
      </c>
      <c r="H80" s="11" t="n">
        <f aca="false">SUMIFS('Source 2025'!$I:$I,'Source 2025'!$B:$B,$A80,'Source 2025'!$A:$A,"Amount (NIS)")</f>
        <v>0</v>
      </c>
      <c r="I80" s="11" t="n">
        <f aca="false">SUMIFS('Source 2026'!$I:$I,'Source 2026'!$B:$B,$A80,'Source 2026'!$A:$A,"Amount (NIS)")</f>
        <v>6431.2</v>
      </c>
      <c r="J80" s="11" t="n">
        <f aca="false">I80*$J$5</f>
        <v>8123.62105263158</v>
      </c>
      <c r="K80" s="11" t="n">
        <f aca="false">J80-H80</f>
        <v>8123.62105263158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132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2" t="n">
        <f aca="false">D81*$J$5</f>
        <v>602.526315789474</v>
      </c>
      <c r="F81" s="22" t="n">
        <f aca="false">E81-C81</f>
        <v>-482.473684210526</v>
      </c>
      <c r="G81" s="10" t="n">
        <f aca="false">IF(AND(C81=0,E81=0),0,IF(C81=0,"New",(E81-C81)/C81))</f>
        <v>-0.444676206645646</v>
      </c>
      <c r="H81" s="11" t="n">
        <f aca="false">SUMIFS('Source 2025'!$I:$I,'Source 2025'!$B:$B,$A81,'Source 2025'!$A:$A,"Amount (NIS)")</f>
        <v>11157.6</v>
      </c>
      <c r="I81" s="11" t="n">
        <f aca="false">SUMIFS('Source 2026'!$I:$I,'Source 2026'!$B:$B,$A81,'Source 2026'!$A:$A,"Amount (NIS)")</f>
        <v>4958.1</v>
      </c>
      <c r="J81" s="11" t="n">
        <f aca="false">I81*$J$5</f>
        <v>6262.86315789474</v>
      </c>
      <c r="K81" s="11" t="n">
        <f aca="false">J81-H81</f>
        <v>-4894.73684210526</v>
      </c>
      <c r="L81" s="10" t="n">
        <f aca="false">IF(AND(H81=0,J81=0),0,IF(H81=0,"New",(J81-H81)/H81))</f>
        <v>-0.438690833342768</v>
      </c>
    </row>
    <row r="82" customFormat="false" ht="15" hidden="false" customHeight="true" outlineLevel="0" collapsed="false">
      <c r="A82" s="8" t="s">
        <v>151</v>
      </c>
      <c r="B82" s="8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2" t="n">
        <f aca="false">D82*$J$5</f>
        <v>867.789473684211</v>
      </c>
      <c r="F82" s="22" t="n">
        <f aca="false">E82-C82</f>
        <v>-66.2105263157895</v>
      </c>
      <c r="G82" s="10" t="n">
        <f aca="false">IF(AND(C82=0,E82=0),0,IF(C82=0,"New",(E82-C82)/C82))</f>
        <v>-0.0708892144708667</v>
      </c>
      <c r="H82" s="11" t="n">
        <f aca="false">SUMIFS('Source 2025'!$I:$I,'Source 2025'!$B:$B,$A82,'Source 2025'!$A:$A,"Amount (NIS)")</f>
        <v>25227.4</v>
      </c>
      <c r="I82" s="11" t="n">
        <f aca="false">SUMIFS('Source 2026'!$I:$I,'Source 2026'!$B:$B,$A82,'Source 2026'!$A:$A,"Amount (NIS)")</f>
        <v>19060.4</v>
      </c>
      <c r="J82" s="11" t="n">
        <f aca="false">I82*$J$5</f>
        <v>24076.2947368421</v>
      </c>
      <c r="K82" s="11" t="n">
        <f aca="false">J82-H82</f>
        <v>-1151.1052631579</v>
      </c>
      <c r="L82" s="10" t="n">
        <f aca="false">IF(AND(H82=0,J82=0),0,IF(H82=0,"New",(J82-H82)/H82))</f>
        <v>-0.0456291676176656</v>
      </c>
    </row>
    <row r="83" customFormat="false" ht="15" hidden="false" customHeight="true" outlineLevel="0" collapsed="false">
      <c r="A83" s="8" t="s">
        <v>185</v>
      </c>
      <c r="B83" s="8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2" t="n">
        <f aca="false">D83*$J$5</f>
        <v>50.5263157894737</v>
      </c>
      <c r="F83" s="22" t="n">
        <f aca="false">E83-C83</f>
        <v>50.5263157894737</v>
      </c>
      <c r="G83" s="10" t="str">
        <f aca="false">IF(AND(C83=0,E83=0),0,IF(C83=0,"New",(E83-C83)/C83))</f>
        <v>New</v>
      </c>
      <c r="H83" s="11" t="n">
        <f aca="false">SUMIFS('Source 2025'!$I:$I,'Source 2025'!$B:$B,$A83,'Source 2025'!$A:$A,"Amount (NIS)")</f>
        <v>0</v>
      </c>
      <c r="I83" s="11" t="n">
        <f aca="false">SUMIFS('Source 2026'!$I:$I,'Source 2026'!$B:$B,$A83,'Source 2026'!$A:$A,"Amount (NIS)")</f>
        <v>5635.8</v>
      </c>
      <c r="J83" s="11" t="n">
        <f aca="false">I83*$J$5</f>
        <v>7118.90526315789</v>
      </c>
      <c r="K83" s="11" t="n">
        <f aca="false">J83-H83</f>
        <v>7118.90526315789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104</v>
      </c>
      <c r="B84" s="8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2" t="n">
        <f aca="false">D84*$J$5</f>
        <v>650.526315789474</v>
      </c>
      <c r="F84" s="22" t="n">
        <f aca="false">E84-C84</f>
        <v>-286.473684210526</v>
      </c>
      <c r="G84" s="10" t="n">
        <f aca="false">IF(AND(C84=0,E84=0),0,IF(C84=0,"New",(E84-C84)/C84))</f>
        <v>-0.305734988485087</v>
      </c>
      <c r="H84" s="11" t="n">
        <f aca="false">SUMIFS('Source 2025'!$I:$I,'Source 2025'!$B:$B,$A84,'Source 2025'!$A:$A,"Amount (NIS)")</f>
        <v>12313.6</v>
      </c>
      <c r="I84" s="11" t="n">
        <f aca="false">SUMIFS('Source 2026'!$I:$I,'Source 2026'!$B:$B,$A84,'Source 2026'!$A:$A,"Amount (NIS)")</f>
        <v>6779.2</v>
      </c>
      <c r="J84" s="11" t="n">
        <f aca="false">I84*$J$5</f>
        <v>8563.2</v>
      </c>
      <c r="K84" s="11" t="n">
        <f aca="false">J84-H84</f>
        <v>-3750.4</v>
      </c>
      <c r="L84" s="10" t="n">
        <f aca="false">IF(AND(H84=0,J84=0),0,IF(H84=0,"New",(J84-H84)/H84))</f>
        <v>-0.304573804573805</v>
      </c>
    </row>
    <row r="85" customFormat="false" ht="15" hidden="false" customHeight="true" outlineLevel="0" collapsed="false">
      <c r="A85" s="8" t="s">
        <v>139</v>
      </c>
      <c r="B85" s="8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2" t="n">
        <f aca="false">D85*$J$5</f>
        <v>168</v>
      </c>
      <c r="F85" s="22" t="n">
        <f aca="false">E85-C85</f>
        <v>72</v>
      </c>
      <c r="G85" s="10" t="n">
        <f aca="false">IF(AND(C85=0,E85=0),0,IF(C85=0,"New",(E85-C85)/C85))</f>
        <v>0.75</v>
      </c>
      <c r="H85" s="11" t="n">
        <f aca="false">SUMIFS('Source 2025'!$I:$I,'Source 2025'!$B:$B,$A85,'Source 2025'!$A:$A,"Amount (NIS)")</f>
        <v>12515</v>
      </c>
      <c r="I85" s="11" t="n">
        <f aca="false">SUMIFS('Source 2026'!$I:$I,'Source 2026'!$B:$B,$A85,'Source 2026'!$A:$A,"Amount (NIS)")</f>
        <v>17764.4</v>
      </c>
      <c r="J85" s="11" t="n">
        <f aca="false">I85*$J$5</f>
        <v>22439.2421052632</v>
      </c>
      <c r="K85" s="11" t="n">
        <f aca="false">J85-H85</f>
        <v>9924.24210526316</v>
      </c>
      <c r="L85" s="10" t="n">
        <f aca="false">IF(AND(H85=0,J85=0),0,IF(H85=0,"New",(J85-H85)/H85))</f>
        <v>0.792987783081355</v>
      </c>
    </row>
    <row r="86" customFormat="false" ht="15" hidden="false" customHeight="true" outlineLevel="0" collapsed="false">
      <c r="A86" s="8" t="s">
        <v>208</v>
      </c>
      <c r="B86" s="8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2" t="n">
        <f aca="false">D86*$J$5</f>
        <v>579.789473684211</v>
      </c>
      <c r="F86" s="22" t="n">
        <f aca="false">E86-C86</f>
        <v>-75.2105263157895</v>
      </c>
      <c r="G86" s="10" t="n">
        <f aca="false">IF(AND(C86=0,E86=0),0,IF(C86=0,"New",(E86-C86)/C86))</f>
        <v>-0.114825231016472</v>
      </c>
      <c r="H86" s="11" t="n">
        <f aca="false">SUMIFS('Source 2025'!$I:$I,'Source 2025'!$B:$B,$A86,'Source 2025'!$A:$A,"Amount (NIS)")</f>
        <v>17718.3</v>
      </c>
      <c r="I86" s="11" t="n">
        <f aca="false">SUMIFS('Source 2026'!$I:$I,'Source 2026'!$B:$B,$A86,'Source 2026'!$A:$A,"Amount (NIS)")</f>
        <v>12492.2</v>
      </c>
      <c r="J86" s="11" t="n">
        <f aca="false">I86*$J$5</f>
        <v>15779.6210526316</v>
      </c>
      <c r="K86" s="11" t="n">
        <f aca="false">J86-H86</f>
        <v>-1938.67894736842</v>
      </c>
      <c r="L86" s="10" t="n">
        <f aca="false">IF(AND(H86=0,J86=0),0,IF(H86=0,"New",(J86-H86)/H86))</f>
        <v>-0.109416758231231</v>
      </c>
    </row>
    <row r="87" customFormat="false" ht="15" hidden="false" customHeight="true" outlineLevel="0" collapsed="false">
      <c r="A87" s="8" t="s">
        <v>203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2" t="n">
        <f aca="false">D87*$J$5</f>
        <v>296.842105263158</v>
      </c>
      <c r="F87" s="22" t="n">
        <f aca="false">E87-C87</f>
        <v>-84.1578947368421</v>
      </c>
      <c r="G87" s="10" t="n">
        <f aca="false">IF(AND(C87=0,E87=0),0,IF(C87=0,"New",(E87-C87)/C87))</f>
        <v>-0.220886862826357</v>
      </c>
      <c r="H87" s="11" t="n">
        <f aca="false">SUMIFS('Source 2025'!$I:$I,'Source 2025'!$B:$B,$A87,'Source 2025'!$A:$A,"Amount (NIS)")</f>
        <v>12313.2</v>
      </c>
      <c r="I87" s="11" t="n">
        <f aca="false">SUMIFS('Source 2026'!$I:$I,'Source 2026'!$B:$B,$A87,'Source 2026'!$A:$A,"Amount (NIS)")</f>
        <v>7532.1</v>
      </c>
      <c r="J87" s="11" t="n">
        <f aca="false">I87*$J$5</f>
        <v>9514.23157894737</v>
      </c>
      <c r="K87" s="11" t="n">
        <f aca="false">J87-H87</f>
        <v>-2798.96842105263</v>
      </c>
      <c r="L87" s="10" t="n">
        <f aca="false">IF(AND(H87=0,J87=0),0,IF(H87=0,"New",(J87-H87)/H87))</f>
        <v>-0.227314460989234</v>
      </c>
    </row>
    <row r="88" customFormat="false" ht="15" hidden="false" customHeight="true" outlineLevel="0" collapsed="false">
      <c r="A88" s="8" t="s">
        <v>144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2" t="n">
        <f aca="false">D88*$J$5</f>
        <v>92.2105263157895</v>
      </c>
      <c r="F88" s="22" t="n">
        <f aca="false">E88-C88</f>
        <v>-140.789473684211</v>
      </c>
      <c r="G88" s="10" t="n">
        <f aca="false">IF(AND(C88=0,E88=0),0,IF(C88=0,"New",(E88-C88)/C88))</f>
        <v>-0.604246668172577</v>
      </c>
      <c r="H88" s="11" t="n">
        <f aca="false">SUMIFS('Source 2025'!$I:$I,'Source 2025'!$B:$B,$A88,'Source 2025'!$A:$A,"Amount (NIS)")</f>
        <v>6859.5</v>
      </c>
      <c r="I88" s="11" t="n">
        <f aca="false">SUMIFS('Source 2026'!$I:$I,'Source 2026'!$B:$B,$A88,'Source 2026'!$A:$A,"Amount (NIS)")</f>
        <v>2170.3</v>
      </c>
      <c r="J88" s="11" t="n">
        <f aca="false">I88*$J$5</f>
        <v>2741.43157894737</v>
      </c>
      <c r="K88" s="11" t="n">
        <f aca="false">J88-H88</f>
        <v>-4118.06842105263</v>
      </c>
      <c r="L88" s="10" t="n">
        <f aca="false">IF(AND(H88=0,J88=0),0,IF(H88=0,"New",(J88-H88)/H88))</f>
        <v>-0.600345276048201</v>
      </c>
    </row>
    <row r="89" customFormat="false" ht="15" hidden="false" customHeight="true" outlineLevel="0" collapsed="false">
      <c r="A89" s="8" t="s">
        <v>86</v>
      </c>
      <c r="B89" s="8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2" t="n">
        <f aca="false">D89*$J$5</f>
        <v>805.894736842105</v>
      </c>
      <c r="F89" s="22" t="n">
        <f aca="false">E89-C89</f>
        <v>-99.1052631578948</v>
      </c>
      <c r="G89" s="10" t="n">
        <f aca="false">IF(AND(C89=0,E89=0),0,IF(C89=0,"New",(E89-C89)/C89))</f>
        <v>-0.109508578075022</v>
      </c>
      <c r="H89" s="11" t="n">
        <f aca="false">SUMIFS('Source 2025'!$I:$I,'Source 2025'!$B:$B,$A89,'Source 2025'!$A:$A,"Amount (NIS)")</f>
        <v>15182</v>
      </c>
      <c r="I89" s="11" t="n">
        <f aca="false">SUMIFS('Source 2026'!$I:$I,'Source 2026'!$B:$B,$A89,'Source 2026'!$A:$A,"Amount (NIS)")</f>
        <v>10783.3</v>
      </c>
      <c r="J89" s="11" t="n">
        <f aca="false">I89*$J$5</f>
        <v>13621.0105263158</v>
      </c>
      <c r="K89" s="11" t="n">
        <f aca="false">J89-H89</f>
        <v>-1560.98947368421</v>
      </c>
      <c r="L89" s="10" t="n">
        <f aca="false">IF(AND(H89=0,J89=0),0,IF(H89=0,"New",(J89-H89)/H89))</f>
        <v>-0.102818434572798</v>
      </c>
    </row>
    <row r="90" customFormat="false" ht="15" hidden="false" customHeight="true" outlineLevel="0" collapsed="false">
      <c r="A90" s="8" t="s">
        <v>70</v>
      </c>
      <c r="B90" s="8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2" t="n">
        <f aca="false">D90*$J$5</f>
        <v>276.631578947368</v>
      </c>
      <c r="F90" s="22" t="n">
        <f aca="false">E90-C90</f>
        <v>-10.3684210526316</v>
      </c>
      <c r="G90" s="10" t="n">
        <f aca="false">IF(AND(C90=0,E90=0),0,IF(C90=0,"New",(E90-C90)/C90))</f>
        <v>-0.0361269026224098</v>
      </c>
      <c r="H90" s="11" t="n">
        <f aca="false">SUMIFS('Source 2025'!$I:$I,'Source 2025'!$B:$B,$A90,'Source 2025'!$A:$A,"Amount (NIS)")</f>
        <v>18523.3</v>
      </c>
      <c r="I90" s="11" t="n">
        <f aca="false">SUMIFS('Source 2026'!$I:$I,'Source 2026'!$B:$B,$A90,'Source 2026'!$A:$A,"Amount (NIS)")</f>
        <v>14287.6</v>
      </c>
      <c r="J90" s="11" t="n">
        <f aca="false">I90*$J$5</f>
        <v>18047.4947368421</v>
      </c>
      <c r="K90" s="11" t="n">
        <f aca="false">J90-H90</f>
        <v>-475.805263157894</v>
      </c>
      <c r="L90" s="10" t="n">
        <f aca="false">IF(AND(H90=0,J90=0),0,IF(H90=0,"New",(J90-H90)/H90))</f>
        <v>-0.0256868518653746</v>
      </c>
    </row>
    <row r="91" customFormat="false" ht="15" hidden="false" customHeight="true" outlineLevel="0" collapsed="false">
      <c r="A91" s="8" t="s">
        <v>260</v>
      </c>
      <c r="B91" s="8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2" t="n">
        <f aca="false">D91*$J$5</f>
        <v>312</v>
      </c>
      <c r="F91" s="22" t="n">
        <f aca="false">E91-C91</f>
        <v>-83</v>
      </c>
      <c r="G91" s="10" t="n">
        <f aca="false">IF(AND(C91=0,E91=0),0,IF(C91=0,"New",(E91-C91)/C91))</f>
        <v>-0.210126582278481</v>
      </c>
      <c r="H91" s="11" t="n">
        <f aca="false">SUMIFS('Source 2025'!$I:$I,'Source 2025'!$B:$B,$A91,'Source 2025'!$A:$A,"Amount (NIS)")</f>
        <v>11254.2</v>
      </c>
      <c r="I91" s="11" t="n">
        <f aca="false">SUMIFS('Source 2026'!$I:$I,'Source 2026'!$B:$B,$A91,'Source 2026'!$A:$A,"Amount (NIS)")</f>
        <v>7189.1</v>
      </c>
      <c r="J91" s="11" t="n">
        <f aca="false">I91*$J$5</f>
        <v>9080.96842105263</v>
      </c>
      <c r="K91" s="11" t="n">
        <f aca="false">J91-H91</f>
        <v>-2173.23157894737</v>
      </c>
      <c r="L91" s="10" t="n">
        <f aca="false">IF(AND(H91=0,J91=0),0,IF(H91=0,"New",(J91-H91)/H91))</f>
        <v>-0.193104048172893</v>
      </c>
    </row>
    <row r="92" customFormat="false" ht="15" hidden="false" customHeight="true" outlineLevel="0" collapsed="false">
      <c r="A92" s="8" t="s">
        <v>157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2" t="n">
        <f aca="false">D92*$J$5</f>
        <v>180.631578947368</v>
      </c>
      <c r="F92" s="22" t="n">
        <f aca="false">E92-C92</f>
        <v>-102.368421052632</v>
      </c>
      <c r="G92" s="10" t="n">
        <f aca="false">IF(AND(C92=0,E92=0),0,IF(C92=0,"New",(E92-C92)/C92))</f>
        <v>-0.361725869443928</v>
      </c>
      <c r="H92" s="11" t="n">
        <f aca="false">SUMIFS('Source 2025'!$I:$I,'Source 2025'!$B:$B,$A92,'Source 2025'!$A:$A,"Amount (NIS)")</f>
        <v>8222.9</v>
      </c>
      <c r="I92" s="11" t="n">
        <f aca="false">SUMIFS('Source 2026'!$I:$I,'Source 2026'!$B:$B,$A92,'Source 2026'!$A:$A,"Amount (NIS)")</f>
        <v>4174.9</v>
      </c>
      <c r="J92" s="11" t="n">
        <f aca="false">I92*$J$5</f>
        <v>5273.55789473684</v>
      </c>
      <c r="K92" s="11" t="n">
        <f aca="false">J92-H92</f>
        <v>-2949.34210526316</v>
      </c>
      <c r="L92" s="10" t="n">
        <f aca="false">IF(AND(H92=0,J92=0),0,IF(H92=0,"New",(J92-H92)/H92))</f>
        <v>-0.358674203172015</v>
      </c>
    </row>
    <row r="93" customFormat="false" ht="15" hidden="false" customHeight="true" outlineLevel="0" collapsed="false">
      <c r="A93" s="8" t="s">
        <v>159</v>
      </c>
      <c r="B93" s="8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2" t="n">
        <f aca="false">D93*$J$5</f>
        <v>-16.4210526315789</v>
      </c>
      <c r="F93" s="22" t="n">
        <f aca="false">E93-C93</f>
        <v>-177.421052631579</v>
      </c>
      <c r="G93" s="10" t="n">
        <f aca="false">IF(AND(C93=0,E93=0),0,IF(C93=0,"New",(E93-C93)/C93))</f>
        <v>-1.10199411572409</v>
      </c>
      <c r="H93" s="11" t="n">
        <f aca="false">SUMIFS('Source 2025'!$I:$I,'Source 2025'!$B:$B,$A93,'Source 2025'!$A:$A,"Amount (NIS)")</f>
        <v>3595.8</v>
      </c>
      <c r="I93" s="11" t="n">
        <f aca="false">SUMIFS('Source 2026'!$I:$I,'Source 2026'!$B:$B,$A93,'Source 2026'!$A:$A,"Amount (NIS)")</f>
        <v>-328.2</v>
      </c>
      <c r="J93" s="11" t="n">
        <f aca="false">I93*$J$5</f>
        <v>-414.568421052632</v>
      </c>
      <c r="K93" s="11" t="n">
        <f aca="false">J93-H93</f>
        <v>-4010.36842105263</v>
      </c>
      <c r="L93" s="10" t="n">
        <f aca="false">IF(AND(H93=0,J93=0),0,IF(H93=0,"New",(J93-H93)/H93))</f>
        <v>-1.11529240253981</v>
      </c>
    </row>
    <row r="94" customFormat="false" ht="15" hidden="false" customHeight="true" outlineLevel="0" collapsed="false">
      <c r="A94" s="8" t="s">
        <v>145</v>
      </c>
      <c r="B94" s="8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2" t="n">
        <f aca="false">D94*$J$5</f>
        <v>1237.89473684211</v>
      </c>
      <c r="F94" s="22" t="n">
        <f aca="false">E94-C94</f>
        <v>-97.1052631578948</v>
      </c>
      <c r="G94" s="10" t="n">
        <f aca="false">IF(AND(C94=0,E94=0),0,IF(C94=0,"New",(E94-C94)/C94))</f>
        <v>-0.0727380248373744</v>
      </c>
      <c r="H94" s="11" t="n">
        <f aca="false">SUMIFS('Source 2025'!$I:$I,'Source 2025'!$B:$B,$A94,'Source 2025'!$A:$A,"Amount (NIS)")</f>
        <v>13834.2</v>
      </c>
      <c r="I94" s="11" t="n">
        <f aca="false">SUMIFS('Source 2026'!$I:$I,'Source 2026'!$B:$B,$A94,'Source 2026'!$A:$A,"Amount (NIS)")</f>
        <v>10274</v>
      </c>
      <c r="J94" s="11" t="n">
        <f aca="false">I94*$J$5</f>
        <v>12977.6842105263</v>
      </c>
      <c r="K94" s="11" t="n">
        <f aca="false">J94-H94</f>
        <v>-856.515789473686</v>
      </c>
      <c r="L94" s="10" t="n">
        <f aca="false">IF(AND(H94=0,J94=0),0,IF(H94=0,"New",(J94-H94)/H94))</f>
        <v>-0.0619129251762795</v>
      </c>
    </row>
    <row r="95" customFormat="false" ht="15" hidden="false" customHeight="true" outlineLevel="0" collapsed="false">
      <c r="A95" s="8" t="s">
        <v>329</v>
      </c>
      <c r="B95" s="8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2" t="n">
        <f aca="false">D95*$J$5</f>
        <v>149.052631578947</v>
      </c>
      <c r="F95" s="22" t="n">
        <f aca="false">E95-C95</f>
        <v>-178.947368421053</v>
      </c>
      <c r="G95" s="10" t="n">
        <f aca="false">IF(AND(C95=0,E95=0),0,IF(C95=0,"New",(E95-C95)/C95))</f>
        <v>-0.545571245186136</v>
      </c>
      <c r="H95" s="11" t="n">
        <f aca="false">SUMIFS('Source 2025'!$I:$I,'Source 2025'!$B:$B,$A95,'Source 2025'!$A:$A,"Amount (NIS)")</f>
        <v>5450</v>
      </c>
      <c r="I95" s="11" t="n">
        <f aca="false">SUMIFS('Source 2026'!$I:$I,'Source 2026'!$B:$B,$A95,'Source 2026'!$A:$A,"Amount (NIS)")</f>
        <v>1978.2</v>
      </c>
      <c r="J95" s="11" t="n">
        <f aca="false">I95*$J$5</f>
        <v>2498.77894736842</v>
      </c>
      <c r="K95" s="11" t="n">
        <f aca="false">J95-H95</f>
        <v>-2951.22105263158</v>
      </c>
      <c r="L95" s="10" t="n">
        <f aca="false">IF(AND(H95=0,J95=0),0,IF(H95=0,"New",(J95-H95)/H95))</f>
        <v>-0.541508450024143</v>
      </c>
    </row>
    <row r="96" customFormat="false" ht="15" hidden="false" customHeight="true" outlineLevel="0" collapsed="false">
      <c r="A96" s="8" t="s">
        <v>205</v>
      </c>
      <c r="B96" s="8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2" t="n">
        <f aca="false">D96*$J$5</f>
        <v>1148.21052631579</v>
      </c>
      <c r="F96" s="22" t="n">
        <f aca="false">E96-C96</f>
        <v>226.210526315789</v>
      </c>
      <c r="G96" s="10" t="n">
        <f aca="false">IF(AND(C96=0,E96=0),0,IF(C96=0,"New",(E96-C96)/C96))</f>
        <v>0.245347642424934</v>
      </c>
      <c r="H96" s="11" t="n">
        <f aca="false">SUMIFS('Source 2025'!$I:$I,'Source 2025'!$B:$B,$A96,'Source 2025'!$A:$A,"Amount (NIS)")</f>
        <v>62831.2</v>
      </c>
      <c r="I96" s="11" t="n">
        <f aca="false">SUMIFS('Source 2026'!$I:$I,'Source 2026'!$B:$B,$A96,'Source 2026'!$A:$A,"Amount (NIS)")</f>
        <v>66257.5</v>
      </c>
      <c r="J96" s="11" t="n">
        <f aca="false">I96*$J$5</f>
        <v>83693.6842105263</v>
      </c>
      <c r="K96" s="11" t="n">
        <f aca="false">J96-H96</f>
        <v>20862.4842105263</v>
      </c>
      <c r="L96" s="10" t="n">
        <f aca="false">IF(AND(H96=0,J96=0),0,IF(H96=0,"New",(J96-H96)/H96))</f>
        <v>0.332040199940894</v>
      </c>
    </row>
    <row r="97" customFormat="false" ht="15" hidden="false" customHeight="true" outlineLevel="0" collapsed="false">
      <c r="A97" s="8" t="s">
        <v>288</v>
      </c>
      <c r="B97" s="8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2" t="n">
        <f aca="false">D97*$J$5</f>
        <v>2.52631578947368</v>
      </c>
      <c r="F97" s="22" t="n">
        <f aca="false">E97-C97</f>
        <v>-42.4736842105263</v>
      </c>
      <c r="G97" s="10" t="n">
        <f aca="false">IF(AND(C97=0,E97=0),0,IF(C97=0,"New",(E97-C97)/C97))</f>
        <v>-0.943859649122807</v>
      </c>
      <c r="H97" s="11" t="n">
        <f aca="false">SUMIFS('Source 2025'!$I:$I,'Source 2025'!$B:$B,$A97,'Source 2025'!$A:$A,"Amount (NIS)")</f>
        <v>3611.3</v>
      </c>
      <c r="I97" s="11" t="n">
        <f aca="false">SUMIFS('Source 2026'!$I:$I,'Source 2026'!$B:$B,$A97,'Source 2026'!$A:$A,"Amount (NIS)")</f>
        <v>203.1</v>
      </c>
      <c r="J97" s="11" t="n">
        <f aca="false">I97*$J$5</f>
        <v>256.547368421053</v>
      </c>
      <c r="K97" s="11" t="n">
        <f aca="false">J97-H97</f>
        <v>-3354.75263157895</v>
      </c>
      <c r="L97" s="10" t="n">
        <f aca="false">IF(AND(H97=0,J97=0),0,IF(H97=0,"New",(J97-H97)/H97))</f>
        <v>-0.928959829307714</v>
      </c>
    </row>
    <row r="98" customFormat="false" ht="15" hidden="false" customHeight="true" outlineLevel="0" collapsed="false">
      <c r="A98" s="8" t="s">
        <v>148</v>
      </c>
      <c r="B98" s="8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2" t="n">
        <f aca="false">D98*$J$5</f>
        <v>414.315789473684</v>
      </c>
      <c r="F98" s="22" t="n">
        <f aca="false">E98-C98</f>
        <v>-199.684210526316</v>
      </c>
      <c r="G98" s="10" t="n">
        <f aca="false">IF(AND(C98=0,E98=0),0,IF(C98=0,"New",(E98-C98)/C98))</f>
        <v>-0.325218583919081</v>
      </c>
      <c r="H98" s="11" t="n">
        <f aca="false">SUMIFS('Source 2025'!$I:$I,'Source 2025'!$B:$B,$A98,'Source 2025'!$A:$A,"Amount (NIS)")</f>
        <v>7226.6</v>
      </c>
      <c r="I98" s="11" t="n">
        <f aca="false">SUMIFS('Source 2026'!$I:$I,'Source 2026'!$B:$B,$A98,'Source 2026'!$A:$A,"Amount (NIS)")</f>
        <v>3846.2</v>
      </c>
      <c r="J98" s="11" t="n">
        <f aca="false">I98*$J$5</f>
        <v>4858.35789473684</v>
      </c>
      <c r="K98" s="11" t="n">
        <f aca="false">J98-H98</f>
        <v>-2368.24210526316</v>
      </c>
      <c r="L98" s="10" t="n">
        <f aca="false">IF(AND(H98=0,J98=0),0,IF(H98=0,"New",(J98-H98)/H98))</f>
        <v>-0.327711801575175</v>
      </c>
    </row>
    <row r="99" customFormat="false" ht="15" hidden="false" customHeight="true" outlineLevel="0" collapsed="false">
      <c r="A99" s="8" t="s">
        <v>176</v>
      </c>
      <c r="B99" s="8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2" t="n">
        <f aca="false">D99*$J$5</f>
        <v>10.1052631578947</v>
      </c>
      <c r="F99" s="22" t="n">
        <f aca="false">E99-C99</f>
        <v>-62.8947368421053</v>
      </c>
      <c r="G99" s="10" t="n">
        <f aca="false">IF(AND(C99=0,E99=0),0,IF(C99=0,"New",(E99-C99)/C99))</f>
        <v>-0.861571737563086</v>
      </c>
      <c r="H99" s="11" t="n">
        <f aca="false">SUMIFS('Source 2025'!$I:$I,'Source 2025'!$B:$B,$A99,'Source 2025'!$A:$A,"Amount (NIS)")</f>
        <v>3710.1</v>
      </c>
      <c r="I99" s="11" t="n">
        <f aca="false">SUMIFS('Source 2026'!$I:$I,'Source 2026'!$B:$B,$A99,'Source 2026'!$A:$A,"Amount (NIS)")</f>
        <v>395.8</v>
      </c>
      <c r="J99" s="11" t="n">
        <f aca="false">I99*$J$5</f>
        <v>499.957894736842</v>
      </c>
      <c r="K99" s="11" t="n">
        <f aca="false">J99-H99</f>
        <v>-3210.14210526316</v>
      </c>
      <c r="L99" s="10" t="n">
        <f aca="false">IF(AND(H99=0,J99=0),0,IF(H99=0,"New",(J99-H99)/H99))</f>
        <v>-0.865244091874386</v>
      </c>
    </row>
    <row r="100" customFormat="false" ht="15" hidden="false" customHeight="true" outlineLevel="0" collapsed="false">
      <c r="A100" s="8" t="s">
        <v>127</v>
      </c>
      <c r="B100" s="8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2" t="n">
        <f aca="false">D100*$J$5</f>
        <v>149.052631578947</v>
      </c>
      <c r="F100" s="22" t="n">
        <f aca="false">E100-C100</f>
        <v>-68.9473684210526</v>
      </c>
      <c r="G100" s="10" t="n">
        <f aca="false">IF(AND(C100=0,E100=0),0,IF(C100=0,"New",(E100-C100)/C100))</f>
        <v>-0.316272332206663</v>
      </c>
      <c r="H100" s="11" t="n">
        <f aca="false">SUMIFS('Source 2025'!$I:$I,'Source 2025'!$B:$B,$A100,'Source 2025'!$A:$A,"Amount (NIS)")</f>
        <v>6935.2</v>
      </c>
      <c r="I100" s="11" t="n">
        <f aca="false">SUMIFS('Source 2026'!$I:$I,'Source 2026'!$B:$B,$A100,'Source 2026'!$A:$A,"Amount (NIS)")</f>
        <v>3707.3</v>
      </c>
      <c r="J100" s="11" t="n">
        <f aca="false">I100*$J$5</f>
        <v>4682.90526315789</v>
      </c>
      <c r="K100" s="11" t="n">
        <f aca="false">J100-H100</f>
        <v>-2252.29473684211</v>
      </c>
      <c r="L100" s="10" t="n">
        <f aca="false">IF(AND(H100=0,J100=0),0,IF(H100=0,"New",(J100-H100)/H100))</f>
        <v>-0.324762766299762</v>
      </c>
    </row>
    <row r="101" customFormat="false" ht="15" hidden="false" customHeight="true" outlineLevel="0" collapsed="false">
      <c r="A101" s="8" t="s">
        <v>174</v>
      </c>
      <c r="B101" s="8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2" t="n">
        <f aca="false">D101*$J$5</f>
        <v>199.578947368421</v>
      </c>
      <c r="F101" s="22" t="n">
        <f aca="false">E101-C101</f>
        <v>11.578947368421</v>
      </c>
      <c r="G101" s="10" t="n">
        <f aca="false">IF(AND(C101=0,E101=0),0,IF(C101=0,"New",(E101-C101)/C101))</f>
        <v>0.0615901455767077</v>
      </c>
      <c r="H101" s="11" t="n">
        <f aca="false">SUMIFS('Source 2025'!$I:$I,'Source 2025'!$B:$B,$A101,'Source 2025'!$A:$A,"Amount (NIS)")</f>
        <v>19519.4</v>
      </c>
      <c r="I101" s="11" t="n">
        <f aca="false">SUMIFS('Source 2026'!$I:$I,'Source 2026'!$B:$B,$A101,'Source 2026'!$A:$A,"Amount (NIS)")</f>
        <v>16330.7</v>
      </c>
      <c r="J101" s="11" t="n">
        <f aca="false">I101*$J$5</f>
        <v>20628.2526315789</v>
      </c>
      <c r="K101" s="11" t="n">
        <f aca="false">J101-H101</f>
        <v>1108.85263157895</v>
      </c>
      <c r="L101" s="10" t="n">
        <f aca="false">IF(AND(H101=0,J101=0),0,IF(H101=0,"New",(J101-H101)/H101))</f>
        <v>0.0568077211173984</v>
      </c>
    </row>
    <row r="102" customFormat="false" ht="15" hidden="false" customHeight="true" outlineLevel="0" collapsed="false">
      <c r="A102" s="8" t="s">
        <v>274</v>
      </c>
      <c r="B102" s="8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2" t="n">
        <f aca="false">D102*$J$5</f>
        <v>39.1578947368421</v>
      </c>
      <c r="F102" s="22" t="n">
        <f aca="false">E102-C102</f>
        <v>39.1578947368421</v>
      </c>
      <c r="G102" s="10" t="str">
        <f aca="false">IF(AND(C102=0,E102=0),0,IF(C102=0,"New",(E102-C102)/C102))</f>
        <v>New</v>
      </c>
      <c r="H102" s="11" t="n">
        <f aca="false">SUMIFS('Source 2025'!$I:$I,'Source 2025'!$B:$B,$A102,'Source 2025'!$A:$A,"Amount (NIS)")</f>
        <v>0</v>
      </c>
      <c r="I102" s="11" t="n">
        <f aca="false">SUMIFS('Source 2026'!$I:$I,'Source 2026'!$B:$B,$A102,'Source 2026'!$A:$A,"Amount (NIS)")</f>
        <v>3111.6</v>
      </c>
      <c r="J102" s="11" t="n">
        <f aca="false">I102*$J$5</f>
        <v>3930.44210526316</v>
      </c>
      <c r="K102" s="11" t="n">
        <f aca="false">J102-H102</f>
        <v>3930.44210526316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166</v>
      </c>
      <c r="B103" s="8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2" t="n">
        <f aca="false">D103*$J$5</f>
        <v>319.578947368421</v>
      </c>
      <c r="F103" s="22" t="n">
        <f aca="false">E103-C103</f>
        <v>-0.421052631578959</v>
      </c>
      <c r="G103" s="10" t="n">
        <f aca="false">IF(AND(C103=0,E103=0),0,IF(C103=0,"New",(E103-C103)/C103))</f>
        <v>-0.00131578947368425</v>
      </c>
      <c r="H103" s="11" t="n">
        <f aca="false">SUMIFS('Source 2025'!$I:$I,'Source 2025'!$B:$B,$A103,'Source 2025'!$A:$A,"Amount (NIS)")</f>
        <v>14406.4</v>
      </c>
      <c r="I103" s="11" t="n">
        <f aca="false">SUMIFS('Source 2026'!$I:$I,'Source 2026'!$B:$B,$A103,'Source 2026'!$A:$A,"Amount (NIS)")</f>
        <v>11372.4</v>
      </c>
      <c r="J103" s="11" t="n">
        <f aca="false">I103*$J$5</f>
        <v>14365.1368421053</v>
      </c>
      <c r="K103" s="11" t="n">
        <f aca="false">J103-H103</f>
        <v>-41.2631578947385</v>
      </c>
      <c r="L103" s="10" t="n">
        <f aca="false">IF(AND(H103=0,J103=0),0,IF(H103=0,"New",(J103-H103)/H103))</f>
        <v>-0.00286422408754015</v>
      </c>
    </row>
    <row r="104" customFormat="false" ht="15" hidden="false" customHeight="true" outlineLevel="0" collapsed="false">
      <c r="A104" s="8" t="s">
        <v>172</v>
      </c>
      <c r="B104" s="8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2" t="n">
        <f aca="false">D104*$J$5</f>
        <v>61.8947368421053</v>
      </c>
      <c r="F104" s="22" t="n">
        <f aca="false">E104-C104</f>
        <v>32.8947368421053</v>
      </c>
      <c r="G104" s="10" t="n">
        <f aca="false">IF(AND(C104=0,E104=0),0,IF(C104=0,"New",(E104-C104)/C104))</f>
        <v>1.13430127041742</v>
      </c>
      <c r="H104" s="11" t="n">
        <f aca="false">SUMIFS('Source 2025'!$I:$I,'Source 2025'!$B:$B,$A104,'Source 2025'!$A:$A,"Amount (NIS)")</f>
        <v>3655.3</v>
      </c>
      <c r="I104" s="11" t="n">
        <f aca="false">SUMIFS('Source 2026'!$I:$I,'Source 2026'!$B:$B,$A104,'Source 2026'!$A:$A,"Amount (NIS)")</f>
        <v>6612.2</v>
      </c>
      <c r="J104" s="11" t="n">
        <f aca="false">I104*$J$5</f>
        <v>8352.25263157895</v>
      </c>
      <c r="K104" s="11" t="n">
        <f aca="false">J104-H104</f>
        <v>4696.95263157895</v>
      </c>
      <c r="L104" s="10" t="n">
        <f aca="false">IF(AND(H104=0,J104=0),0,IF(H104=0,"New",(J104-H104)/H104))</f>
        <v>1.28497048985827</v>
      </c>
    </row>
    <row r="105" customFormat="false" ht="15" hidden="false" customHeight="true" outlineLevel="0" collapsed="false">
      <c r="A105" s="8" t="s">
        <v>255</v>
      </c>
      <c r="B105" s="8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-23.9473684210526</v>
      </c>
      <c r="G105" s="10" t="n">
        <f aca="false">IF(AND(C105=0,E105=0),0,IF(C105=0,"New",(E105-C105)/C105))</f>
        <v>-0.825771324863884</v>
      </c>
      <c r="H105" s="11" t="n">
        <f aca="false">SUMIFS('Source 2025'!$I:$I,'Source 2025'!$B:$B,$A105,'Source 2025'!$A:$A,"Amount (NIS)")</f>
        <v>3359.1</v>
      </c>
      <c r="I105" s="11" t="n">
        <f aca="false">SUMIFS('Source 2026'!$I:$I,'Source 2026'!$B:$B,$A105,'Source 2026'!$A:$A,"Amount (NIS)")</f>
        <v>455.1</v>
      </c>
      <c r="J105" s="11" t="n">
        <f aca="false">I105*$J$5</f>
        <v>574.863157894737</v>
      </c>
      <c r="K105" s="11" t="n">
        <f aca="false">J105-H105</f>
        <v>-2784.23684210526</v>
      </c>
      <c r="L105" s="10" t="n">
        <f aca="false">IF(AND(H105=0,J105=0),0,IF(H105=0,"New",(J105-H105)/H105))</f>
        <v>-0.828863934418524</v>
      </c>
    </row>
    <row r="106" customFormat="false" ht="15" hidden="false" customHeight="true" outlineLevel="0" collapsed="false">
      <c r="A106" s="8" t="s">
        <v>184</v>
      </c>
      <c r="B106" s="8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2" t="n">
        <f aca="false">D106*$J$5</f>
        <v>2958.31578947368</v>
      </c>
      <c r="F106" s="22" t="n">
        <f aca="false">E106-C106</f>
        <v>554.315789473684</v>
      </c>
      <c r="G106" s="10" t="n">
        <f aca="false">IF(AND(C106=0,E106=0),0,IF(C106=0,"New",(E106-C106)/C106))</f>
        <v>0.230580611261932</v>
      </c>
      <c r="H106" s="11" t="n">
        <f aca="false">SUMIFS('Source 2025'!$I:$I,'Source 2025'!$B:$B,$A106,'Source 2025'!$A:$A,"Amount (NIS)")</f>
        <v>141502.4</v>
      </c>
      <c r="I106" s="11" t="n">
        <f aca="false">SUMIFS('Source 2026'!$I:$I,'Source 2026'!$B:$B,$A106,'Source 2026'!$A:$A,"Amount (NIS)")</f>
        <v>138664.5</v>
      </c>
      <c r="J106" s="11" t="n">
        <f aca="false">I106*$J$5</f>
        <v>175155.157894737</v>
      </c>
      <c r="K106" s="11" t="n">
        <f aca="false">J106-H106</f>
        <v>33652.7578947368</v>
      </c>
      <c r="L106" s="10" t="n">
        <f aca="false">IF(AND(H106=0,J106=0),0,IF(H106=0,"New",(J106-H106)/H106))</f>
        <v>0.237824643926441</v>
      </c>
    </row>
    <row r="107" customFormat="false" ht="15" hidden="false" customHeight="true" outlineLevel="0" collapsed="false">
      <c r="A107" s="8" t="s">
        <v>206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2" t="n">
        <f aca="false">D107*$J$5</f>
        <v>2405.05263157895</v>
      </c>
      <c r="F107" s="22" t="n">
        <f aca="false">E107-C107</f>
        <v>627.052631578947</v>
      </c>
      <c r="G107" s="10" t="n">
        <f aca="false">IF(AND(C107=0,E107=0),0,IF(C107=0,"New",(E107-C107)/C107))</f>
        <v>0.352673021135516</v>
      </c>
      <c r="H107" s="11" t="n">
        <f aca="false">SUMIFS('Source 2025'!$I:$I,'Source 2025'!$B:$B,$A107,'Source 2025'!$A:$A,"Amount (NIS)")</f>
        <v>25918.2</v>
      </c>
      <c r="I107" s="11" t="n">
        <f aca="false">SUMIFS('Source 2026'!$I:$I,'Source 2026'!$B:$B,$A107,'Source 2026'!$A:$A,"Amount (NIS)")</f>
        <v>28720.8</v>
      </c>
      <c r="J107" s="11" t="n">
        <f aca="false">I107*$J$5</f>
        <v>36278.9052631579</v>
      </c>
      <c r="K107" s="11" t="n">
        <f aca="false">J107-H107</f>
        <v>10360.7052631579</v>
      </c>
      <c r="L107" s="10" t="n">
        <f aca="false">IF(AND(H107=0,J107=0),0,IF(H107=0,"New",(J107-H107)/H107))</f>
        <v>0.399746327413088</v>
      </c>
    </row>
    <row r="108" customFormat="false" ht="15" hidden="false" customHeight="true" outlineLevel="0" collapsed="false">
      <c r="A108" s="8" t="s">
        <v>92</v>
      </c>
      <c r="B108" s="8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2" t="n">
        <f aca="false">D108*$J$5</f>
        <v>3596.21052631579</v>
      </c>
      <c r="F108" s="22" t="n">
        <f aca="false">E108-C108</f>
        <v>807.210526315789</v>
      </c>
      <c r="G108" s="10" t="n">
        <f aca="false">IF(AND(C108=0,E108=0),0,IF(C108=0,"New",(E108-C108)/C108))</f>
        <v>0.289426506387877</v>
      </c>
      <c r="H108" s="11" t="n">
        <f aca="false">SUMIFS('Source 2025'!$I:$I,'Source 2025'!$B:$B,$A108,'Source 2025'!$A:$A,"Amount (NIS)")</f>
        <v>136637.6</v>
      </c>
      <c r="I108" s="11" t="n">
        <f aca="false">SUMIFS('Source 2026'!$I:$I,'Source 2026'!$B:$B,$A108,'Source 2026'!$A:$A,"Amount (NIS)")</f>
        <v>139434.1</v>
      </c>
      <c r="J108" s="11" t="n">
        <f aca="false">I108*$J$5</f>
        <v>176127.284210526</v>
      </c>
      <c r="K108" s="11" t="n">
        <f aca="false">J108-H108</f>
        <v>39489.6842105263</v>
      </c>
      <c r="L108" s="10" t="n">
        <f aca="false">IF(AND(H108=0,J108=0),0,IF(H108=0,"New",(J108-H108)/H108))</f>
        <v>0.289010376430253</v>
      </c>
    </row>
    <row r="109" customFormat="false" ht="15" hidden="false" customHeight="true" outlineLevel="0" collapsed="false">
      <c r="A109" s="8" t="s">
        <v>238</v>
      </c>
      <c r="B109" s="8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2" t="n">
        <f aca="false">D109*$J$5</f>
        <v>82.1052631578947</v>
      </c>
      <c r="F109" s="22" t="n">
        <f aca="false">E109-C109</f>
        <v>-54.8947368421053</v>
      </c>
      <c r="G109" s="10" t="n">
        <f aca="false">IF(AND(C109=0,E109=0),0,IF(C109=0,"New",(E109-C109)/C109))</f>
        <v>-0.400691509796389</v>
      </c>
      <c r="H109" s="11" t="n">
        <f aca="false">SUMIFS('Source 2025'!$I:$I,'Source 2025'!$B:$B,$A109,'Source 2025'!$A:$A,"Amount (NIS)")</f>
        <v>5560</v>
      </c>
      <c r="I109" s="11" t="n">
        <f aca="false">SUMIFS('Source 2026'!$I:$I,'Source 2026'!$B:$B,$A109,'Source 2026'!$A:$A,"Amount (NIS)")</f>
        <v>2802.7</v>
      </c>
      <c r="J109" s="11" t="n">
        <f aca="false">I109*$J$5</f>
        <v>3540.25263157895</v>
      </c>
      <c r="K109" s="11" t="n">
        <f aca="false">J109-H109</f>
        <v>-2019.74736842105</v>
      </c>
      <c r="L109" s="10" t="n">
        <f aca="false">IF(AND(H109=0,J109=0),0,IF(H109=0,"New",(J109-H109)/H109))</f>
        <v>-0.363263915183643</v>
      </c>
    </row>
    <row r="110" customFormat="false" ht="15" hidden="false" customHeight="true" outlineLevel="0" collapsed="false">
      <c r="A110" s="8" t="s">
        <v>245</v>
      </c>
      <c r="B110" s="8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2" t="n">
        <f aca="false">D110*$J$5</f>
        <v>157.894736842105</v>
      </c>
      <c r="F110" s="22" t="n">
        <f aca="false">E110-C110</f>
        <v>-94.1052631578947</v>
      </c>
      <c r="G110" s="10" t="n">
        <f aca="false">IF(AND(C110=0,E110=0),0,IF(C110=0,"New",(E110-C110)/C110))</f>
        <v>-0.3734335839599</v>
      </c>
      <c r="H110" s="11" t="n">
        <f aca="false">SUMIFS('Source 2025'!$I:$I,'Source 2025'!$B:$B,$A110,'Source 2025'!$A:$A,"Amount (NIS)")</f>
        <v>5544.2</v>
      </c>
      <c r="I110" s="11" t="n">
        <f aca="false">SUMIFS('Source 2026'!$I:$I,'Source 2026'!$B:$B,$A110,'Source 2026'!$A:$A,"Amount (NIS)")</f>
        <v>2790.2</v>
      </c>
      <c r="J110" s="11" t="n">
        <f aca="false">I110*$J$5</f>
        <v>3524.46315789474</v>
      </c>
      <c r="K110" s="11" t="n">
        <f aca="false">J110-H110</f>
        <v>-2019.73684210526</v>
      </c>
      <c r="L110" s="10" t="n">
        <f aca="false">IF(AND(H110=0,J110=0),0,IF(H110=0,"New",(J110-H110)/H110))</f>
        <v>-0.364297255168512</v>
      </c>
    </row>
    <row r="111" customFormat="false" ht="15" hidden="false" customHeight="true" outlineLevel="0" collapsed="false">
      <c r="A111" s="8" t="s">
        <v>182</v>
      </c>
      <c r="B111" s="8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2" t="n">
        <f aca="false">D111*$J$5</f>
        <v>2756.21052631579</v>
      </c>
      <c r="F111" s="22" t="n">
        <f aca="false">E111-C111</f>
        <v>315.210526315789</v>
      </c>
      <c r="G111" s="10" t="n">
        <f aca="false">IF(AND(C111=0,E111=0),0,IF(C111=0,"New",(E111-C111)/C111))</f>
        <v>0.129131719097005</v>
      </c>
      <c r="H111" s="11" t="n">
        <f aca="false">SUMIFS('Source 2025'!$I:$I,'Source 2025'!$B:$B,$A111,'Source 2025'!$A:$A,"Amount (NIS)")</f>
        <v>35520.6</v>
      </c>
      <c r="I111" s="11" t="n">
        <f aca="false">SUMIFS('Source 2026'!$I:$I,'Source 2026'!$B:$B,$A111,'Source 2026'!$A:$A,"Amount (NIS)")</f>
        <v>32850.6</v>
      </c>
      <c r="J111" s="11" t="n">
        <f aca="false">I111*$J$5</f>
        <v>41495.4947368421</v>
      </c>
      <c r="K111" s="11" t="n">
        <f aca="false">J111-H111</f>
        <v>5974.8947368421</v>
      </c>
      <c r="L111" s="10" t="n">
        <f aca="false">IF(AND(H111=0,J111=0),0,IF(H111=0,"New",(J111-H111)/H111))</f>
        <v>0.168209285227223</v>
      </c>
    </row>
    <row r="112" customFormat="false" ht="15" hidden="false" customHeight="true" outlineLevel="0" collapsed="false">
      <c r="A112" s="8" t="s">
        <v>264</v>
      </c>
      <c r="B112" s="8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2" t="n">
        <f aca="false">D112*$J$5</f>
        <v>0</v>
      </c>
      <c r="F112" s="22" t="n">
        <f aca="false">E112-C112</f>
        <v>-34</v>
      </c>
      <c r="G112" s="10" t="n">
        <f aca="false">IF(AND(C112=0,E112=0),0,IF(C112=0,"New",(E112-C112)/C112))</f>
        <v>-1</v>
      </c>
      <c r="H112" s="11" t="n">
        <f aca="false">SUMIFS('Source 2025'!$I:$I,'Source 2025'!$B:$B,$A112,'Source 2025'!$A:$A,"Amount (NIS)")</f>
        <v>2730.6</v>
      </c>
      <c r="I112" s="11" t="n">
        <f aca="false">SUMIFS('Source 2026'!$I:$I,'Source 2026'!$B:$B,$A112,'Source 2026'!$A:$A,"Amount (NIS)")</f>
        <v>68.2</v>
      </c>
      <c r="J112" s="11" t="n">
        <f aca="false">I112*$J$5</f>
        <v>86.1473684210526</v>
      </c>
      <c r="K112" s="11" t="n">
        <f aca="false">J112-H112</f>
        <v>-2644.45263157895</v>
      </c>
      <c r="L112" s="10" t="n">
        <f aca="false">IF(AND(H112=0,J112=0),0,IF(H112=0,"New",(J112-H112)/H112))</f>
        <v>-0.96845112121107</v>
      </c>
    </row>
    <row r="113" customFormat="false" ht="15" hidden="false" customHeight="true" outlineLevel="0" collapsed="false">
      <c r="A113" s="8" t="s">
        <v>234</v>
      </c>
      <c r="B113" s="8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2" t="n">
        <f aca="false">D113*$J$5</f>
        <v>204.631578947368</v>
      </c>
      <c r="F113" s="22" t="n">
        <f aca="false">E113-C113</f>
        <v>-53.3684210526316</v>
      </c>
      <c r="G113" s="10" t="n">
        <f aca="false">IF(AND(C113=0,E113=0),0,IF(C113=0,"New",(E113-C113)/C113))</f>
        <v>-0.206854345165239</v>
      </c>
      <c r="H113" s="11" t="n">
        <f aca="false">SUMIFS('Source 2025'!$I:$I,'Source 2025'!$B:$B,$A113,'Source 2025'!$A:$A,"Amount (NIS)")</f>
        <v>7344.8</v>
      </c>
      <c r="I113" s="11" t="n">
        <f aca="false">SUMIFS('Source 2026'!$I:$I,'Source 2026'!$B:$B,$A113,'Source 2026'!$A:$A,"Amount (NIS)")</f>
        <v>4690.8</v>
      </c>
      <c r="J113" s="11" t="n">
        <f aca="false">I113*$J$5</f>
        <v>5925.22105263158</v>
      </c>
      <c r="K113" s="11" t="n">
        <f aca="false">J113-H113</f>
        <v>-1419.57894736842</v>
      </c>
      <c r="L113" s="10" t="n">
        <f aca="false">IF(AND(H113=0,J113=0),0,IF(H113=0,"New",(J113-H113)/H113))</f>
        <v>-0.193276732840707</v>
      </c>
    </row>
    <row r="114" customFormat="false" ht="15" hidden="false" customHeight="true" outlineLevel="0" collapsed="false">
      <c r="A114" s="8" t="s">
        <v>150</v>
      </c>
      <c r="B114" s="8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2" t="n">
        <f aca="false">D114*$J$5</f>
        <v>31.5789473684211</v>
      </c>
      <c r="F114" s="22" t="n">
        <f aca="false">E114-C114</f>
        <v>-125.421052631579</v>
      </c>
      <c r="G114" s="10" t="n">
        <f aca="false">IF(AND(C114=0,E114=0),0,IF(C114=0,"New",(E114-C114)/C114))</f>
        <v>-0.798860207844452</v>
      </c>
      <c r="H114" s="11" t="n">
        <f aca="false">SUMIFS('Source 2025'!$I:$I,'Source 2025'!$B:$B,$A114,'Source 2025'!$A:$A,"Amount (NIS)")</f>
        <v>3108.4</v>
      </c>
      <c r="I114" s="11" t="n">
        <f aca="false">SUMIFS('Source 2026'!$I:$I,'Source 2026'!$B:$B,$A114,'Source 2026'!$A:$A,"Amount (NIS)")</f>
        <v>493.6</v>
      </c>
      <c r="J114" s="11" t="n">
        <f aca="false">I114*$J$5</f>
        <v>623.494736842105</v>
      </c>
      <c r="K114" s="11" t="n">
        <f aca="false">J114-H114</f>
        <v>-2484.90526315789</v>
      </c>
      <c r="L114" s="10" t="n">
        <f aca="false">IF(AND(H114=0,J114=0),0,IF(H114=0,"New",(J114-H114)/H114))</f>
        <v>-0.799416182974487</v>
      </c>
    </row>
    <row r="115" customFormat="false" ht="15" hidden="false" customHeight="true" outlineLevel="0" collapsed="false">
      <c r="A115" s="8" t="s">
        <v>122</v>
      </c>
      <c r="B115" s="8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2" t="n">
        <f aca="false">D115*$J$5</f>
        <v>50.5263157894737</v>
      </c>
      <c r="F115" s="22" t="n">
        <f aca="false">E115-C115</f>
        <v>-36.4736842105263</v>
      </c>
      <c r="G115" s="10" t="n">
        <f aca="false">IF(AND(C115=0,E115=0),0,IF(C115=0,"New",(E115-C115)/C115))</f>
        <v>-0.419237749546279</v>
      </c>
      <c r="H115" s="11" t="n">
        <f aca="false">SUMIFS('Source 2025'!$I:$I,'Source 2025'!$B:$B,$A115,'Source 2025'!$A:$A,"Amount (NIS)")</f>
        <v>5148.8</v>
      </c>
      <c r="I115" s="11" t="n">
        <f aca="false">SUMIFS('Source 2026'!$I:$I,'Source 2026'!$B:$B,$A115,'Source 2026'!$A:$A,"Amount (NIS)")</f>
        <v>2571.3</v>
      </c>
      <c r="J115" s="11" t="n">
        <f aca="false">I115*$J$5</f>
        <v>3247.95789473684</v>
      </c>
      <c r="K115" s="11" t="n">
        <f aca="false">J115-H115</f>
        <v>-1900.84210526316</v>
      </c>
      <c r="L115" s="10" t="n">
        <f aca="false">IF(AND(H115=0,J115=0),0,IF(H115=0,"New",(J115-H115)/H115))</f>
        <v>-0.369181577311832</v>
      </c>
    </row>
    <row r="116" customFormat="false" ht="15" hidden="false" customHeight="true" outlineLevel="0" collapsed="false">
      <c r="A116" s="8" t="s">
        <v>110</v>
      </c>
      <c r="B116" s="8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2" t="n">
        <f aca="false">D116*$J$5</f>
        <v>45.4736842105263</v>
      </c>
      <c r="F116" s="22" t="n">
        <f aca="false">E116-C116</f>
        <v>-19.5263157894737</v>
      </c>
      <c r="G116" s="10" t="n">
        <f aca="false">IF(AND(C116=0,E116=0),0,IF(C116=0,"New",(E116-C116)/C116))</f>
        <v>-0.300404858299595</v>
      </c>
      <c r="H116" s="11" t="n">
        <f aca="false">SUMIFS('Source 2025'!$I:$I,'Source 2025'!$B:$B,$A116,'Source 2025'!$A:$A,"Amount (NIS)")</f>
        <v>6213.6</v>
      </c>
      <c r="I116" s="11" t="n">
        <f aca="false">SUMIFS('Source 2026'!$I:$I,'Source 2026'!$B:$B,$A116,'Source 2026'!$A:$A,"Amount (NIS)")</f>
        <v>3644.6</v>
      </c>
      <c r="J116" s="11" t="n">
        <f aca="false">I116*$J$5</f>
        <v>4603.70526315789</v>
      </c>
      <c r="K116" s="11" t="n">
        <f aca="false">J116-H116</f>
        <v>-1609.89473684211</v>
      </c>
      <c r="L116" s="10" t="n">
        <f aca="false">IF(AND(H116=0,J116=0),0,IF(H116=0,"New",(J116-H116)/H116))</f>
        <v>-0.259092110345389</v>
      </c>
    </row>
    <row r="117" customFormat="false" ht="15" hidden="false" customHeight="true" outlineLevel="0" collapsed="false">
      <c r="A117" s="8" t="s">
        <v>198</v>
      </c>
      <c r="B117" s="8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2" t="n">
        <f aca="false">D117*$J$5</f>
        <v>15.1578947368421</v>
      </c>
      <c r="F117" s="22" t="n">
        <f aca="false">E117-C117</f>
        <v>-24.8421052631579</v>
      </c>
      <c r="G117" s="10" t="n">
        <f aca="false">IF(AND(C117=0,E117=0),0,IF(C117=0,"New",(E117-C117)/C117))</f>
        <v>-0.621052631578947</v>
      </c>
      <c r="H117" s="11" t="n">
        <f aca="false">SUMIFS('Source 2025'!$I:$I,'Source 2025'!$B:$B,$A117,'Source 2025'!$A:$A,"Amount (NIS)")</f>
        <v>3726.4</v>
      </c>
      <c r="I117" s="11" t="n">
        <f aca="false">SUMIFS('Source 2026'!$I:$I,'Source 2026'!$B:$B,$A117,'Source 2026'!$A:$A,"Amount (NIS)")</f>
        <v>1185.3</v>
      </c>
      <c r="J117" s="11" t="n">
        <f aca="false">I117*$J$5</f>
        <v>1497.22105263158</v>
      </c>
      <c r="K117" s="11" t="n">
        <f aca="false">J117-H117</f>
        <v>-2229.17894736842</v>
      </c>
      <c r="L117" s="10" t="n">
        <f aca="false">IF(AND(H117=0,J117=0),0,IF(H117=0,"New",(J117-H117)/H117))</f>
        <v>-0.598212469774694</v>
      </c>
    </row>
    <row r="118" customFormat="false" ht="15" hidden="false" customHeight="true" outlineLevel="0" collapsed="false">
      <c r="A118" s="8" t="s">
        <v>242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2" t="n">
        <f aca="false">D118*$J$5</f>
        <v>197.052631578947</v>
      </c>
      <c r="F118" s="22" t="n">
        <f aca="false">E118-C118</f>
        <v>-48.9473684210526</v>
      </c>
      <c r="G118" s="10" t="n">
        <f aca="false">IF(AND(C118=0,E118=0),0,IF(C118=0,"New",(E118-C118)/C118))</f>
        <v>-0.198973042362003</v>
      </c>
      <c r="H118" s="11" t="n">
        <f aca="false">SUMIFS('Source 2025'!$I:$I,'Source 2025'!$B:$B,$A118,'Source 2025'!$A:$A,"Amount (NIS)")</f>
        <v>6998.3</v>
      </c>
      <c r="I118" s="11" t="n">
        <f aca="false">SUMIFS('Source 2026'!$I:$I,'Source 2026'!$B:$B,$A118,'Source 2026'!$A:$A,"Amount (NIS)")</f>
        <v>4514.3</v>
      </c>
      <c r="J118" s="11" t="n">
        <f aca="false">I118*$J$5</f>
        <v>5702.27368421053</v>
      </c>
      <c r="K118" s="11" t="n">
        <f aca="false">J118-H118</f>
        <v>-1296.02631578947</v>
      </c>
      <c r="L118" s="10" t="n">
        <f aca="false">IF(AND(H118=0,J118=0),0,IF(H118=0,"New",(J118-H118)/H118))</f>
        <v>-0.185191591642181</v>
      </c>
    </row>
    <row r="119" customFormat="false" ht="15" hidden="false" customHeight="true" outlineLevel="0" collapsed="false">
      <c r="A119" s="8" t="s">
        <v>186</v>
      </c>
      <c r="B119" s="8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2" t="n">
        <f aca="false">D119*$J$5</f>
        <v>1248</v>
      </c>
      <c r="F119" s="22" t="n">
        <f aca="false">E119-C119</f>
        <v>13</v>
      </c>
      <c r="G119" s="10" t="n">
        <f aca="false">IF(AND(C119=0,E119=0),0,IF(C119=0,"New",(E119-C119)/C119))</f>
        <v>0.0105263157894737</v>
      </c>
      <c r="H119" s="11" t="n">
        <f aca="false">SUMIFS('Source 2025'!$I:$I,'Source 2025'!$B:$B,$A119,'Source 2025'!$A:$A,"Amount (NIS)")</f>
        <v>12532.2</v>
      </c>
      <c r="I119" s="11" t="n">
        <f aca="false">SUMIFS('Source 2026'!$I:$I,'Source 2026'!$B:$B,$A119,'Source 2026'!$A:$A,"Amount (NIS)")</f>
        <v>10070.6</v>
      </c>
      <c r="J119" s="11" t="n">
        <f aca="false">I119*$J$5</f>
        <v>12720.7578947368</v>
      </c>
      <c r="K119" s="11" t="n">
        <f aca="false">J119-H119</f>
        <v>188.557894736841</v>
      </c>
      <c r="L119" s="10" t="n">
        <f aca="false">IF(AND(H119=0,J119=0),0,IF(H119=0,"New",(J119-H119)/H119))</f>
        <v>0.0150458734090456</v>
      </c>
    </row>
    <row r="120" customFormat="false" ht="15" hidden="false" customHeight="true" outlineLevel="0" collapsed="false">
      <c r="A120" s="8" t="s">
        <v>316</v>
      </c>
      <c r="B120" s="8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2" t="n">
        <f aca="false">D120*$J$5</f>
        <v>1.26315789473684</v>
      </c>
      <c r="F120" s="22" t="n">
        <f aca="false">E120-C120</f>
        <v>-30.7368421052632</v>
      </c>
      <c r="G120" s="10" t="n">
        <f aca="false">IF(AND(C120=0,E120=0),0,IF(C120=0,"New",(E120-C120)/C120))</f>
        <v>-0.960526315789474</v>
      </c>
      <c r="H120" s="11" t="n">
        <f aca="false">SUMIFS('Source 2025'!$I:$I,'Source 2025'!$B:$B,$A120,'Source 2025'!$A:$A,"Amount (NIS)")</f>
        <v>2549.6</v>
      </c>
      <c r="I120" s="11" t="n">
        <f aca="false">SUMIFS('Source 2026'!$I:$I,'Source 2026'!$B:$B,$A120,'Source 2026'!$A:$A,"Amount (NIS)")</f>
        <v>132.3</v>
      </c>
      <c r="J120" s="11" t="n">
        <f aca="false">I120*$J$5</f>
        <v>167.115789473684</v>
      </c>
      <c r="K120" s="11" t="n">
        <f aca="false">J120-H120</f>
        <v>-2382.48421052632</v>
      </c>
      <c r="L120" s="10" t="n">
        <f aca="false">IF(AND(H120=0,J120=0),0,IF(H120=0,"New",(J120-H120)/H120))</f>
        <v>-0.934454114577312</v>
      </c>
    </row>
    <row r="121" customFormat="false" ht="15" hidden="false" customHeight="true" outlineLevel="0" collapsed="false">
      <c r="A121" s="8" t="s">
        <v>232</v>
      </c>
      <c r="B121" s="8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2" t="n">
        <f aca="false">D121*$J$5</f>
        <v>409.263157894737</v>
      </c>
      <c r="F121" s="22" t="n">
        <f aca="false">E121-C121</f>
        <v>-9.73684210526318</v>
      </c>
      <c r="G121" s="10" t="n">
        <f aca="false">IF(AND(C121=0,E121=0),0,IF(C121=0,"New",(E121-C121)/C121))</f>
        <v>-0.0232382866474062</v>
      </c>
      <c r="H121" s="11" t="n">
        <f aca="false">SUMIFS('Source 2025'!$I:$I,'Source 2025'!$B:$B,$A121,'Source 2025'!$A:$A,"Amount (NIS)")</f>
        <v>11927.2</v>
      </c>
      <c r="I121" s="11" t="n">
        <f aca="false">SUMIFS('Source 2026'!$I:$I,'Source 2026'!$B:$B,$A121,'Source 2026'!$A:$A,"Amount (NIS)")</f>
        <v>9579</v>
      </c>
      <c r="J121" s="11" t="n">
        <f aca="false">I121*$J$5</f>
        <v>12099.7894736842</v>
      </c>
      <c r="K121" s="11" t="n">
        <f aca="false">J121-H121</f>
        <v>172.589473684209</v>
      </c>
      <c r="L121" s="10" t="n">
        <f aca="false">IF(AND(H121=0,J121=0),0,IF(H121=0,"New",(J121-H121)/H121))</f>
        <v>0.0144702422768302</v>
      </c>
    </row>
    <row r="122" customFormat="false" ht="15" hidden="false" customHeight="true" outlineLevel="0" collapsed="false">
      <c r="A122" s="8" t="s">
        <v>324</v>
      </c>
      <c r="B122" s="8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-76.7368421052632</v>
      </c>
      <c r="G122" s="10" t="n">
        <f aca="false">IF(AND(C122=0,E122=0),0,IF(C122=0,"New",(E122-C122)/C122))</f>
        <v>-0.983805668016194</v>
      </c>
      <c r="H122" s="11" t="n">
        <f aca="false">SUMIFS('Source 2025'!$I:$I,'Source 2025'!$B:$B,$A122,'Source 2025'!$A:$A,"Amount (NIS)")</f>
        <v>2287.4</v>
      </c>
      <c r="I122" s="11" t="n">
        <f aca="false">SUMIFS('Source 2026'!$I:$I,'Source 2026'!$B:$B,$A122,'Source 2026'!$A:$A,"Amount (NIS)")</f>
        <v>35</v>
      </c>
      <c r="J122" s="11" t="n">
        <f aca="false">I122*$J$5</f>
        <v>44.2105263157895</v>
      </c>
      <c r="K122" s="11" t="n">
        <f aca="false">J122-H122</f>
        <v>-2243.18947368421</v>
      </c>
      <c r="L122" s="10" t="n">
        <f aca="false">IF(AND(H122=0,J122=0),0,IF(H122=0,"New",(J122-H122)/H122))</f>
        <v>-0.980672149026935</v>
      </c>
    </row>
    <row r="123" customFormat="false" ht="15" hidden="false" customHeight="true" outlineLevel="0" collapsed="false">
      <c r="A123" s="8" t="s">
        <v>239</v>
      </c>
      <c r="B123" s="8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2" t="n">
        <f aca="false">D123*$J$5</f>
        <v>3008.84210526316</v>
      </c>
      <c r="F123" s="22" t="n">
        <f aca="false">E123-C123</f>
        <v>392.842105263158</v>
      </c>
      <c r="G123" s="10" t="n">
        <f aca="false">IF(AND(C123=0,E123=0),0,IF(C123=0,"New",(E123-C123)/C123))</f>
        <v>0.150169000482859</v>
      </c>
      <c r="H123" s="11" t="n">
        <f aca="false">SUMIFS('Source 2025'!$I:$I,'Source 2025'!$B:$B,$A123,'Source 2025'!$A:$A,"Amount (NIS)")</f>
        <v>38080.5</v>
      </c>
      <c r="I123" s="11" t="n">
        <f aca="false">SUMIFS('Source 2026'!$I:$I,'Source 2026'!$B:$B,$A123,'Source 2026'!$A:$A,"Amount (NIS)")</f>
        <v>35836</v>
      </c>
      <c r="J123" s="11" t="n">
        <f aca="false">I123*$J$5</f>
        <v>45266.5263157895</v>
      </c>
      <c r="K123" s="11" t="n">
        <f aca="false">J123-H123</f>
        <v>7186.02631578947</v>
      </c>
      <c r="L123" s="10" t="n">
        <f aca="false">IF(AND(H123=0,J123=0),0,IF(H123=0,"New",(J123-H123)/H123))</f>
        <v>0.188706196499244</v>
      </c>
    </row>
    <row r="124" customFormat="false" ht="15" hidden="false" customHeight="true" outlineLevel="0" collapsed="false">
      <c r="A124" s="8" t="s">
        <v>331</v>
      </c>
      <c r="B124" s="8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2" t="n">
        <f aca="false">D124*$J$5</f>
        <v>-72</v>
      </c>
      <c r="F124" s="22" t="n">
        <f aca="false">E124-C124</f>
        <v>-167</v>
      </c>
      <c r="G124" s="10" t="n">
        <f aca="false">IF(AND(C124=0,E124=0),0,IF(C124=0,"New",(E124-C124)/C124))</f>
        <v>-1.75789473684211</v>
      </c>
      <c r="H124" s="11" t="n">
        <f aca="false">SUMIFS('Source 2025'!$I:$I,'Source 2025'!$B:$B,$A124,'Source 2025'!$A:$A,"Amount (NIS)")</f>
        <v>1673</v>
      </c>
      <c r="I124" s="11" t="n">
        <f aca="false">SUMIFS('Source 2026'!$I:$I,'Source 2026'!$B:$B,$A124,'Source 2026'!$A:$A,"Amount (NIS)")</f>
        <v>-564.6</v>
      </c>
      <c r="J124" s="11" t="n">
        <f aca="false">I124*$J$5</f>
        <v>-713.178947368421</v>
      </c>
      <c r="K124" s="11" t="n">
        <f aca="false">J124-H124</f>
        <v>-2386.17894736842</v>
      </c>
      <c r="L124" s="10" t="n">
        <f aca="false">IF(AND(H124=0,J124=0),0,IF(H124=0,"New",(J124-H124)/H124))</f>
        <v>-1.42628747601221</v>
      </c>
    </row>
    <row r="125" customFormat="false" ht="15" hidden="false" customHeight="true" outlineLevel="0" collapsed="false">
      <c r="A125" s="8" t="s">
        <v>190</v>
      </c>
      <c r="B125" s="8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2" t="n">
        <f aca="false">D125*$J$5</f>
        <v>180.631578947368</v>
      </c>
      <c r="F125" s="22" t="n">
        <f aca="false">E125-C125</f>
        <v>-72.3684210526316</v>
      </c>
      <c r="G125" s="10" t="n">
        <f aca="false">IF(AND(C125=0,E125=0),0,IF(C125=0,"New",(E125-C125)/C125))</f>
        <v>-0.28604118993135</v>
      </c>
      <c r="H125" s="11" t="n">
        <f aca="false">SUMIFS('Source 2025'!$I:$I,'Source 2025'!$B:$B,$A125,'Source 2025'!$A:$A,"Amount (NIS)")</f>
        <v>5080.7</v>
      </c>
      <c r="I125" s="11" t="n">
        <f aca="false">SUMIFS('Source 2026'!$I:$I,'Source 2026'!$B:$B,$A125,'Source 2026'!$A:$A,"Amount (NIS)")</f>
        <v>2862.2</v>
      </c>
      <c r="J125" s="11" t="n">
        <f aca="false">I125*$J$5</f>
        <v>3615.41052631579</v>
      </c>
      <c r="K125" s="11" t="n">
        <f aca="false">J125-H125</f>
        <v>-1465.28947368421</v>
      </c>
      <c r="L125" s="10" t="n">
        <f aca="false">IF(AND(H125=0,J125=0),0,IF(H125=0,"New",(J125-H125)/H125))</f>
        <v>-0.288403069199955</v>
      </c>
    </row>
    <row r="126" customFormat="false" ht="15" hidden="false" customHeight="true" outlineLevel="0" collapsed="false">
      <c r="A126" s="8" t="s">
        <v>216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2" t="n">
        <f aca="false">D126*$J$5</f>
        <v>121.263157894737</v>
      </c>
      <c r="F126" s="22" t="n">
        <f aca="false">E126-C126</f>
        <v>-57.7368421052632</v>
      </c>
      <c r="G126" s="10" t="n">
        <f aca="false">IF(AND(C126=0,E126=0),0,IF(C126=0,"New",(E126-C126)/C126))</f>
        <v>-0.322552190532196</v>
      </c>
      <c r="H126" s="11" t="n">
        <f aca="false">SUMIFS('Source 2025'!$I:$I,'Source 2025'!$B:$B,$A126,'Source 2025'!$A:$A,"Amount (NIS)")</f>
        <v>4648.5</v>
      </c>
      <c r="I126" s="11" t="n">
        <f aca="false">SUMIFS('Source 2026'!$I:$I,'Source 2026'!$B:$B,$A126,'Source 2026'!$A:$A,"Amount (NIS)")</f>
        <v>2465</v>
      </c>
      <c r="J126" s="11" t="n">
        <f aca="false">I126*$J$5</f>
        <v>3113.68421052632</v>
      </c>
      <c r="K126" s="11" t="n">
        <f aca="false">J126-H126</f>
        <v>-1534.81578947368</v>
      </c>
      <c r="L126" s="10" t="n">
        <f aca="false">IF(AND(H126=0,J126=0),0,IF(H126=0,"New",(J126-H126)/H126))</f>
        <v>-0.330174419592059</v>
      </c>
    </row>
    <row r="127" customFormat="false" ht="15" hidden="false" customHeight="true" outlineLevel="0" collapsed="false">
      <c r="A127" s="8" t="s">
        <v>169</v>
      </c>
      <c r="B127" s="8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2" t="n">
        <f aca="false">D127*$J$5</f>
        <v>127.578947368421</v>
      </c>
      <c r="F127" s="22" t="n">
        <f aca="false">E127-C127</f>
        <v>-72.421052631579</v>
      </c>
      <c r="G127" s="10" t="n">
        <f aca="false">IF(AND(C127=0,E127=0),0,IF(C127=0,"New",(E127-C127)/C127))</f>
        <v>-0.362105263157895</v>
      </c>
      <c r="H127" s="11" t="n">
        <f aca="false">SUMIFS('Source 2025'!$I:$I,'Source 2025'!$B:$B,$A127,'Source 2025'!$A:$A,"Amount (NIS)")</f>
        <v>4371.1</v>
      </c>
      <c r="I127" s="11" t="n">
        <f aca="false">SUMIFS('Source 2026'!$I:$I,'Source 2026'!$B:$B,$A127,'Source 2026'!$A:$A,"Amount (NIS)")</f>
        <v>2222.3</v>
      </c>
      <c r="J127" s="11" t="n">
        <f aca="false">I127*$J$5</f>
        <v>2807.11578947368</v>
      </c>
      <c r="K127" s="11" t="n">
        <f aca="false">J127-H127</f>
        <v>-1563.98421052632</v>
      </c>
      <c r="L127" s="10" t="n">
        <f aca="false">IF(AND(H127=0,J127=0),0,IF(H127=0,"New",(J127-H127)/H127))</f>
        <v>-0.35780105935035</v>
      </c>
    </row>
    <row r="128" customFormat="false" ht="15" hidden="false" customHeight="true" outlineLevel="0" collapsed="false">
      <c r="A128" s="8" t="s">
        <v>90</v>
      </c>
      <c r="B128" s="8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2" t="n">
        <f aca="false">D128*$J$5</f>
        <v>677.052631578947</v>
      </c>
      <c r="F128" s="22" t="n">
        <f aca="false">E128-C128</f>
        <v>94.0526315789473</v>
      </c>
      <c r="G128" s="10" t="n">
        <f aca="false">IF(AND(C128=0,E128=0),0,IF(C128=0,"New",(E128-C128)/C128))</f>
        <v>0.161325268574524</v>
      </c>
      <c r="H128" s="11" t="n">
        <f aca="false">SUMIFS('Source 2025'!$I:$I,'Source 2025'!$B:$B,$A128,'Source 2025'!$A:$A,"Amount (NIS)")</f>
        <v>12662</v>
      </c>
      <c r="I128" s="11" t="n">
        <f aca="false">SUMIFS('Source 2026'!$I:$I,'Source 2026'!$B:$B,$A128,'Source 2026'!$A:$A,"Amount (NIS)")</f>
        <v>10680.7</v>
      </c>
      <c r="J128" s="11" t="n">
        <f aca="false">I128*$J$5</f>
        <v>13491.4105263158</v>
      </c>
      <c r="K128" s="11" t="n">
        <f aca="false">J128-H128</f>
        <v>829.410526315789</v>
      </c>
      <c r="L128" s="10" t="n">
        <f aca="false">IF(AND(H128=0,J128=0),0,IF(H128=0,"New",(J128-H128)/H128))</f>
        <v>0.0655039114133462</v>
      </c>
    </row>
    <row r="129" customFormat="false" ht="15" hidden="false" customHeight="true" outlineLevel="0" collapsed="false">
      <c r="A129" s="8" t="s">
        <v>223</v>
      </c>
      <c r="B129" s="8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2" t="n">
        <f aca="false">D129*$J$5</f>
        <v>20.2105263157895</v>
      </c>
      <c r="F129" s="22" t="n">
        <f aca="false">E129-C129</f>
        <v>-19.7894736842105</v>
      </c>
      <c r="G129" s="10" t="n">
        <f aca="false">IF(AND(C129=0,E129=0),0,IF(C129=0,"New",(E129-C129)/C129))</f>
        <v>-0.494736842105263</v>
      </c>
      <c r="H129" s="11" t="n">
        <f aca="false">SUMIFS('Source 2025'!$I:$I,'Source 2025'!$B:$B,$A129,'Source 2025'!$A:$A,"Amount (NIS)")</f>
        <v>3331.1</v>
      </c>
      <c r="I129" s="11" t="n">
        <f aca="false">SUMIFS('Source 2026'!$I:$I,'Source 2026'!$B:$B,$A129,'Source 2026'!$A:$A,"Amount (NIS)")</f>
        <v>1352.7</v>
      </c>
      <c r="J129" s="11" t="n">
        <f aca="false">I129*$J$5</f>
        <v>1708.67368421053</v>
      </c>
      <c r="K129" s="11" t="n">
        <f aca="false">J129-H129</f>
        <v>-1622.42631578947</v>
      </c>
      <c r="L129" s="10" t="n">
        <f aca="false">IF(AND(H129=0,J129=0),0,IF(H129=0,"New",(J129-H129)/H129))</f>
        <v>-0.487054221064956</v>
      </c>
    </row>
    <row r="130" customFormat="false" ht="15" hidden="false" customHeight="true" outlineLevel="0" collapsed="false">
      <c r="A130" s="8" t="s">
        <v>221</v>
      </c>
      <c r="B130" s="8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2" t="n">
        <f aca="false">D130*$J$5</f>
        <v>16.4210526315789</v>
      </c>
      <c r="F130" s="22" t="n">
        <f aca="false">E130-C130</f>
        <v>14.4210526315789</v>
      </c>
      <c r="G130" s="10" t="n">
        <f aca="false">IF(AND(C130=0,E130=0),0,IF(C130=0,"New",(E130-C130)/C130))</f>
        <v>7.21052631578947</v>
      </c>
      <c r="H130" s="11" t="n">
        <f aca="false">SUMIFS('Source 2025'!$I:$I,'Source 2025'!$B:$B,$A130,'Source 2025'!$A:$A,"Amount (NIS)")</f>
        <v>442.1</v>
      </c>
      <c r="I130" s="11" t="n">
        <f aca="false">SUMIFS('Source 2026'!$I:$I,'Source 2026'!$B:$B,$A130,'Source 2026'!$A:$A,"Amount (NIS)")</f>
        <v>2399.3</v>
      </c>
      <c r="J130" s="11" t="n">
        <f aca="false">I130*$J$5</f>
        <v>3030.69473684211</v>
      </c>
      <c r="K130" s="11" t="n">
        <f aca="false">J130-H130</f>
        <v>2588.59473684211</v>
      </c>
      <c r="L130" s="10" t="n">
        <f aca="false">IF(AND(H130=0,J130=0),0,IF(H130=0,"New",(J130-H130)/H130))</f>
        <v>5.85522446695794</v>
      </c>
    </row>
    <row r="131" customFormat="false" ht="15" hidden="false" customHeight="true" outlineLevel="0" collapsed="false">
      <c r="A131" s="8" t="s">
        <v>202</v>
      </c>
      <c r="B131" s="8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2" t="n">
        <f aca="false">D131*$J$5</f>
        <v>2014.73684210526</v>
      </c>
      <c r="F131" s="22" t="n">
        <f aca="false">E131-C131</f>
        <v>488.736842105263</v>
      </c>
      <c r="G131" s="10" t="n">
        <f aca="false">IF(AND(C131=0,E131=0),0,IF(C131=0,"New",(E131-C131)/C131))</f>
        <v>0.32027315996413</v>
      </c>
      <c r="H131" s="11" t="n">
        <f aca="false">SUMIFS('Source 2025'!$I:$I,'Source 2025'!$B:$B,$A131,'Source 2025'!$A:$A,"Amount (NIS)")</f>
        <v>50607.4</v>
      </c>
      <c r="I131" s="11" t="n">
        <f aca="false">SUMIFS('Source 2026'!$I:$I,'Source 2026'!$B:$B,$A131,'Source 2026'!$A:$A,"Amount (NIS)")</f>
        <v>52502.9</v>
      </c>
      <c r="J131" s="11" t="n">
        <f aca="false">I131*$J$5</f>
        <v>66319.4526315789</v>
      </c>
      <c r="K131" s="11" t="n">
        <f aca="false">J131-H131</f>
        <v>15712.0526315789</v>
      </c>
      <c r="L131" s="10" t="n">
        <f aca="false">IF(AND(H131=0,J131=0),0,IF(H131=0,"New",(J131-H131)/H131))</f>
        <v>0.3104694695159</v>
      </c>
    </row>
    <row r="132" customFormat="false" ht="15" hidden="false" customHeight="true" outlineLevel="0" collapsed="false">
      <c r="A132" s="8" t="s">
        <v>119</v>
      </c>
      <c r="B132" s="8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2" t="n">
        <f aca="false">D132*$J$5</f>
        <v>688.421052631579</v>
      </c>
      <c r="F132" s="22" t="n">
        <f aca="false">E132-C132</f>
        <v>2.42105263157896</v>
      </c>
      <c r="G132" s="10" t="n">
        <f aca="false">IF(AND(C132=0,E132=0),0,IF(C132=0,"New",(E132-C132)/C132))</f>
        <v>0.00352923124136875</v>
      </c>
      <c r="H132" s="11" t="n">
        <f aca="false">SUMIFS('Source 2025'!$I:$I,'Source 2025'!$B:$B,$A132,'Source 2025'!$A:$A,"Amount (NIS)")</f>
        <v>9256.5</v>
      </c>
      <c r="I132" s="11" t="n">
        <f aca="false">SUMIFS('Source 2026'!$I:$I,'Source 2026'!$B:$B,$A132,'Source 2026'!$A:$A,"Amount (NIS)")</f>
        <v>7409.3</v>
      </c>
      <c r="J132" s="11" t="n">
        <f aca="false">I132*$J$5</f>
        <v>9359.11578947368</v>
      </c>
      <c r="K132" s="11" t="n">
        <f aca="false">J132-H132</f>
        <v>102.615789473684</v>
      </c>
      <c r="L132" s="10" t="n">
        <f aca="false">IF(AND(H132=0,J132=0),0,IF(H132=0,"New",(J132-H132)/H132))</f>
        <v>0.0110858088341905</v>
      </c>
    </row>
    <row r="133" customFormat="false" ht="15" hidden="false" customHeight="true" outlineLevel="0" collapsed="false">
      <c r="A133" s="8" t="s">
        <v>126</v>
      </c>
      <c r="B133" s="8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2" t="n">
        <f aca="false">D133*$J$5</f>
        <v>130.105263157895</v>
      </c>
      <c r="F133" s="22" t="n">
        <f aca="false">E133-C133</f>
        <v>46.1052631578947</v>
      </c>
      <c r="G133" s="10" t="n">
        <f aca="false">IF(AND(C133=0,E133=0),0,IF(C133=0,"New",(E133-C133)/C133))</f>
        <v>0.548872180451128</v>
      </c>
      <c r="H133" s="11" t="n">
        <f aca="false">SUMIFS('Source 2025'!$I:$I,'Source 2025'!$B:$B,$A133,'Source 2025'!$A:$A,"Amount (NIS)")</f>
        <v>7998.2</v>
      </c>
      <c r="I133" s="11" t="n">
        <f aca="false">SUMIFS('Source 2026'!$I:$I,'Source 2026'!$B:$B,$A133,'Source 2026'!$A:$A,"Amount (NIS)")</f>
        <v>9818.5</v>
      </c>
      <c r="J133" s="11" t="n">
        <f aca="false">I133*$J$5</f>
        <v>12402.3157894737</v>
      </c>
      <c r="K133" s="11" t="n">
        <f aca="false">J133-H133</f>
        <v>4404.11578947368</v>
      </c>
      <c r="L133" s="10" t="n">
        <f aca="false">IF(AND(H133=0,J133=0),0,IF(H133=0,"New",(J133-H133)/H133))</f>
        <v>0.550638367316857</v>
      </c>
    </row>
    <row r="134" customFormat="false" ht="15" hidden="false" customHeight="true" outlineLevel="0" collapsed="false">
      <c r="A134" s="8" t="s">
        <v>241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2" t="n">
        <f aca="false">D134*$J$5</f>
        <v>142.736842105263</v>
      </c>
      <c r="F134" s="22" t="n">
        <f aca="false">E134-C134</f>
        <v>-37.2631578947369</v>
      </c>
      <c r="G134" s="10" t="n">
        <f aca="false">IF(AND(C134=0,E134=0),0,IF(C134=0,"New",(E134-C134)/C134))</f>
        <v>-0.207017543859649</v>
      </c>
      <c r="H134" s="11" t="n">
        <f aca="false">SUMIFS('Source 2025'!$I:$I,'Source 2025'!$B:$B,$A134,'Source 2025'!$A:$A,"Amount (NIS)")</f>
        <v>5113.7</v>
      </c>
      <c r="I134" s="11" t="n">
        <f aca="false">SUMIFS('Source 2026'!$I:$I,'Source 2026'!$B:$B,$A134,'Source 2026'!$A:$A,"Amount (NIS)")</f>
        <v>3300.4</v>
      </c>
      <c r="J134" s="11" t="n">
        <f aca="false">I134*$J$5</f>
        <v>4168.92631578947</v>
      </c>
      <c r="K134" s="11" t="n">
        <f aca="false">J134-H134</f>
        <v>-944.773684210526</v>
      </c>
      <c r="L134" s="10" t="n">
        <f aca="false">IF(AND(H134=0,J134=0),0,IF(H134=0,"New",(J134-H134)/H134))</f>
        <v>-0.184753443536094</v>
      </c>
    </row>
    <row r="135" customFormat="false" ht="15" hidden="false" customHeight="true" outlineLevel="0" collapsed="false">
      <c r="A135" s="8" t="s">
        <v>194</v>
      </c>
      <c r="B135" s="8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2" t="n">
        <f aca="false">D135*$J$5</f>
        <v>12.6315789473684</v>
      </c>
      <c r="F135" s="22" t="n">
        <f aca="false">E135-C135</f>
        <v>-12.3684210526316</v>
      </c>
      <c r="G135" s="10" t="n">
        <f aca="false">IF(AND(C135=0,E135=0),0,IF(C135=0,"New",(E135-C135)/C135))</f>
        <v>-0.494736842105263</v>
      </c>
      <c r="H135" s="11" t="n">
        <f aca="false">SUMIFS('Source 2025'!$I:$I,'Source 2025'!$B:$B,$A135,'Source 2025'!$A:$A,"Amount (NIS)")</f>
        <v>2809.4</v>
      </c>
      <c r="I135" s="11" t="n">
        <f aca="false">SUMIFS('Source 2026'!$I:$I,'Source 2026'!$B:$B,$A135,'Source 2026'!$A:$A,"Amount (NIS)")</f>
        <v>1017.3</v>
      </c>
      <c r="J135" s="11" t="n">
        <f aca="false">I135*$J$5</f>
        <v>1285.01052631579</v>
      </c>
      <c r="K135" s="11" t="n">
        <f aca="false">J135-H135</f>
        <v>-1524.38947368421</v>
      </c>
      <c r="L135" s="10" t="n">
        <f aca="false">IF(AND(H135=0,J135=0),0,IF(H135=0,"New",(J135-H135)/H135))</f>
        <v>-0.542603215520827</v>
      </c>
    </row>
    <row r="136" customFormat="false" ht="15" hidden="false" customHeight="true" outlineLevel="0" collapsed="false">
      <c r="A136" s="8" t="s">
        <v>233</v>
      </c>
      <c r="B136" s="8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2" t="n">
        <f aca="false">D136*$J$5</f>
        <v>84.6315789473684</v>
      </c>
      <c r="F136" s="22" t="n">
        <f aca="false">E136-C136</f>
        <v>63.6315789473684</v>
      </c>
      <c r="G136" s="10" t="n">
        <f aca="false">IF(AND(C136=0,E136=0),0,IF(C136=0,"New",(E136-C136)/C136))</f>
        <v>3.03007518796992</v>
      </c>
      <c r="H136" s="11" t="n">
        <f aca="false">SUMIFS('Source 2025'!$I:$I,'Source 2025'!$B:$B,$A136,'Source 2025'!$A:$A,"Amount (NIS)")</f>
        <v>826.4</v>
      </c>
      <c r="I136" s="11" t="n">
        <f aca="false">SUMIFS('Source 2026'!$I:$I,'Source 2026'!$B:$B,$A136,'Source 2026'!$A:$A,"Amount (NIS)")</f>
        <v>2616.2</v>
      </c>
      <c r="J136" s="11" t="n">
        <f aca="false">I136*$J$5</f>
        <v>3304.67368421053</v>
      </c>
      <c r="K136" s="11" t="n">
        <f aca="false">J136-H136</f>
        <v>2478.27368421053</v>
      </c>
      <c r="L136" s="10" t="n">
        <f aca="false">IF(AND(H136=0,J136=0),0,IF(H136=0,"New",(J136-H136)/H136))</f>
        <v>2.99887909512406</v>
      </c>
    </row>
    <row r="137" customFormat="false" ht="15" hidden="false" customHeight="true" outlineLevel="0" collapsed="false">
      <c r="A137" s="8" t="s">
        <v>332</v>
      </c>
      <c r="B137" s="8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2" t="n">
        <f aca="false">D137*$J$5</f>
        <v>665.684210526316</v>
      </c>
      <c r="F137" s="22" t="n">
        <f aca="false">E137-C137</f>
        <v>240.684210526316</v>
      </c>
      <c r="G137" s="10" t="n">
        <f aca="false">IF(AND(C137=0,E137=0),0,IF(C137=0,"New",(E137-C137)/C137))</f>
        <v>0.566315789473684</v>
      </c>
      <c r="H137" s="11" t="n">
        <f aca="false">SUMIFS('Source 2025'!$I:$I,'Source 2025'!$B:$B,$A137,'Source 2025'!$A:$A,"Amount (NIS)")</f>
        <v>7074</v>
      </c>
      <c r="I137" s="11" t="n">
        <f aca="false">SUMIFS('Source 2026'!$I:$I,'Source 2026'!$B:$B,$A137,'Source 2026'!$A:$A,"Amount (NIS)")</f>
        <v>8847.9</v>
      </c>
      <c r="J137" s="11" t="n">
        <f aca="false">I137*$J$5</f>
        <v>11176.2947368421</v>
      </c>
      <c r="K137" s="11" t="n">
        <f aca="false">J137-H137</f>
        <v>4102.29473684211</v>
      </c>
      <c r="L137" s="10" t="n">
        <f aca="false">IF(AND(H137=0,J137=0),0,IF(H137=0,"New",(J137-H137)/H137))</f>
        <v>0.579911611088791</v>
      </c>
    </row>
    <row r="138" customFormat="false" ht="15" hidden="false" customHeight="true" outlineLevel="0" collapsed="false">
      <c r="A138" s="8" t="s">
        <v>258</v>
      </c>
      <c r="B138" s="8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2" t="n">
        <f aca="false">D138*$J$5</f>
        <v>212.210526315789</v>
      </c>
      <c r="F138" s="22" t="n">
        <f aca="false">E138-C138</f>
        <v>-69.7894736842106</v>
      </c>
      <c r="G138" s="10" t="n">
        <f aca="false">IF(AND(C138=0,E138=0),0,IF(C138=0,"New",(E138-C138)/C138))</f>
        <v>-0.247480403135498</v>
      </c>
      <c r="H138" s="11" t="n">
        <f aca="false">SUMIFS('Source 2025'!$I:$I,'Source 2025'!$B:$B,$A138,'Source 2025'!$A:$A,"Amount (NIS)")</f>
        <v>4342.8</v>
      </c>
      <c r="I138" s="11" t="n">
        <f aca="false">SUMIFS('Source 2026'!$I:$I,'Source 2026'!$B:$B,$A138,'Source 2026'!$A:$A,"Amount (NIS)")</f>
        <v>2587.2</v>
      </c>
      <c r="J138" s="11" t="n">
        <f aca="false">I138*$J$5</f>
        <v>3268.04210526316</v>
      </c>
      <c r="K138" s="11" t="n">
        <f aca="false">J138-H138</f>
        <v>-1074.75789473684</v>
      </c>
      <c r="L138" s="10" t="n">
        <f aca="false">IF(AND(H138=0,J138=0),0,IF(H138=0,"New",(J138-H138)/H138))</f>
        <v>-0.247480403135499</v>
      </c>
    </row>
    <row r="139" customFormat="false" ht="15" hidden="false" customHeight="true" outlineLevel="0" collapsed="false">
      <c r="A139" s="8" t="s">
        <v>143</v>
      </c>
      <c r="B139" s="8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2" t="n">
        <f aca="false">D139*$J$5</f>
        <v>27.7894736842105</v>
      </c>
      <c r="F139" s="22" t="n">
        <f aca="false">E139-C139</f>
        <v>24.7894736842105</v>
      </c>
      <c r="G139" s="10" t="n">
        <f aca="false">IF(AND(C139=0,E139=0),0,IF(C139=0,"New",(E139-C139)/C139))</f>
        <v>8.26315789473684</v>
      </c>
      <c r="H139" s="11" t="n">
        <f aca="false">SUMIFS('Source 2025'!$I:$I,'Source 2025'!$B:$B,$A139,'Source 2025'!$A:$A,"Amount (NIS)")</f>
        <v>270.4</v>
      </c>
      <c r="I139" s="11" t="n">
        <f aca="false">SUMIFS('Source 2026'!$I:$I,'Source 2026'!$B:$B,$A139,'Source 2026'!$A:$A,"Amount (NIS)")</f>
        <v>1982.6</v>
      </c>
      <c r="J139" s="11" t="n">
        <f aca="false">I139*$J$5</f>
        <v>2504.33684210526</v>
      </c>
      <c r="K139" s="11" t="n">
        <f aca="false">J139-H139</f>
        <v>2233.93684210526</v>
      </c>
      <c r="L139" s="10" t="n">
        <f aca="false">IF(AND(H139=0,J139=0),0,IF(H139=0,"New",(J139-H139)/H139))</f>
        <v>8.26160074743071</v>
      </c>
    </row>
    <row r="140" customFormat="false" ht="15" hidden="false" customHeight="true" outlineLevel="0" collapsed="false">
      <c r="A140" s="8" t="s">
        <v>268</v>
      </c>
      <c r="B140" s="8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2" t="n">
        <f aca="false">D140*$J$5</f>
        <v>-6.31578947368421</v>
      </c>
      <c r="F140" s="22" t="n">
        <f aca="false">E140-C140</f>
        <v>-14.3157894736842</v>
      </c>
      <c r="G140" s="10" t="n">
        <f aca="false">IF(AND(C140=0,E140=0),0,IF(C140=0,"New",(E140-C140)/C140))</f>
        <v>-1.78947368421053</v>
      </c>
      <c r="H140" s="11" t="n">
        <f aca="false">SUMIFS('Source 2025'!$I:$I,'Source 2025'!$B:$B,$A140,'Source 2025'!$A:$A,"Amount (NIS)")</f>
        <v>1014.7</v>
      </c>
      <c r="I140" s="11" t="n">
        <f aca="false">SUMIFS('Source 2026'!$I:$I,'Source 2026'!$B:$B,$A140,'Source 2026'!$A:$A,"Amount (NIS)")</f>
        <v>-670.5</v>
      </c>
      <c r="J140" s="11" t="n">
        <f aca="false">I140*$J$5</f>
        <v>-846.947368421053</v>
      </c>
      <c r="K140" s="11" t="n">
        <f aca="false">J140-H140</f>
        <v>-1861.64736842105</v>
      </c>
      <c r="L140" s="10" t="n">
        <f aca="false">IF(AND(H140=0,J140=0),0,IF(H140=0,"New",(J140-H140)/H140))</f>
        <v>-1.83467760758949</v>
      </c>
    </row>
    <row r="141" customFormat="false" ht="15" hidden="false" customHeight="true" outlineLevel="0" collapsed="false">
      <c r="A141" s="8" t="s">
        <v>195</v>
      </c>
      <c r="B141" s="8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2" t="n">
        <f aca="false">D141*$J$5</f>
        <v>279.157894736842</v>
      </c>
      <c r="F141" s="22" t="n">
        <f aca="false">E141-C141</f>
        <v>-64.8421052631579</v>
      </c>
      <c r="G141" s="10" t="n">
        <f aca="false">IF(AND(C141=0,E141=0),0,IF(C141=0,"New",(E141-C141)/C141))</f>
        <v>-0.188494492044064</v>
      </c>
      <c r="H141" s="11" t="n">
        <f aca="false">SUMIFS('Source 2025'!$I:$I,'Source 2025'!$B:$B,$A141,'Source 2025'!$A:$A,"Amount (NIS)")</f>
        <v>4647.4</v>
      </c>
      <c r="I141" s="11" t="n">
        <f aca="false">SUMIFS('Source 2026'!$I:$I,'Source 2026'!$B:$B,$A141,'Source 2026'!$A:$A,"Amount (NIS)")</f>
        <v>3005.5</v>
      </c>
      <c r="J141" s="11" t="n">
        <f aca="false">I141*$J$5</f>
        <v>3796.42105263158</v>
      </c>
      <c r="K141" s="11" t="n">
        <f aca="false">J141-H141</f>
        <v>-850.978947368421</v>
      </c>
      <c r="L141" s="10" t="n">
        <f aca="false">IF(AND(H141=0,J141=0),0,IF(H141=0,"New",(J141-H141)/H141))</f>
        <v>-0.183108608548526</v>
      </c>
    </row>
    <row r="142" customFormat="false" ht="15" hidden="false" customHeight="true" outlineLevel="0" collapsed="false">
      <c r="A142" s="8" t="s">
        <v>173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2" t="n">
        <f aca="false">D142*$J$5</f>
        <v>-22.7368421052632</v>
      </c>
      <c r="F142" s="22" t="n">
        <f aca="false">E142-C142</f>
        <v>-20.7368421052632</v>
      </c>
      <c r="G142" s="10" t="n">
        <f aca="false">IF(AND(C142=0,E142=0),0,IF(C142=0,"New",(E142-C142)/C142))</f>
        <v>10.3684210526316</v>
      </c>
      <c r="H142" s="11" t="n">
        <f aca="false">SUMIFS('Source 2025'!$I:$I,'Source 2025'!$B:$B,$A142,'Source 2025'!$A:$A,"Amount (NIS)")</f>
        <v>-38.7</v>
      </c>
      <c r="I142" s="11" t="n">
        <f aca="false">SUMIFS('Source 2026'!$I:$I,'Source 2026'!$B:$B,$A142,'Source 2026'!$A:$A,"Amount (NIS)")</f>
        <v>-1655.7</v>
      </c>
      <c r="J142" s="11" t="n">
        <f aca="false">I142*$J$5</f>
        <v>-2091.41052631579</v>
      </c>
      <c r="K142" s="11" t="n">
        <f aca="false">J142-H142</f>
        <v>-2052.71052631579</v>
      </c>
      <c r="L142" s="10" t="n">
        <f aca="false">IF(AND(H142=0,J142=0),0,IF(H142=0,"New",(J142-H142)/H142))</f>
        <v>53.0416156670746</v>
      </c>
    </row>
    <row r="143" customFormat="false" ht="15" hidden="false" customHeight="true" outlineLevel="0" collapsed="false">
      <c r="A143" s="8" t="s">
        <v>112</v>
      </c>
      <c r="B143" s="8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2" t="n">
        <f aca="false">D143*$J$5</f>
        <v>226.105263157895</v>
      </c>
      <c r="F143" s="22" t="n">
        <f aca="false">E143-C143</f>
        <v>19.1052631578947</v>
      </c>
      <c r="G143" s="10" t="n">
        <f aca="false">IF(AND(C143=0,E143=0),0,IF(C143=0,"New",(E143-C143)/C143))</f>
        <v>0.0922959572845155</v>
      </c>
      <c r="H143" s="11" t="n">
        <f aca="false">SUMIFS('Source 2025'!$I:$I,'Source 2025'!$B:$B,$A143,'Source 2025'!$A:$A,"Amount (NIS)")</f>
        <v>11336</v>
      </c>
      <c r="I143" s="11" t="n">
        <f aca="false">SUMIFS('Source 2026'!$I:$I,'Source 2026'!$B:$B,$A143,'Source 2026'!$A:$A,"Amount (NIS)")</f>
        <v>9773.3</v>
      </c>
      <c r="J143" s="11" t="n">
        <f aca="false">I143*$J$5</f>
        <v>12345.2210526316</v>
      </c>
      <c r="K143" s="11" t="n">
        <f aca="false">J143-H143</f>
        <v>1009.22105263158</v>
      </c>
      <c r="L143" s="10" t="n">
        <f aca="false">IF(AND(H143=0,J143=0),0,IF(H143=0,"New",(J143-H143)/H143))</f>
        <v>0.089027968651339</v>
      </c>
    </row>
    <row r="144" customFormat="false" ht="15" hidden="false" customHeight="true" outlineLevel="0" collapsed="false">
      <c r="A144" s="8" t="s">
        <v>236</v>
      </c>
      <c r="B144" s="8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2" t="n">
        <f aca="false">D144*$J$5</f>
        <v>231.157894736842</v>
      </c>
      <c r="F144" s="22" t="n">
        <f aca="false">E144-C144</f>
        <v>-12.8421052631579</v>
      </c>
      <c r="G144" s="10" t="n">
        <f aca="false">IF(AND(C144=0,E144=0),0,IF(C144=0,"New",(E144-C144)/C144))</f>
        <v>-0.0526315789473685</v>
      </c>
      <c r="H144" s="11" t="n">
        <f aca="false">SUMIFS('Source 2025'!$I:$I,'Source 2025'!$B:$B,$A144,'Source 2025'!$A:$A,"Amount (NIS)")</f>
        <v>6942.4</v>
      </c>
      <c r="I144" s="11" t="n">
        <f aca="false">SUMIFS('Source 2026'!$I:$I,'Source 2026'!$B:$B,$A144,'Source 2026'!$A:$A,"Amount (NIS)")</f>
        <v>5400.6</v>
      </c>
      <c r="J144" s="11" t="n">
        <f aca="false">I144*$J$5</f>
        <v>6821.81052631579</v>
      </c>
      <c r="K144" s="11" t="n">
        <f aca="false">J144-H144</f>
        <v>-120.58947368421</v>
      </c>
      <c r="L144" s="10" t="n">
        <f aca="false">IF(AND(H144=0,J144=0),0,IF(H144=0,"New",(J144-H144)/H144))</f>
        <v>-0.0173699979379192</v>
      </c>
    </row>
    <row r="145" customFormat="false" ht="15" hidden="false" customHeight="true" outlineLevel="0" collapsed="false">
      <c r="A145" s="8" t="s">
        <v>177</v>
      </c>
      <c r="B145" s="8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2" t="n">
        <f aca="false">D145*$J$5</f>
        <v>213.473684210526</v>
      </c>
      <c r="F145" s="22" t="n">
        <f aca="false">E145-C145</f>
        <v>14.4736842105263</v>
      </c>
      <c r="G145" s="10" t="n">
        <f aca="false">IF(AND(C145=0,E145=0),0,IF(C145=0,"New",(E145-C145)/C145))</f>
        <v>0.0727320814599312</v>
      </c>
      <c r="H145" s="11" t="n">
        <f aca="false">SUMIFS('Source 2025'!$I:$I,'Source 2025'!$B:$B,$A145,'Source 2025'!$A:$A,"Amount (NIS)")</f>
        <v>11049.3</v>
      </c>
      <c r="I145" s="11" t="n">
        <f aca="false">SUMIFS('Source 2026'!$I:$I,'Source 2026'!$B:$B,$A145,'Source 2026'!$A:$A,"Amount (NIS)")</f>
        <v>9531.8</v>
      </c>
      <c r="J145" s="11" t="n">
        <f aca="false">I145*$J$5</f>
        <v>12040.1684210526</v>
      </c>
      <c r="K145" s="11" t="n">
        <f aca="false">J145-H145</f>
        <v>990.86842105263</v>
      </c>
      <c r="L145" s="10" t="n">
        <f aca="false">IF(AND(H145=0,J145=0),0,IF(H145=0,"New",(J145-H145)/H145))</f>
        <v>0.0896770312194103</v>
      </c>
    </row>
    <row r="146" customFormat="false" ht="15" hidden="false" customHeight="true" outlineLevel="0" collapsed="false">
      <c r="A146" s="8" t="s">
        <v>188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2" t="n">
        <f aca="false">D146*$J$5</f>
        <v>1568.84210526316</v>
      </c>
      <c r="F146" s="22" t="n">
        <f aca="false">E146-C146</f>
        <v>179.842105263158</v>
      </c>
      <c r="G146" s="10" t="n">
        <f aca="false">IF(AND(C146=0,E146=0),0,IF(C146=0,"New",(E146-C146)/C146))</f>
        <v>0.129475957712857</v>
      </c>
      <c r="H146" s="11" t="n">
        <f aca="false">SUMIFS('Source 2025'!$I:$I,'Source 2025'!$B:$B,$A146,'Source 2025'!$A:$A,"Amount (NIS)")</f>
        <v>20155.3</v>
      </c>
      <c r="I146" s="11" t="n">
        <f aca="false">SUMIFS('Source 2026'!$I:$I,'Source 2026'!$B:$B,$A146,'Source 2026'!$A:$A,"Amount (NIS)")</f>
        <v>18693.6</v>
      </c>
      <c r="J146" s="11" t="n">
        <f aca="false">I146*$J$5</f>
        <v>23612.9684210526</v>
      </c>
      <c r="K146" s="11" t="n">
        <f aca="false">J146-H146</f>
        <v>3457.66842105263</v>
      </c>
      <c r="L146" s="10" t="n">
        <f aca="false">IF(AND(H146=0,J146=0),0,IF(H146=0,"New",(J146-H146)/H146))</f>
        <v>0.171551325013899</v>
      </c>
    </row>
    <row r="147" customFormat="false" ht="15" hidden="false" customHeight="true" outlineLevel="0" collapsed="false">
      <c r="A147" s="8" t="s">
        <v>138</v>
      </c>
      <c r="B147" s="8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2" t="n">
        <f aca="false">D147*$J$5</f>
        <v>78.3157894736842</v>
      </c>
      <c r="F147" s="22" t="n">
        <f aca="false">E147-C147</f>
        <v>-32.6842105263158</v>
      </c>
      <c r="G147" s="10" t="n">
        <f aca="false">IF(AND(C147=0,E147=0),0,IF(C147=0,"New",(E147-C147)/C147))</f>
        <v>-0.294452347083926</v>
      </c>
      <c r="H147" s="11" t="n">
        <f aca="false">SUMIFS('Source 2025'!$I:$I,'Source 2025'!$B:$B,$A147,'Source 2025'!$A:$A,"Amount (NIS)")</f>
        <v>3384.7</v>
      </c>
      <c r="I147" s="11" t="n">
        <f aca="false">SUMIFS('Source 2026'!$I:$I,'Source 2026'!$B:$B,$A147,'Source 2026'!$A:$A,"Amount (NIS)")</f>
        <v>1987</v>
      </c>
      <c r="J147" s="11" t="n">
        <f aca="false">I147*$J$5</f>
        <v>2509.89473684211</v>
      </c>
      <c r="K147" s="11" t="n">
        <f aca="false">J147-H147</f>
        <v>-874.805263157895</v>
      </c>
      <c r="L147" s="10" t="n">
        <f aca="false">IF(AND(H147=0,J147=0),0,IF(H147=0,"New",(J147-H147)/H147))</f>
        <v>-0.258458729919312</v>
      </c>
    </row>
    <row r="148" customFormat="false" ht="15" hidden="false" customHeight="true" outlineLevel="0" collapsed="false">
      <c r="A148" s="8" t="s">
        <v>196</v>
      </c>
      <c r="B148" s="8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2" t="n">
        <f aca="false">D148*$J$5</f>
        <v>270.315789473684</v>
      </c>
      <c r="F148" s="22" t="n">
        <f aca="false">E148-C148</f>
        <v>-77.6842105263158</v>
      </c>
      <c r="G148" s="10" t="n">
        <f aca="false">IF(AND(C148=0,E148=0),0,IF(C148=0,"New",(E148-C148)/C148))</f>
        <v>-0.223230490018149</v>
      </c>
      <c r="H148" s="11" t="n">
        <f aca="false">SUMIFS('Source 2025'!$I:$I,'Source 2025'!$B:$B,$A148,'Source 2025'!$A:$A,"Amount (NIS)")</f>
        <v>3648.6</v>
      </c>
      <c r="I148" s="11" t="n">
        <f aca="false">SUMIFS('Source 2026'!$I:$I,'Source 2026'!$B:$B,$A148,'Source 2026'!$A:$A,"Amount (NIS)")</f>
        <v>2308.6</v>
      </c>
      <c r="J148" s="11" t="n">
        <f aca="false">I148*$J$5</f>
        <v>2916.12631578947</v>
      </c>
      <c r="K148" s="11" t="n">
        <f aca="false">J148-H148</f>
        <v>-732.473684210527</v>
      </c>
      <c r="L148" s="10" t="n">
        <f aca="false">IF(AND(H148=0,J148=0),0,IF(H148=0,"New",(J148-H148)/H148))</f>
        <v>-0.200754723513273</v>
      </c>
    </row>
    <row r="149" customFormat="false" ht="15" hidden="false" customHeight="true" outlineLevel="0" collapsed="false">
      <c r="A149" s="8" t="s">
        <v>293</v>
      </c>
      <c r="B149" s="8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2" t="n">
        <f aca="false">D149*$J$5</f>
        <v>84.6315789473684</v>
      </c>
      <c r="F149" s="22" t="n">
        <f aca="false">E149-C149</f>
        <v>-27.3684210526316</v>
      </c>
      <c r="G149" s="10" t="n">
        <f aca="false">IF(AND(C149=0,E149=0),0,IF(C149=0,"New",(E149-C149)/C149))</f>
        <v>-0.244360902255639</v>
      </c>
      <c r="H149" s="11" t="n">
        <f aca="false">SUMIFS('Source 2025'!$I:$I,'Source 2025'!$B:$B,$A149,'Source 2025'!$A:$A,"Amount (NIS)")</f>
        <v>3309.2</v>
      </c>
      <c r="I149" s="11" t="n">
        <f aca="false">SUMIFS('Source 2026'!$I:$I,'Source 2026'!$B:$B,$A149,'Source 2026'!$A:$A,"Amount (NIS)")</f>
        <v>1984.1</v>
      </c>
      <c r="J149" s="11" t="n">
        <f aca="false">I149*$J$5</f>
        <v>2506.23157894737</v>
      </c>
      <c r="K149" s="11" t="n">
        <f aca="false">J149-H149</f>
        <v>-802.968421052632</v>
      </c>
      <c r="L149" s="10" t="n">
        <f aca="false">IF(AND(H149=0,J149=0),0,IF(H149=0,"New",(J149-H149)/H149))</f>
        <v>-0.242647292715046</v>
      </c>
    </row>
    <row r="150" customFormat="false" ht="15" hidden="false" customHeight="true" outlineLevel="0" collapsed="false">
      <c r="A150" s="8" t="s">
        <v>141</v>
      </c>
      <c r="B150" s="8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2" t="n">
        <f aca="false">D150*$J$5</f>
        <v>-11.3684210526316</v>
      </c>
      <c r="F150" s="22" t="n">
        <f aca="false">E150-C150</f>
        <v>-11.3684210526316</v>
      </c>
      <c r="G150" s="10" t="str">
        <f aca="false">IF(AND(C150=0,E150=0),0,IF(C150=0,"New",(E150-C150)/C150))</f>
        <v>New</v>
      </c>
      <c r="H150" s="11" t="n">
        <f aca="false">SUMIFS('Source 2025'!$I:$I,'Source 2025'!$B:$B,$A150,'Source 2025'!$A:$A,"Amount (NIS)")</f>
        <v>103.2</v>
      </c>
      <c r="I150" s="11" t="n">
        <f aca="false">SUMIFS('Source 2026'!$I:$I,'Source 2026'!$B:$B,$A150,'Source 2026'!$A:$A,"Amount (NIS)")</f>
        <v>-1207.9</v>
      </c>
      <c r="J150" s="11" t="n">
        <f aca="false">I150*$J$5</f>
        <v>-1525.76842105263</v>
      </c>
      <c r="K150" s="11" t="n">
        <f aca="false">J150-H150</f>
        <v>-1628.96842105263</v>
      </c>
      <c r="L150" s="10" t="n">
        <f aca="false">IF(AND(H150=0,J150=0),0,IF(H150=0,"New",(J150-H150)/H150))</f>
        <v>-15.7845777233782</v>
      </c>
    </row>
    <row r="151" customFormat="false" ht="15" hidden="false" customHeight="true" outlineLevel="0" collapsed="false">
      <c r="A151" s="8" t="s">
        <v>300</v>
      </c>
      <c r="B151" s="8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2" t="n">
        <f aca="false">D151*$J$5</f>
        <v>61.8947368421053</v>
      </c>
      <c r="F151" s="22" t="n">
        <f aca="false">E151-C151</f>
        <v>-6.10526315789474</v>
      </c>
      <c r="G151" s="10" t="n">
        <f aca="false">IF(AND(C151=0,E151=0),0,IF(C151=0,"New",(E151-C151)/C151))</f>
        <v>-0.0897832817337462</v>
      </c>
      <c r="H151" s="11" t="n">
        <f aca="false">SUMIFS('Source 2025'!$I:$I,'Source 2025'!$B:$B,$A151,'Source 2025'!$A:$A,"Amount (NIS)")</f>
        <v>4941.6</v>
      </c>
      <c r="I151" s="11" t="n">
        <f aca="false">SUMIFS('Source 2026'!$I:$I,'Source 2026'!$B:$B,$A151,'Source 2026'!$A:$A,"Amount (NIS)")</f>
        <v>3665.5</v>
      </c>
      <c r="J151" s="11" t="n">
        <f aca="false">I151*$J$5</f>
        <v>4630.10526315789</v>
      </c>
      <c r="K151" s="11" t="n">
        <f aca="false">J151-H151</f>
        <v>-311.494736842106</v>
      </c>
      <c r="L151" s="10" t="n">
        <f aca="false">IF(AND(H151=0,J151=0),0,IF(H151=0,"New",(J151-H151)/H151))</f>
        <v>-0.0630351984867465</v>
      </c>
    </row>
    <row r="152" customFormat="false" ht="15" hidden="false" customHeight="true" outlineLevel="0" collapsed="false">
      <c r="A152" s="8" t="s">
        <v>247</v>
      </c>
      <c r="B152" s="8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2" t="n">
        <f aca="false">D152*$J$5</f>
        <v>56.8421052631579</v>
      </c>
      <c r="F152" s="22" t="n">
        <f aca="false">E152-C152</f>
        <v>-7.15789473684211</v>
      </c>
      <c r="G152" s="10" t="n">
        <f aca="false">IF(AND(C152=0,E152=0),0,IF(C152=0,"New",(E152-C152)/C152))</f>
        <v>-0.111842105263158</v>
      </c>
      <c r="H152" s="11" t="n">
        <f aca="false">SUMIFS('Source 2025'!$I:$I,'Source 2025'!$B:$B,$A152,'Source 2025'!$A:$A,"Amount (NIS)")</f>
        <v>4662.7</v>
      </c>
      <c r="I152" s="11" t="n">
        <f aca="false">SUMIFS('Source 2026'!$I:$I,'Source 2026'!$B:$B,$A152,'Source 2026'!$A:$A,"Amount (NIS)")</f>
        <v>3398.1</v>
      </c>
      <c r="J152" s="11" t="n">
        <f aca="false">I152*$J$5</f>
        <v>4292.33684210526</v>
      </c>
      <c r="K152" s="11" t="n">
        <f aca="false">J152-H152</f>
        <v>-370.363157894737</v>
      </c>
      <c r="L152" s="10" t="n">
        <f aca="false">IF(AND(H152=0,J152=0),0,IF(H152=0,"New",(J152-H152)/H152))</f>
        <v>-0.0794310502272797</v>
      </c>
    </row>
    <row r="153" customFormat="false" ht="15" hidden="false" customHeight="true" outlineLevel="0" collapsed="false">
      <c r="A153" s="8" t="s">
        <v>363</v>
      </c>
      <c r="B153" s="8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2" t="n">
        <f aca="false">D153*$J$5</f>
        <v>0</v>
      </c>
      <c r="F153" s="22" t="n">
        <f aca="false">E153-C153</f>
        <v>-15</v>
      </c>
      <c r="G153" s="10" t="n">
        <f aca="false">IF(AND(C153=0,E153=0),0,IF(C153=0,"New",(E153-C153)/C153))</f>
        <v>-1</v>
      </c>
      <c r="H153" s="11" t="n">
        <f aca="false">SUMIFS('Source 2025'!$I:$I,'Source 2025'!$B:$B,$A153,'Source 2025'!$A:$A,"Amount (NIS)")</f>
        <v>1210.5</v>
      </c>
      <c r="I153" s="11" t="n">
        <f aca="false">SUMIFS('Source 2026'!$I:$I,'Source 2026'!$B:$B,$A153,'Source 2026'!$A:$A,"Amount (NIS)")</f>
        <v>25.9</v>
      </c>
      <c r="J153" s="11" t="n">
        <f aca="false">I153*$J$5</f>
        <v>32.7157894736842</v>
      </c>
      <c r="K153" s="11" t="n">
        <f aca="false">J153-H153</f>
        <v>-1177.78421052632</v>
      </c>
      <c r="L153" s="10" t="n">
        <f aca="false">IF(AND(H153=0,J153=0),0,IF(H153=0,"New",(J153-H153)/H153))</f>
        <v>-0.972973325507076</v>
      </c>
    </row>
    <row r="154" customFormat="false" ht="15" hidden="false" customHeight="true" outlineLevel="0" collapsed="false">
      <c r="A154" s="8" t="s">
        <v>137</v>
      </c>
      <c r="B154" s="8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2" t="n">
        <f aca="false">D154*$J$5</f>
        <v>198.315789473684</v>
      </c>
      <c r="F154" s="22" t="n">
        <f aca="false">E154-C154</f>
        <v>-47.6842105263158</v>
      </c>
      <c r="G154" s="10" t="n">
        <f aca="false">IF(AND(C154=0,E154=0),0,IF(C154=0,"New",(E154-C154)/C154))</f>
        <v>-0.193838254172015</v>
      </c>
      <c r="H154" s="11" t="n">
        <f aca="false">SUMIFS('Source 2025'!$I:$I,'Source 2025'!$B:$B,$A154,'Source 2025'!$A:$A,"Amount (NIS)")</f>
        <v>3292.9</v>
      </c>
      <c r="I154" s="11" t="n">
        <f aca="false">SUMIFS('Source 2026'!$I:$I,'Source 2026'!$B:$B,$A154,'Source 2026'!$A:$A,"Amount (NIS)")</f>
        <v>2127.7</v>
      </c>
      <c r="J154" s="11" t="n">
        <f aca="false">I154*$J$5</f>
        <v>2687.62105263158</v>
      </c>
      <c r="K154" s="11" t="n">
        <f aca="false">J154-H154</f>
        <v>-605.278947368422</v>
      </c>
      <c r="L154" s="10" t="n">
        <f aca="false">IF(AND(H154=0,J154=0),0,IF(H154=0,"New",(J154-H154)/H154))</f>
        <v>-0.18381334002503</v>
      </c>
    </row>
    <row r="155" customFormat="false" ht="15" hidden="false" customHeight="true" outlineLevel="0" collapsed="false">
      <c r="A155" s="8" t="s">
        <v>265</v>
      </c>
      <c r="B155" s="8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2" t="n">
        <f aca="false">D155*$J$5</f>
        <v>42.9473684210526</v>
      </c>
      <c r="F155" s="22" t="n">
        <f aca="false">E155-C155</f>
        <v>-33.0526315789474</v>
      </c>
      <c r="G155" s="10" t="n">
        <f aca="false">IF(AND(C155=0,E155=0),0,IF(C155=0,"New",(E155-C155)/C155))</f>
        <v>-0.434903047091413</v>
      </c>
      <c r="H155" s="11" t="n">
        <f aca="false">SUMIFS('Source 2025'!$I:$I,'Source 2025'!$B:$B,$A155,'Source 2025'!$A:$A,"Amount (NIS)")</f>
        <v>2156.6</v>
      </c>
      <c r="I155" s="11" t="n">
        <f aca="false">SUMIFS('Source 2026'!$I:$I,'Source 2026'!$B:$B,$A155,'Source 2026'!$A:$A,"Amount (NIS)")</f>
        <v>993.8</v>
      </c>
      <c r="J155" s="11" t="n">
        <f aca="false">I155*$J$5</f>
        <v>1255.32631578947</v>
      </c>
      <c r="K155" s="11" t="n">
        <f aca="false">J155-H155</f>
        <v>-901.273684210526</v>
      </c>
      <c r="L155" s="10" t="n">
        <f aca="false">IF(AND(H155=0,J155=0),0,IF(H155=0,"New",(J155-H155)/H155))</f>
        <v>-0.417914163132026</v>
      </c>
    </row>
    <row r="156" customFormat="false" ht="15" hidden="false" customHeight="true" outlineLevel="0" collapsed="false">
      <c r="A156" s="8" t="s">
        <v>170</v>
      </c>
      <c r="B156" s="8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2" t="n">
        <f aca="false">D156*$J$5</f>
        <v>1.26315789473684</v>
      </c>
      <c r="F156" s="22" t="n">
        <f aca="false">E156-C156</f>
        <v>-9.73684210526316</v>
      </c>
      <c r="G156" s="10" t="n">
        <f aca="false">IF(AND(C156=0,E156=0),0,IF(C156=0,"New",(E156-C156)/C156))</f>
        <v>-0.885167464114833</v>
      </c>
      <c r="H156" s="11" t="n">
        <f aca="false">SUMIFS('Source 2025'!$I:$I,'Source 2025'!$B:$B,$A156,'Source 2025'!$A:$A,"Amount (NIS)")</f>
        <v>1262.7</v>
      </c>
      <c r="I156" s="11" t="n">
        <f aca="false">SUMIFS('Source 2026'!$I:$I,'Source 2026'!$B:$B,$A156,'Source 2026'!$A:$A,"Amount (NIS)")</f>
        <v>110.5</v>
      </c>
      <c r="J156" s="11" t="n">
        <f aca="false">I156*$J$5</f>
        <v>139.578947368421</v>
      </c>
      <c r="K156" s="11" t="n">
        <f aca="false">J156-H156</f>
        <v>-1123.12105263158</v>
      </c>
      <c r="L156" s="10" t="n">
        <f aca="false">IF(AND(H156=0,J156=0),0,IF(H156=0,"New",(J156-H156)/H156))</f>
        <v>-0.889459929224344</v>
      </c>
    </row>
    <row r="157" customFormat="false" ht="15" hidden="false" customHeight="true" outlineLevel="0" collapsed="false">
      <c r="A157" s="8" t="s">
        <v>108</v>
      </c>
      <c r="B157" s="8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2" t="n">
        <f aca="false">D157*$J$5</f>
        <v>240</v>
      </c>
      <c r="F157" s="22" t="n">
        <f aca="false">E157-C157</f>
        <v>-16</v>
      </c>
      <c r="G157" s="10" t="n">
        <f aca="false">IF(AND(C157=0,E157=0),0,IF(C157=0,"New",(E157-C157)/C157))</f>
        <v>-0.0625</v>
      </c>
      <c r="H157" s="11" t="n">
        <f aca="false">SUMIFS('Source 2025'!$I:$I,'Source 2025'!$B:$B,$A157,'Source 2025'!$A:$A,"Amount (NIS)")</f>
        <v>5941.9</v>
      </c>
      <c r="I157" s="11" t="n">
        <f aca="false">SUMIFS('Source 2026'!$I:$I,'Source 2026'!$B:$B,$A157,'Source 2026'!$A:$A,"Amount (NIS)")</f>
        <v>4799.3</v>
      </c>
      <c r="J157" s="11" t="n">
        <f aca="false">I157*$J$5</f>
        <v>6062.27368421053</v>
      </c>
      <c r="K157" s="11" t="n">
        <f aca="false">J157-H157</f>
        <v>120.373684210526</v>
      </c>
      <c r="L157" s="10" t="n">
        <f aca="false">IF(AND(H157=0,J157=0),0,IF(H157=0,"New",(J157-H157)/H157))</f>
        <v>0.0202584500261745</v>
      </c>
    </row>
    <row r="158" customFormat="false" ht="15" hidden="false" customHeight="true" outlineLevel="0" collapsed="false">
      <c r="A158" s="8" t="s">
        <v>222</v>
      </c>
      <c r="B158" s="8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2" t="n">
        <f aca="false">D158*$J$5</f>
        <v>-2.52631578947368</v>
      </c>
      <c r="F158" s="22" t="n">
        <f aca="false">E158-C158</f>
        <v>-4.52631578947368</v>
      </c>
      <c r="G158" s="10" t="n">
        <f aca="false">IF(AND(C158=0,E158=0),0,IF(C158=0,"New",(E158-C158)/C158))</f>
        <v>-2.26315789473684</v>
      </c>
      <c r="H158" s="11" t="n">
        <f aca="false">SUMIFS('Source 2025'!$I:$I,'Source 2025'!$B:$B,$A158,'Source 2025'!$A:$A,"Amount (NIS)")</f>
        <v>573.5</v>
      </c>
      <c r="I158" s="11" t="n">
        <f aca="false">SUMIFS('Source 2026'!$I:$I,'Source 2026'!$B:$B,$A158,'Source 2026'!$A:$A,"Amount (NIS)")</f>
        <v>-553</v>
      </c>
      <c r="J158" s="11" t="n">
        <f aca="false">I158*$J$5</f>
        <v>-698.526315789474</v>
      </c>
      <c r="K158" s="11" t="n">
        <f aca="false">J158-H158</f>
        <v>-1272.02631578947</v>
      </c>
      <c r="L158" s="10" t="n">
        <f aca="false">IF(AND(H158=0,J158=0),0,IF(H158=0,"New",(J158-H158)/H158))</f>
        <v>-2.21800578167301</v>
      </c>
    </row>
    <row r="159" customFormat="false" ht="15" hidden="false" customHeight="true" outlineLevel="0" collapsed="false">
      <c r="A159" s="8" t="s">
        <v>154</v>
      </c>
      <c r="B159" s="8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2" t="n">
        <f aca="false">D159*$J$5</f>
        <v>63.1578947368421</v>
      </c>
      <c r="F159" s="22" t="n">
        <f aca="false">E159-C159</f>
        <v>24.1578947368421</v>
      </c>
      <c r="G159" s="10" t="n">
        <f aca="false">IF(AND(C159=0,E159=0),0,IF(C159=0,"New",(E159-C159)/C159))</f>
        <v>0.619433198380567</v>
      </c>
      <c r="H159" s="11" t="n">
        <f aca="false">SUMIFS('Source 2025'!$I:$I,'Source 2025'!$B:$B,$A159,'Source 2025'!$A:$A,"Amount (NIS)")</f>
        <v>2718.6</v>
      </c>
      <c r="I159" s="11" t="n">
        <f aca="false">SUMIFS('Source 2026'!$I:$I,'Source 2026'!$B:$B,$A159,'Source 2026'!$A:$A,"Amount (NIS)")</f>
        <v>3724.2</v>
      </c>
      <c r="J159" s="11" t="n">
        <f aca="false">I159*$J$5</f>
        <v>4704.25263157895</v>
      </c>
      <c r="K159" s="11" t="n">
        <f aca="false">J159-H159</f>
        <v>1985.65263157895</v>
      </c>
      <c r="L159" s="10" t="n">
        <f aca="false">IF(AND(H159=0,J159=0),0,IF(H159=0,"New",(J159-H159)/H159))</f>
        <v>0.730395288596685</v>
      </c>
    </row>
    <row r="160" customFormat="false" ht="15" hidden="false" customHeight="true" outlineLevel="0" collapsed="false">
      <c r="A160" s="8" t="s">
        <v>191</v>
      </c>
      <c r="B160" s="8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2" t="n">
        <f aca="false">D160*$J$5</f>
        <v>132.631578947368</v>
      </c>
      <c r="F160" s="22" t="n">
        <f aca="false">E160-C160</f>
        <v>-53.3684210526316</v>
      </c>
      <c r="G160" s="10" t="n">
        <f aca="false">IF(AND(C160=0,E160=0),0,IF(C160=0,"New",(E160-C160)/C160))</f>
        <v>-0.286926994906621</v>
      </c>
      <c r="H160" s="11" t="n">
        <f aca="false">SUMIFS('Source 2025'!$I:$I,'Source 2025'!$B:$B,$A160,'Source 2025'!$A:$A,"Amount (NIS)")</f>
        <v>2396.7</v>
      </c>
      <c r="I160" s="11" t="n">
        <f aca="false">SUMIFS('Source 2026'!$I:$I,'Source 2026'!$B:$B,$A160,'Source 2026'!$A:$A,"Amount (NIS)")</f>
        <v>1409.1</v>
      </c>
      <c r="J160" s="11" t="n">
        <f aca="false">I160*$J$5</f>
        <v>1779.91578947368</v>
      </c>
      <c r="K160" s="11" t="n">
        <f aca="false">J160-H160</f>
        <v>-616.784210526316</v>
      </c>
      <c r="L160" s="10" t="n">
        <f aca="false">IF(AND(H160=0,J160=0),0,IF(H160=0,"New",(J160-H160)/H160))</f>
        <v>-0.257347273553768</v>
      </c>
    </row>
    <row r="161" customFormat="false" ht="15" hidden="false" customHeight="true" outlineLevel="0" collapsed="false">
      <c r="A161" s="8" t="s">
        <v>235</v>
      </c>
      <c r="B161" s="8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2" t="n">
        <f aca="false">D161*$J$5</f>
        <v>70.7368421052632</v>
      </c>
      <c r="F161" s="22" t="n">
        <f aca="false">E161-C161</f>
        <v>-75.2631578947369</v>
      </c>
      <c r="G161" s="10" t="n">
        <f aca="false">IF(AND(C161=0,E161=0),0,IF(C161=0,"New",(E161-C161)/C161))</f>
        <v>-0.5155010814708</v>
      </c>
      <c r="H161" s="11" t="n">
        <f aca="false">SUMIFS('Source 2025'!$I:$I,'Source 2025'!$B:$B,$A161,'Source 2025'!$A:$A,"Amount (NIS)")</f>
        <v>1504.7</v>
      </c>
      <c r="I161" s="11" t="n">
        <f aca="false">SUMIFS('Source 2026'!$I:$I,'Source 2026'!$B:$B,$A161,'Source 2026'!$A:$A,"Amount (NIS)")</f>
        <v>574.5</v>
      </c>
      <c r="J161" s="11" t="n">
        <f aca="false">I161*$J$5</f>
        <v>725.684210526316</v>
      </c>
      <c r="K161" s="11" t="n">
        <f aca="false">J161-H161</f>
        <v>-779.015789473684</v>
      </c>
      <c r="L161" s="10" t="n">
        <f aca="false">IF(AND(H161=0,J161=0),0,IF(H161=0,"New",(J161-H161)/H161))</f>
        <v>-0.517721665098481</v>
      </c>
    </row>
    <row r="162" customFormat="false" ht="15" hidden="false" customHeight="true" outlineLevel="0" collapsed="false">
      <c r="A162" s="8" t="s">
        <v>158</v>
      </c>
      <c r="B162" s="8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2" t="n">
        <f aca="false">D162*$J$5</f>
        <v>329.684210526316</v>
      </c>
      <c r="F162" s="22" t="n">
        <f aca="false">E162-C162</f>
        <v>28.6842105263158</v>
      </c>
      <c r="G162" s="10" t="n">
        <f aca="false">IF(AND(C162=0,E162=0),0,IF(C162=0,"New",(E162-C162)/C162))</f>
        <v>0.0952963804860989</v>
      </c>
      <c r="H162" s="11" t="n">
        <f aca="false">SUMIFS('Source 2025'!$I:$I,'Source 2025'!$B:$B,$A162,'Source 2025'!$A:$A,"Amount (NIS)")</f>
        <v>7428.9</v>
      </c>
      <c r="I162" s="11" t="n">
        <f aca="false">SUMIFS('Source 2026'!$I:$I,'Source 2026'!$B:$B,$A162,'Source 2026'!$A:$A,"Amount (NIS)")</f>
        <v>6510.6</v>
      </c>
      <c r="J162" s="11" t="n">
        <f aca="false">I162*$J$5</f>
        <v>8223.91578947368</v>
      </c>
      <c r="K162" s="11" t="n">
        <f aca="false">J162-H162</f>
        <v>795.015789473684</v>
      </c>
      <c r="L162" s="10" t="n">
        <f aca="false">IF(AND(H162=0,J162=0),0,IF(H162=0,"New",(J162-H162)/H162))</f>
        <v>0.107016622847755</v>
      </c>
    </row>
    <row r="163" customFormat="false" ht="15" hidden="false" customHeight="true" outlineLevel="0" collapsed="false">
      <c r="A163" s="8" t="s">
        <v>253</v>
      </c>
      <c r="B163" s="8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2" t="n">
        <f aca="false">D163*$J$5</f>
        <v>11.3684210526316</v>
      </c>
      <c r="F163" s="22" t="n">
        <f aca="false">E163-C163</f>
        <v>5.36842105263158</v>
      </c>
      <c r="G163" s="10" t="n">
        <f aca="false">IF(AND(C163=0,E163=0),0,IF(C163=0,"New",(E163-C163)/C163))</f>
        <v>0.894736842105263</v>
      </c>
      <c r="H163" s="11" t="n">
        <f aca="false">SUMIFS('Source 2025'!$I:$I,'Source 2025'!$B:$B,$A163,'Source 2025'!$A:$A,"Amount (NIS)")</f>
        <v>1810.2</v>
      </c>
      <c r="I163" s="11" t="n">
        <f aca="false">SUMIFS('Source 2026'!$I:$I,'Source 2026'!$B:$B,$A163,'Source 2026'!$A:$A,"Amount (NIS)")</f>
        <v>2715.4</v>
      </c>
      <c r="J163" s="11" t="n">
        <f aca="false">I163*$J$5</f>
        <v>3429.97894736842</v>
      </c>
      <c r="K163" s="11" t="n">
        <f aca="false">J163-H163</f>
        <v>1619.77894736842</v>
      </c>
      <c r="L163" s="10" t="n">
        <f aca="false">IF(AND(H163=0,J163=0),0,IF(H163=0,"New",(J163-H163)/H163))</f>
        <v>0.894806622123755</v>
      </c>
    </row>
    <row r="164" customFormat="false" ht="15" hidden="false" customHeight="true" outlineLevel="0" collapsed="false">
      <c r="A164" s="8" t="s">
        <v>225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2" t="n">
        <f aca="false">D164*$J$5</f>
        <v>-7.57894736842105</v>
      </c>
      <c r="F164" s="22" t="n">
        <f aca="false">E164-C164</f>
        <v>-26.5789473684211</v>
      </c>
      <c r="G164" s="10" t="n">
        <f aca="false">IF(AND(C164=0,E164=0),0,IF(C164=0,"New",(E164-C164)/C164))</f>
        <v>-1.398891966759</v>
      </c>
      <c r="H164" s="11" t="n">
        <f aca="false">SUMIFS('Source 2025'!$I:$I,'Source 2025'!$B:$B,$A164,'Source 2025'!$A:$A,"Amount (NIS)")</f>
        <v>642</v>
      </c>
      <c r="I164" s="11" t="n">
        <f aca="false">SUMIFS('Source 2026'!$I:$I,'Source 2026'!$B:$B,$A164,'Source 2026'!$A:$A,"Amount (NIS)")</f>
        <v>-215.2</v>
      </c>
      <c r="J164" s="11" t="n">
        <f aca="false">I164*$J$5</f>
        <v>-271.831578947368</v>
      </c>
      <c r="K164" s="11" t="n">
        <f aca="false">J164-H164</f>
        <v>-913.831578947368</v>
      </c>
      <c r="L164" s="10" t="n">
        <f aca="false">IF(AND(H164=0,J164=0),0,IF(H164=0,"New",(J164-H164)/H164))</f>
        <v>-1.42341367437285</v>
      </c>
    </row>
    <row r="165" customFormat="false" ht="15" hidden="false" customHeight="true" outlineLevel="0" collapsed="false">
      <c r="A165" s="8" t="s">
        <v>178</v>
      </c>
      <c r="B165" s="8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2" t="n">
        <f aca="false">D165*$J$5</f>
        <v>3.78947368421053</v>
      </c>
      <c r="F165" s="22" t="n">
        <f aca="false">E165-C165</f>
        <v>-8.21052631578947</v>
      </c>
      <c r="G165" s="10" t="n">
        <f aca="false">IF(AND(C165=0,E165=0),0,IF(C165=0,"New",(E165-C165)/C165))</f>
        <v>-0.68421052631579</v>
      </c>
      <c r="H165" s="11" t="n">
        <f aca="false">SUMIFS('Source 2025'!$I:$I,'Source 2025'!$B:$B,$A165,'Source 2025'!$A:$A,"Amount (NIS)")</f>
        <v>1152.7</v>
      </c>
      <c r="I165" s="11" t="n">
        <f aca="false">SUMIFS('Source 2026'!$I:$I,'Source 2026'!$B:$B,$A165,'Source 2026'!$A:$A,"Amount (NIS)")</f>
        <v>314.7</v>
      </c>
      <c r="J165" s="11" t="n">
        <f aca="false">I165*$J$5</f>
        <v>397.515789473684</v>
      </c>
      <c r="K165" s="11" t="n">
        <f aca="false">J165-H165</f>
        <v>-755.184210526316</v>
      </c>
      <c r="L165" s="10" t="n">
        <f aca="false">IF(AND(H165=0,J165=0),0,IF(H165=0,"New",(J165-H165)/H165))</f>
        <v>-0.655143758589673</v>
      </c>
    </row>
    <row r="166" customFormat="false" ht="15" hidden="false" customHeight="true" outlineLevel="0" collapsed="false">
      <c r="A166" s="8" t="s">
        <v>305</v>
      </c>
      <c r="B166" s="8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2" t="n">
        <f aca="false">D166*$J$5</f>
        <v>-3.78947368421053</v>
      </c>
      <c r="F166" s="22" t="n">
        <f aca="false">E166-C166</f>
        <v>12.2105263157895</v>
      </c>
      <c r="G166" s="10" t="n">
        <f aca="false">IF(AND(C166=0,E166=0),0,IF(C166=0,"New",(E166-C166)/C166))</f>
        <v>-0.763157894736842</v>
      </c>
      <c r="H166" s="11" t="n">
        <f aca="false">SUMIFS('Source 2025'!$I:$I,'Source 2025'!$B:$B,$A166,'Source 2025'!$A:$A,"Amount (NIS)")</f>
        <v>-1026.6</v>
      </c>
      <c r="I166" s="11" t="n">
        <f aca="false">SUMIFS('Source 2026'!$I:$I,'Source 2026'!$B:$B,$A166,'Source 2026'!$A:$A,"Amount (NIS)")</f>
        <v>-192.5</v>
      </c>
      <c r="J166" s="11" t="n">
        <f aca="false">I166*$J$5</f>
        <v>-243.157894736842</v>
      </c>
      <c r="K166" s="11" t="n">
        <f aca="false">J166-H166</f>
        <v>783.442105263158</v>
      </c>
      <c r="L166" s="10" t="n">
        <f aca="false">IF(AND(H166=0,J166=0),0,IF(H166=0,"New",(J166-H166)/H166))</f>
        <v>-0.763142514380633</v>
      </c>
    </row>
    <row r="167" customFormat="false" ht="15" hidden="false" customHeight="true" outlineLevel="0" collapsed="false">
      <c r="A167" s="8" t="s">
        <v>248</v>
      </c>
      <c r="B167" s="8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2" t="n">
        <f aca="false">D167*$J$5</f>
        <v>22.7368421052632</v>
      </c>
      <c r="F167" s="22" t="n">
        <f aca="false">E167-C167</f>
        <v>-36.2631578947368</v>
      </c>
      <c r="G167" s="10" t="n">
        <f aca="false">IF(AND(C167=0,E167=0),0,IF(C167=0,"New",(E167-C167)/C167))</f>
        <v>-0.614629794826048</v>
      </c>
      <c r="H167" s="11" t="n">
        <f aca="false">SUMIFS('Source 2025'!$I:$I,'Source 2025'!$B:$B,$A167,'Source 2025'!$A:$A,"Amount (NIS)")</f>
        <v>1132</v>
      </c>
      <c r="I167" s="11" t="n">
        <f aca="false">SUMIFS('Source 2026'!$I:$I,'Source 2026'!$B:$B,$A167,'Source 2026'!$A:$A,"Amount (NIS)")</f>
        <v>344.5</v>
      </c>
      <c r="J167" s="11" t="n">
        <f aca="false">I167*$J$5</f>
        <v>435.157894736842</v>
      </c>
      <c r="K167" s="11" t="n">
        <f aca="false">J167-H167</f>
        <v>-696.842105263158</v>
      </c>
      <c r="L167" s="10" t="n">
        <f aca="false">IF(AND(H167=0,J167=0),0,IF(H167=0,"New",(J167-H167)/H167))</f>
        <v>-0.615584898642366</v>
      </c>
    </row>
    <row r="168" customFormat="false" ht="15" hidden="false" customHeight="true" outlineLevel="0" collapsed="false">
      <c r="A168" s="8" t="s">
        <v>217</v>
      </c>
      <c r="B168" s="8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2" t="n">
        <f aca="false">D168*$J$5</f>
        <v>92.2105263157895</v>
      </c>
      <c r="F168" s="22" t="n">
        <f aca="false">E168-C168</f>
        <v>-73.7894736842105</v>
      </c>
      <c r="G168" s="10" t="n">
        <f aca="false">IF(AND(C168=0,E168=0),0,IF(C168=0,"New",(E168-C168)/C168))</f>
        <v>-0.444514901712112</v>
      </c>
      <c r="H168" s="11" t="n">
        <f aca="false">SUMIFS('Source 2025'!$I:$I,'Source 2025'!$B:$B,$A168,'Source 2025'!$A:$A,"Amount (NIS)")</f>
        <v>1355.6</v>
      </c>
      <c r="I168" s="11" t="n">
        <f aca="false">SUMIFS('Source 2026'!$I:$I,'Source 2026'!$B:$B,$A168,'Source 2026'!$A:$A,"Amount (NIS)")</f>
        <v>575.8</v>
      </c>
      <c r="J168" s="11" t="n">
        <f aca="false">I168*$J$5</f>
        <v>727.326315789474</v>
      </c>
      <c r="K168" s="11" t="n">
        <f aca="false">J168-H168</f>
        <v>-628.273684210526</v>
      </c>
      <c r="L168" s="10" t="n">
        <f aca="false">IF(AND(H168=0,J168=0),0,IF(H168=0,"New",(J168-H168)/H168))</f>
        <v>-0.463465391126089</v>
      </c>
    </row>
    <row r="169" customFormat="false" ht="15" hidden="false" customHeight="true" outlineLevel="0" collapsed="false">
      <c r="A169" s="8" t="s">
        <v>228</v>
      </c>
      <c r="B169" s="8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2" t="n">
        <f aca="false">D169*$J$5</f>
        <v>75.7894736842105</v>
      </c>
      <c r="F169" s="22" t="n">
        <f aca="false">E169-C169</f>
        <v>23.7894736842105</v>
      </c>
      <c r="G169" s="10" t="n">
        <f aca="false">IF(AND(C169=0,E169=0),0,IF(C169=0,"New",(E169-C169)/C169))</f>
        <v>0.45748987854251</v>
      </c>
      <c r="H169" s="11" t="n">
        <f aca="false">SUMIFS('Source 2025'!$I:$I,'Source 2025'!$B:$B,$A169,'Source 2025'!$A:$A,"Amount (NIS)")</f>
        <v>3708.5</v>
      </c>
      <c r="I169" s="11" t="n">
        <f aca="false">SUMIFS('Source 2026'!$I:$I,'Source 2026'!$B:$B,$A169,'Source 2026'!$A:$A,"Amount (NIS)")</f>
        <v>4486.7</v>
      </c>
      <c r="J169" s="11" t="n">
        <f aca="false">I169*$J$5</f>
        <v>5667.41052631579</v>
      </c>
      <c r="K169" s="11" t="n">
        <f aca="false">J169-H169</f>
        <v>1958.91052631579</v>
      </c>
      <c r="L169" s="10" t="n">
        <f aca="false">IF(AND(H169=0,J169=0),0,IF(H169=0,"New",(J169-H169)/H169))</f>
        <v>0.528221794880892</v>
      </c>
    </row>
    <row r="170" customFormat="false" ht="15" hidden="false" customHeight="true" outlineLevel="0" collapsed="false">
      <c r="A170" s="8" t="s">
        <v>269</v>
      </c>
      <c r="B170" s="8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2" t="n">
        <f aca="false">D170*$J$5</f>
        <v>-3.78947368421053</v>
      </c>
      <c r="F170" s="22" t="n">
        <f aca="false">E170-C170</f>
        <v>10.2105263157895</v>
      </c>
      <c r="G170" s="10" t="n">
        <f aca="false">IF(AND(C170=0,E170=0),0,IF(C170=0,"New",(E170-C170)/C170))</f>
        <v>-0.729323308270677</v>
      </c>
      <c r="H170" s="11" t="n">
        <f aca="false">SUMIFS('Source 2025'!$I:$I,'Source 2025'!$B:$B,$A170,'Source 2025'!$A:$A,"Amount (NIS)")</f>
        <v>-942.3</v>
      </c>
      <c r="I170" s="11" t="n">
        <f aca="false">SUMIFS('Source 2026'!$I:$I,'Source 2026'!$B:$B,$A170,'Source 2026'!$A:$A,"Amount (NIS)")</f>
        <v>-192.6</v>
      </c>
      <c r="J170" s="11" t="n">
        <f aca="false">I170*$J$5</f>
        <v>-243.284210526316</v>
      </c>
      <c r="K170" s="11" t="n">
        <f aca="false">J170-H170</f>
        <v>699.015789473684</v>
      </c>
      <c r="L170" s="10" t="n">
        <f aca="false">IF(AND(H170=0,J170=0),0,IF(H170=0,"New",(J170-H170)/H170))</f>
        <v>-0.741818730206605</v>
      </c>
    </row>
    <row r="171" customFormat="false" ht="15" hidden="false" customHeight="true" outlineLevel="0" collapsed="false">
      <c r="A171" s="8" t="s">
        <v>142</v>
      </c>
      <c r="B171" s="8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2" t="n">
        <f aca="false">D171*$J$5</f>
        <v>-1.26315789473684</v>
      </c>
      <c r="F171" s="22" t="n">
        <f aca="false">E171-C171</f>
        <v>-3.26315789473684</v>
      </c>
      <c r="G171" s="10" t="n">
        <f aca="false">IF(AND(C171=0,E171=0),0,IF(C171=0,"New",(E171-C171)/C171))</f>
        <v>-1.63157894736842</v>
      </c>
      <c r="H171" s="11" t="n">
        <f aca="false">SUMIFS('Source 2025'!$I:$I,'Source 2025'!$B:$B,$A171,'Source 2025'!$A:$A,"Amount (NIS)")</f>
        <v>517.2</v>
      </c>
      <c r="I171" s="11" t="n">
        <f aca="false">SUMIFS('Source 2026'!$I:$I,'Source 2026'!$B:$B,$A171,'Source 2026'!$A:$A,"Amount (NIS)")</f>
        <v>-215.4</v>
      </c>
      <c r="J171" s="11" t="n">
        <f aca="false">I171*$J$5</f>
        <v>-272.084210526316</v>
      </c>
      <c r="K171" s="11" t="n">
        <f aca="false">J171-H171</f>
        <v>-789.284210526316</v>
      </c>
      <c r="L171" s="10" t="n">
        <f aca="false">IF(AND(H171=0,J171=0),0,IF(H171=0,"New",(J171-H171)/H171))</f>
        <v>-1.52607155940896</v>
      </c>
    </row>
    <row r="172" customFormat="false" ht="15" hidden="false" customHeight="true" outlineLevel="0" collapsed="false">
      <c r="A172" s="8" t="s">
        <v>180</v>
      </c>
      <c r="B172" s="8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2" t="n">
        <f aca="false">D172*$J$5</f>
        <v>218.526315789474</v>
      </c>
      <c r="F172" s="22" t="n">
        <f aca="false">E172-C172</f>
        <v>9.52631578947367</v>
      </c>
      <c r="G172" s="10" t="n">
        <f aca="false">IF(AND(C172=0,E172=0),0,IF(C172=0,"New",(E172-C172)/C172))</f>
        <v>0.0455804583228405</v>
      </c>
      <c r="H172" s="11" t="n">
        <f aca="false">SUMIFS('Source 2025'!$I:$I,'Source 2025'!$B:$B,$A172,'Source 2025'!$A:$A,"Amount (NIS)")</f>
        <v>4659.6</v>
      </c>
      <c r="I172" s="11" t="n">
        <f aca="false">SUMIFS('Source 2026'!$I:$I,'Source 2026'!$B:$B,$A172,'Source 2026'!$A:$A,"Amount (NIS)")</f>
        <v>3937.8</v>
      </c>
      <c r="J172" s="11" t="n">
        <f aca="false">I172*$J$5</f>
        <v>4974.06315789474</v>
      </c>
      <c r="K172" s="11" t="n">
        <f aca="false">J172-H172</f>
        <v>314.463157894736</v>
      </c>
      <c r="L172" s="10" t="n">
        <f aca="false">IF(AND(H172=0,J172=0),0,IF(H172=0,"New",(J172-H172)/H172))</f>
        <v>0.0674871572441275</v>
      </c>
    </row>
    <row r="173" customFormat="false" ht="15" hidden="false" customHeight="true" outlineLevel="0" collapsed="false">
      <c r="A173" s="8" t="s">
        <v>71</v>
      </c>
      <c r="B173" s="8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2" t="n">
        <f aca="false">D173*$J$5</f>
        <v>34.1052631578947</v>
      </c>
      <c r="F173" s="22" t="n">
        <f aca="false">E173-C173</f>
        <v>0.105263157894733</v>
      </c>
      <c r="G173" s="10" t="n">
        <f aca="false">IF(AND(C173=0,E173=0),0,IF(C173=0,"New",(E173-C173)/C173))</f>
        <v>0.00309597523219802</v>
      </c>
      <c r="H173" s="11" t="n">
        <f aca="false">SUMIFS('Source 2025'!$I:$I,'Source 2025'!$B:$B,$A173,'Source 2025'!$A:$A,"Amount (NIS)")</f>
        <v>3108</v>
      </c>
      <c r="I173" s="11" t="n">
        <f aca="false">SUMIFS('Source 2026'!$I:$I,'Source 2026'!$B:$B,$A173,'Source 2026'!$A:$A,"Amount (NIS)")</f>
        <v>2408.6</v>
      </c>
      <c r="J173" s="11" t="n">
        <f aca="false">I173*$J$5</f>
        <v>3042.44210526316</v>
      </c>
      <c r="K173" s="11" t="n">
        <f aca="false">J173-H173</f>
        <v>-65.5578947368422</v>
      </c>
      <c r="L173" s="10" t="n">
        <f aca="false">IF(AND(H173=0,J173=0),0,IF(H173=0,"New",(J173-H173)/H173))</f>
        <v>-0.0210932737248527</v>
      </c>
    </row>
    <row r="174" customFormat="false" ht="15" hidden="false" customHeight="true" outlineLevel="0" collapsed="false">
      <c r="A174" s="8" t="s">
        <v>303</v>
      </c>
      <c r="B174" s="8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2" t="n">
        <f aca="false">D174*$J$5</f>
        <v>237.473684210526</v>
      </c>
      <c r="F174" s="22" t="n">
        <f aca="false">E174-C174</f>
        <v>7.4736842105263</v>
      </c>
      <c r="G174" s="10" t="n">
        <f aca="false">IF(AND(C174=0,E174=0),0,IF(C174=0,"New",(E174-C174)/C174))</f>
        <v>0.0324942791762013</v>
      </c>
      <c r="H174" s="11" t="n">
        <f aca="false">SUMIFS('Source 2025'!$I:$I,'Source 2025'!$B:$B,$A174,'Source 2025'!$A:$A,"Amount (NIS)")</f>
        <v>5827.9</v>
      </c>
      <c r="I174" s="11" t="n">
        <f aca="false">SUMIFS('Source 2026'!$I:$I,'Source 2026'!$B:$B,$A174,'Source 2026'!$A:$A,"Amount (NIS)")</f>
        <v>5129.6</v>
      </c>
      <c r="J174" s="11" t="n">
        <f aca="false">I174*$J$5</f>
        <v>6479.49473684211</v>
      </c>
      <c r="K174" s="11" t="n">
        <f aca="false">J174-H174</f>
        <v>651.594736842106</v>
      </c>
      <c r="L174" s="10" t="n">
        <f aca="false">IF(AND(H174=0,J174=0),0,IF(H174=0,"New",(J174-H174)/H174))</f>
        <v>0.111806094277888</v>
      </c>
    </row>
    <row r="175" customFormat="false" ht="15" hidden="false" customHeight="true" outlineLevel="0" collapsed="false">
      <c r="A175" s="8" t="s">
        <v>252</v>
      </c>
      <c r="B175" s="8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2" t="n">
        <f aca="false">D175*$J$5</f>
        <v>22.7368421052632</v>
      </c>
      <c r="F175" s="22" t="n">
        <f aca="false">E175-C175</f>
        <v>-19.2631578947368</v>
      </c>
      <c r="G175" s="10" t="n">
        <f aca="false">IF(AND(C175=0,E175=0),0,IF(C175=0,"New",(E175-C175)/C175))</f>
        <v>-0.458646616541353</v>
      </c>
      <c r="H175" s="11" t="n">
        <f aca="false">SUMIFS('Source 2025'!$I:$I,'Source 2025'!$B:$B,$A175,'Source 2025'!$A:$A,"Amount (NIS)")</f>
        <v>1227</v>
      </c>
      <c r="I175" s="11" t="n">
        <f aca="false">SUMIFS('Source 2026'!$I:$I,'Source 2026'!$B:$B,$A175,'Source 2026'!$A:$A,"Amount (NIS)")</f>
        <v>530.1</v>
      </c>
      <c r="J175" s="11" t="n">
        <f aca="false">I175*$J$5</f>
        <v>669.6</v>
      </c>
      <c r="K175" s="11" t="n">
        <f aca="false">J175-H175</f>
        <v>-557.4</v>
      </c>
      <c r="L175" s="10" t="n">
        <f aca="false">IF(AND(H175=0,J175=0),0,IF(H175=0,"New",(J175-H175)/H175))</f>
        <v>-0.454278728606357</v>
      </c>
    </row>
    <row r="176" customFormat="false" ht="15" hidden="false" customHeight="true" outlineLevel="0" collapsed="false">
      <c r="A176" s="8" t="s">
        <v>113</v>
      </c>
      <c r="B176" s="8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2" t="n">
        <f aca="false">D176*$J$5</f>
        <v>41.6842105263158</v>
      </c>
      <c r="F176" s="22" t="n">
        <f aca="false">E176-C176</f>
        <v>11.6842105263158</v>
      </c>
      <c r="G176" s="10" t="n">
        <f aca="false">IF(AND(C176=0,E176=0),0,IF(C176=0,"New",(E176-C176)/C176))</f>
        <v>0.389473684210526</v>
      </c>
      <c r="H176" s="11" t="n">
        <f aca="false">SUMIFS('Source 2025'!$I:$I,'Source 2025'!$B:$B,$A176,'Source 2025'!$A:$A,"Amount (NIS)")</f>
        <v>4948.4</v>
      </c>
      <c r="I176" s="11" t="n">
        <f aca="false">SUMIFS('Source 2026'!$I:$I,'Source 2026'!$B:$B,$A176,'Source 2026'!$A:$A,"Amount (NIS)")</f>
        <v>5645</v>
      </c>
      <c r="J176" s="11" t="n">
        <f aca="false">I176*$J$5</f>
        <v>7130.52631578947</v>
      </c>
      <c r="K176" s="11" t="n">
        <f aca="false">J176-H176</f>
        <v>2182.12631578947</v>
      </c>
      <c r="L176" s="10" t="n">
        <f aca="false">IF(AND(H176=0,J176=0),0,IF(H176=0,"New",(J176-H176)/H176))</f>
        <v>0.440976136890606</v>
      </c>
    </row>
    <row r="177" customFormat="false" ht="15" hidden="false" customHeight="true" outlineLevel="0" collapsed="false">
      <c r="A177" s="8" t="s">
        <v>291</v>
      </c>
      <c r="B177" s="8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2" t="n">
        <f aca="false">D177*$J$5</f>
        <v>1.26315789473684</v>
      </c>
      <c r="F177" s="22" t="n">
        <f aca="false">E177-C177</f>
        <v>3.26315789473684</v>
      </c>
      <c r="G177" s="10" t="n">
        <f aca="false">IF(AND(C177=0,E177=0),0,IF(C177=0,"New",(E177-C177)/C177))</f>
        <v>-1.63157894736842</v>
      </c>
      <c r="H177" s="11" t="n">
        <f aca="false">SUMIFS('Source 2025'!$I:$I,'Source 2025'!$B:$B,$A177,'Source 2025'!$A:$A,"Amount (NIS)")</f>
        <v>-345</v>
      </c>
      <c r="I177" s="11" t="n">
        <f aca="false">SUMIFS('Source 2026'!$I:$I,'Source 2026'!$B:$B,$A177,'Source 2026'!$A:$A,"Amount (NIS)")</f>
        <v>334.5</v>
      </c>
      <c r="J177" s="11" t="n">
        <f aca="false">I177*$J$5</f>
        <v>422.526315789474</v>
      </c>
      <c r="K177" s="11" t="n">
        <f aca="false">J177-H177</f>
        <v>767.526315789474</v>
      </c>
      <c r="L177" s="10" t="n">
        <f aca="false">IF(AND(H177=0,J177=0),0,IF(H177=0,"New",(J177-H177)/H177))</f>
        <v>-2.22471395881007</v>
      </c>
    </row>
    <row r="178" customFormat="false" ht="15" hidden="false" customHeight="true" outlineLevel="0" collapsed="false">
      <c r="A178" s="8" t="s">
        <v>219</v>
      </c>
      <c r="B178" s="8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2" t="n">
        <f aca="false">D178*$J$5</f>
        <v>-10.1052631578947</v>
      </c>
      <c r="F178" s="22" t="n">
        <f aca="false">E178-C178</f>
        <v>14.8947368421053</v>
      </c>
      <c r="G178" s="10" t="n">
        <f aca="false">IF(AND(C178=0,E178=0),0,IF(C178=0,"New",(E178-C178)/C178))</f>
        <v>-0.595789473684211</v>
      </c>
      <c r="H178" s="11" t="n">
        <f aca="false">SUMIFS('Source 2025'!$I:$I,'Source 2025'!$B:$B,$A178,'Source 2025'!$A:$A,"Amount (NIS)")</f>
        <v>-884.7</v>
      </c>
      <c r="I178" s="11" t="n">
        <f aca="false">SUMIFS('Source 2026'!$I:$I,'Source 2026'!$B:$B,$A178,'Source 2026'!$A:$A,"Amount (NIS)")</f>
        <v>-249.4</v>
      </c>
      <c r="J178" s="11" t="n">
        <f aca="false">I178*$J$5</f>
        <v>-315.031578947368</v>
      </c>
      <c r="K178" s="11" t="n">
        <f aca="false">J178-H178</f>
        <v>569.668421052632</v>
      </c>
      <c r="L178" s="10" t="n">
        <f aca="false">IF(AND(H178=0,J178=0),0,IF(H178=0,"New",(J178-H178)/H178))</f>
        <v>-0.643911406185861</v>
      </c>
    </row>
    <row r="179" customFormat="false" ht="15" hidden="false" customHeight="true" outlineLevel="0" collapsed="false">
      <c r="A179" s="8" t="s">
        <v>292</v>
      </c>
      <c r="B179" s="8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2" t="n">
        <f aca="false">D179*$J$5</f>
        <v>0</v>
      </c>
      <c r="F179" s="22" t="n">
        <f aca="false">E179-C179</f>
        <v>-8</v>
      </c>
      <c r="G179" s="10" t="n">
        <f aca="false">IF(AND(C179=0,E179=0),0,IF(C179=0,"New",(E179-C179)/C179))</f>
        <v>-1</v>
      </c>
      <c r="H179" s="11" t="n">
        <f aca="false">SUMIFS('Source 2025'!$I:$I,'Source 2025'!$B:$B,$A179,'Source 2025'!$A:$A,"Amount (NIS)")</f>
        <v>635.4</v>
      </c>
      <c r="I179" s="11" t="n">
        <f aca="false">SUMIFS('Source 2026'!$I:$I,'Source 2026'!$B:$B,$A179,'Source 2026'!$A:$A,"Amount (NIS)")</f>
        <v>17</v>
      </c>
      <c r="J179" s="11" t="n">
        <f aca="false">I179*$J$5</f>
        <v>21.4736842105263</v>
      </c>
      <c r="K179" s="11" t="n">
        <f aca="false">J179-H179</f>
        <v>-613.926315789474</v>
      </c>
      <c r="L179" s="10" t="n">
        <f aca="false">IF(AND(H179=0,J179=0),0,IF(H179=0,"New",(J179-H179)/H179))</f>
        <v>-0.966204462998857</v>
      </c>
    </row>
    <row r="180" customFormat="false" ht="15" hidden="false" customHeight="true" outlineLevel="0" collapsed="false">
      <c r="A180" s="8" t="s">
        <v>290</v>
      </c>
      <c r="B180" s="8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2" t="n">
        <f aca="false">D180*$J$5</f>
        <v>8.84210526315789</v>
      </c>
      <c r="F180" s="22" t="n">
        <f aca="false">E180-C180</f>
        <v>8.84210526315789</v>
      </c>
      <c r="G180" s="10" t="str">
        <f aca="false">IF(AND(C180=0,E180=0),0,IF(C180=0,"New",(E180-C180)/C180))</f>
        <v>New</v>
      </c>
      <c r="H180" s="11" t="n">
        <f aca="false">SUMIFS('Source 2025'!$I:$I,'Source 2025'!$B:$B,$A180,'Source 2025'!$A:$A,"Amount (NIS)")</f>
        <v>0</v>
      </c>
      <c r="I180" s="11" t="n">
        <f aca="false">SUMIFS('Source 2026'!$I:$I,'Source 2026'!$B:$B,$A180,'Source 2026'!$A:$A,"Amount (NIS)")</f>
        <v>617.4</v>
      </c>
      <c r="J180" s="11" t="n">
        <f aca="false">I180*$J$5</f>
        <v>779.873684210526</v>
      </c>
      <c r="K180" s="11" t="n">
        <f aca="false">J180-H180</f>
        <v>779.873684210526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207</v>
      </c>
      <c r="B181" s="8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2" t="n">
        <f aca="false">D181*$J$5</f>
        <v>46.7368421052632</v>
      </c>
      <c r="F181" s="22" t="n">
        <f aca="false">E181-C181</f>
        <v>-21.2631578947368</v>
      </c>
      <c r="G181" s="10" t="n">
        <f aca="false">IF(AND(C181=0,E181=0),0,IF(C181=0,"New",(E181-C181)/C181))</f>
        <v>-0.312693498452012</v>
      </c>
      <c r="H181" s="11" t="n">
        <f aca="false">SUMIFS('Source 2025'!$I:$I,'Source 2025'!$B:$B,$A181,'Source 2025'!$A:$A,"Amount (NIS)")</f>
        <v>1396.3</v>
      </c>
      <c r="I181" s="11" t="n">
        <f aca="false">SUMIFS('Source 2026'!$I:$I,'Source 2026'!$B:$B,$A181,'Source 2026'!$A:$A,"Amount (NIS)")</f>
        <v>790.3</v>
      </c>
      <c r="J181" s="11" t="n">
        <f aca="false">I181*$J$5</f>
        <v>998.273684210526</v>
      </c>
      <c r="K181" s="11" t="n">
        <f aca="false">J181-H181</f>
        <v>-398.026315789474</v>
      </c>
      <c r="L181" s="10" t="n">
        <f aca="false">IF(AND(H181=0,J181=0),0,IF(H181=0,"New",(J181-H181)/H181))</f>
        <v>-0.285057878528593</v>
      </c>
    </row>
    <row r="182" customFormat="false" ht="15" hidden="false" customHeight="true" outlineLevel="0" collapsed="false">
      <c r="A182" s="8" t="s">
        <v>301</v>
      </c>
      <c r="B182" s="8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2" t="n">
        <f aca="false">D182*$J$5</f>
        <v>13.8947368421053</v>
      </c>
      <c r="F182" s="22" t="n">
        <f aca="false">E182-C182</f>
        <v>14.8947368421053</v>
      </c>
      <c r="G182" s="10" t="n">
        <f aca="false">IF(AND(C182=0,E182=0),0,IF(C182=0,"New",(E182-C182)/C182))</f>
        <v>-14.8947368421053</v>
      </c>
      <c r="H182" s="11" t="n">
        <f aca="false">SUMIFS('Source 2025'!$I:$I,'Source 2025'!$B:$B,$A182,'Source 2025'!$A:$A,"Amount (NIS)")</f>
        <v>-159.9</v>
      </c>
      <c r="I182" s="11" t="n">
        <f aca="false">SUMIFS('Source 2026'!$I:$I,'Source 2026'!$B:$B,$A182,'Source 2026'!$A:$A,"Amount (NIS)")</f>
        <v>425.4</v>
      </c>
      <c r="J182" s="11" t="n">
        <f aca="false">I182*$J$5</f>
        <v>537.347368421053</v>
      </c>
      <c r="K182" s="11" t="n">
        <f aca="false">J182-H182</f>
        <v>697.247368421053</v>
      </c>
      <c r="L182" s="10" t="n">
        <f aca="false">IF(AND(H182=0,J182=0),0,IF(H182=0,"New",(J182-H182)/H182))</f>
        <v>-4.36052137849314</v>
      </c>
    </row>
    <row r="183" customFormat="false" ht="15" hidden="false" customHeight="true" outlineLevel="0" collapsed="false">
      <c r="A183" s="8" t="s">
        <v>213</v>
      </c>
      <c r="B183" s="8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2" t="n">
        <f aca="false">D183*$J$5</f>
        <v>1.26315789473684</v>
      </c>
      <c r="F183" s="22" t="n">
        <f aca="false">E183-C183</f>
        <v>6.26315789473684</v>
      </c>
      <c r="G183" s="10" t="n">
        <f aca="false">IF(AND(C183=0,E183=0),0,IF(C183=0,"New",(E183-C183)/C183))</f>
        <v>-1.25263157894737</v>
      </c>
      <c r="H183" s="11" t="n">
        <f aca="false">SUMIFS('Source 2025'!$I:$I,'Source 2025'!$B:$B,$A183,'Source 2025'!$A:$A,"Amount (NIS)")</f>
        <v>-450.5</v>
      </c>
      <c r="I183" s="11" t="n">
        <f aca="false">SUMIFS('Source 2026'!$I:$I,'Source 2026'!$B:$B,$A183,'Source 2026'!$A:$A,"Amount (NIS)")</f>
        <v>97</v>
      </c>
      <c r="J183" s="11" t="n">
        <f aca="false">I183*$J$5</f>
        <v>122.526315789474</v>
      </c>
      <c r="K183" s="11" t="n">
        <f aca="false">J183-H183</f>
        <v>573.026315789474</v>
      </c>
      <c r="L183" s="10" t="n">
        <f aca="false">IF(AND(H183=0,J183=0),0,IF(H183=0,"New",(J183-H183)/H183))</f>
        <v>-1.27197850341726</v>
      </c>
    </row>
    <row r="184" customFormat="false" ht="15" hidden="false" customHeight="true" outlineLevel="0" collapsed="false">
      <c r="A184" s="8" t="s">
        <v>328</v>
      </c>
      <c r="B184" s="8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2" t="n">
        <f aca="false">D184*$J$5</f>
        <v>-5.05263157894737</v>
      </c>
      <c r="F184" s="22" t="n">
        <f aca="false">E184-C184</f>
        <v>6.94736842105263</v>
      </c>
      <c r="G184" s="10" t="n">
        <f aca="false">IF(AND(C184=0,E184=0),0,IF(C184=0,"New",(E184-C184)/C184))</f>
        <v>-0.578947368421053</v>
      </c>
      <c r="H184" s="11" t="n">
        <f aca="false">SUMIFS('Source 2025'!$I:$I,'Source 2025'!$B:$B,$A184,'Source 2025'!$A:$A,"Amount (NIS)")</f>
        <v>-769.9</v>
      </c>
      <c r="I184" s="11" t="n">
        <f aca="false">SUMIFS('Source 2026'!$I:$I,'Source 2026'!$B:$B,$A184,'Source 2026'!$A:$A,"Amount (NIS)")</f>
        <v>-256.6</v>
      </c>
      <c r="J184" s="11" t="n">
        <f aca="false">I184*$J$5</f>
        <v>-324.126315789474</v>
      </c>
      <c r="K184" s="11" t="n">
        <f aca="false">J184-H184</f>
        <v>445.773684210526</v>
      </c>
      <c r="L184" s="10" t="n">
        <f aca="false">IF(AND(H184=0,J184=0),0,IF(H184=0,"New",(J184-H184)/H184))</f>
        <v>-0.5790020576835</v>
      </c>
    </row>
    <row r="185" customFormat="false" ht="15" hidden="false" customHeight="true" outlineLevel="0" collapsed="false">
      <c r="A185" s="8" t="s">
        <v>286</v>
      </c>
      <c r="B185" s="8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2" t="n">
        <f aca="false">D185*$J$5</f>
        <v>-27.7894736842105</v>
      </c>
      <c r="F185" s="22" t="n">
        <f aca="false">E185-C185</f>
        <v>-10.7894736842105</v>
      </c>
      <c r="G185" s="10" t="n">
        <f aca="false">IF(AND(C185=0,E185=0),0,IF(C185=0,"New",(E185-C185)/C185))</f>
        <v>0.634674922600619</v>
      </c>
      <c r="H185" s="11" t="n">
        <f aca="false">SUMIFS('Source 2025'!$I:$I,'Source 2025'!$B:$B,$A185,'Source 2025'!$A:$A,"Amount (NIS)")</f>
        <v>-1595.3</v>
      </c>
      <c r="I185" s="11" t="n">
        <f aca="false">SUMIFS('Source 2026'!$I:$I,'Source 2026'!$B:$B,$A185,'Source 2026'!$A:$A,"Amount (NIS)")</f>
        <v>-2058</v>
      </c>
      <c r="J185" s="11" t="n">
        <f aca="false">I185*$J$5</f>
        <v>-2599.57894736842</v>
      </c>
      <c r="K185" s="11" t="n">
        <f aca="false">J185-H185</f>
        <v>-1004.27894736842</v>
      </c>
      <c r="L185" s="10" t="n">
        <f aca="false">IF(AND(H185=0,J185=0),0,IF(H185=0,"New",(J185-H185)/H185))</f>
        <v>0.629523567585044</v>
      </c>
    </row>
    <row r="186" customFormat="false" ht="15" hidden="false" customHeight="true" outlineLevel="0" collapsed="false">
      <c r="A186" s="8" t="s">
        <v>353</v>
      </c>
      <c r="B186" s="8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2" t="n">
        <f aca="false">D186*$J$5</f>
        <v>0</v>
      </c>
      <c r="F186" s="22" t="n">
        <f aca="false">E186-C186</f>
        <v>7</v>
      </c>
      <c r="G186" s="10" t="n">
        <f aca="false">IF(AND(C186=0,E186=0),0,IF(C186=0,"New",(E186-C186)/C186))</f>
        <v>-1</v>
      </c>
      <c r="H186" s="11" t="n">
        <f aca="false">SUMIFS('Source 2025'!$I:$I,'Source 2025'!$B:$B,$A186,'Source 2025'!$A:$A,"Amount (NIS)")</f>
        <v>-448.1</v>
      </c>
      <c r="I186" s="11" t="n">
        <f aca="false">SUMIFS('Source 2026'!$I:$I,'Source 2026'!$B:$B,$A186,'Source 2026'!$A:$A,"Amount (NIS)")</f>
        <v>0</v>
      </c>
      <c r="J186" s="11" t="n">
        <f aca="false">I186*$J$5</f>
        <v>0</v>
      </c>
      <c r="K186" s="11" t="n">
        <f aca="false">J186-H186</f>
        <v>448.1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237</v>
      </c>
      <c r="B187" s="8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2" t="n">
        <f aca="false">D187*$J$5</f>
        <v>238.736842105263</v>
      </c>
      <c r="F187" s="22" t="n">
        <f aca="false">E187-C187</f>
        <v>20.7368421052632</v>
      </c>
      <c r="G187" s="10" t="n">
        <f aca="false">IF(AND(C187=0,E187=0),0,IF(C187=0,"New",(E187-C187)/C187))</f>
        <v>0.0951231289232255</v>
      </c>
      <c r="H187" s="11" t="n">
        <f aca="false">SUMIFS('Source 2025'!$I:$I,'Source 2025'!$B:$B,$A187,'Source 2025'!$A:$A,"Amount (NIS)")</f>
        <v>3357.2</v>
      </c>
      <c r="I187" s="11" t="n">
        <f aca="false">SUMIFS('Source 2026'!$I:$I,'Source 2026'!$B:$B,$A187,'Source 2026'!$A:$A,"Amount (NIS)")</f>
        <v>2910.6</v>
      </c>
      <c r="J187" s="11" t="n">
        <f aca="false">I187*$J$5</f>
        <v>3676.54736842105</v>
      </c>
      <c r="K187" s="11" t="n">
        <f aca="false">J187-H187</f>
        <v>319.347368421053</v>
      </c>
      <c r="L187" s="10" t="n">
        <f aca="false">IF(AND(H187=0,J187=0),0,IF(H187=0,"New",(J187-H187)/H187))</f>
        <v>0.0951231289232255</v>
      </c>
    </row>
    <row r="188" customFormat="false" ht="15" hidden="false" customHeight="true" outlineLevel="0" collapsed="false">
      <c r="A188" s="8" t="s">
        <v>285</v>
      </c>
      <c r="B188" s="8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2" t="n">
        <f aca="false">D188*$J$5</f>
        <v>-2.52631578947368</v>
      </c>
      <c r="F188" s="22" t="n">
        <f aca="false">E188-C188</f>
        <v>-2.52631578947368</v>
      </c>
      <c r="G188" s="10" t="str">
        <f aca="false">IF(AND(C188=0,E188=0),0,IF(C188=0,"New",(E188-C188)/C188))</f>
        <v>New</v>
      </c>
      <c r="H188" s="11" t="n">
        <f aca="false">SUMIFS('Source 2025'!$I:$I,'Source 2025'!$B:$B,$A188,'Source 2025'!$A:$A,"Amount (NIS)")</f>
        <v>0</v>
      </c>
      <c r="I188" s="11" t="n">
        <f aca="false">SUMIFS('Source 2026'!$I:$I,'Source 2026'!$B:$B,$A188,'Source 2026'!$A:$A,"Amount (NIS)")</f>
        <v>-430.4</v>
      </c>
      <c r="J188" s="11" t="n">
        <f aca="false">I188*$J$5</f>
        <v>-543.663157894737</v>
      </c>
      <c r="K188" s="11" t="n">
        <f aca="false">J188-H188</f>
        <v>-543.663157894737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91</v>
      </c>
      <c r="B189" s="8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2" t="n">
        <f aca="false">D189*$J$5</f>
        <v>68.2105263157895</v>
      </c>
      <c r="F189" s="22" t="n">
        <f aca="false">E189-C189</f>
        <v>-4.78947368421053</v>
      </c>
      <c r="G189" s="10" t="n">
        <f aca="false">IF(AND(C189=0,E189=0),0,IF(C189=0,"New",(E189-C189)/C189))</f>
        <v>-0.0656092285508292</v>
      </c>
      <c r="H189" s="11" t="n">
        <f aca="false">SUMIFS('Source 2025'!$I:$I,'Source 2025'!$B:$B,$A189,'Source 2025'!$A:$A,"Amount (NIS)")</f>
        <v>1864</v>
      </c>
      <c r="I189" s="11" t="n">
        <f aca="false">SUMIFS('Source 2026'!$I:$I,'Source 2026'!$B:$B,$A189,'Source 2026'!$A:$A,"Amount (NIS)")</f>
        <v>1458.9</v>
      </c>
      <c r="J189" s="11" t="n">
        <f aca="false">I189*$J$5</f>
        <v>1842.82105263158</v>
      </c>
      <c r="K189" s="11" t="n">
        <f aca="false">J189-H189</f>
        <v>-21.178947368421</v>
      </c>
      <c r="L189" s="10" t="n">
        <f aca="false">IF(AND(H189=0,J189=0),0,IF(H189=0,"New",(J189-H189)/H189))</f>
        <v>-0.0113620962276936</v>
      </c>
    </row>
    <row r="190" customFormat="false" ht="15" hidden="false" customHeight="true" outlineLevel="0" collapsed="false">
      <c r="A190" s="8" t="s">
        <v>364</v>
      </c>
      <c r="B190" s="8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2" t="n">
        <f aca="false">D190*$J$5</f>
        <v>0</v>
      </c>
      <c r="F190" s="22" t="n">
        <f aca="false">E190-C190</f>
        <v>3</v>
      </c>
      <c r="G190" s="10" t="n">
        <f aca="false">IF(AND(C190=0,E190=0),0,IF(C190=0,"New",(E190-C190)/C190))</f>
        <v>-1</v>
      </c>
      <c r="H190" s="11" t="n">
        <f aca="false">SUMIFS('Source 2025'!$I:$I,'Source 2025'!$B:$B,$A190,'Source 2025'!$A:$A,"Amount (NIS)")</f>
        <v>-393.2</v>
      </c>
      <c r="I190" s="11" t="n">
        <f aca="false">SUMIFS('Source 2026'!$I:$I,'Source 2026'!$B:$B,$A190,'Source 2026'!$A:$A,"Amount (NIS)")</f>
        <v>0</v>
      </c>
      <c r="J190" s="11" t="n">
        <f aca="false">I190*$J$5</f>
        <v>0</v>
      </c>
      <c r="K190" s="11" t="n">
        <f aca="false">J190-H190</f>
        <v>393.2</v>
      </c>
      <c r="L190" s="10" t="n">
        <f aca="false">IF(AND(H190=0,J190=0),0,IF(H190=0,"New",(J190-H190)/H190))</f>
        <v>-1</v>
      </c>
    </row>
    <row r="191" customFormat="false" ht="15" hidden="false" customHeight="true" outlineLevel="0" collapsed="false">
      <c r="A191" s="8" t="s">
        <v>320</v>
      </c>
      <c r="B191" s="8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2" t="n">
        <f aca="false">D191*$J$5</f>
        <v>0</v>
      </c>
      <c r="F191" s="22" t="n">
        <f aca="false">E191-C191</f>
        <v>4</v>
      </c>
      <c r="G191" s="10" t="n">
        <f aca="false">IF(AND(C191=0,E191=0),0,IF(C191=0,"New",(E191-C191)/C191))</f>
        <v>-1</v>
      </c>
      <c r="H191" s="11" t="n">
        <f aca="false">SUMIFS('Source 2025'!$I:$I,'Source 2025'!$B:$B,$A191,'Source 2025'!$A:$A,"Amount (NIS)")</f>
        <v>-390.6</v>
      </c>
      <c r="I191" s="11" t="n">
        <f aca="false">SUMIFS('Source 2026'!$I:$I,'Source 2026'!$B:$B,$A191,'Source 2026'!$A:$A,"Amount (NIS)")</f>
        <v>0</v>
      </c>
      <c r="J191" s="11" t="n">
        <f aca="false">I191*$J$5</f>
        <v>0</v>
      </c>
      <c r="K191" s="11" t="n">
        <f aca="false">J191-H191</f>
        <v>390.6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226</v>
      </c>
      <c r="B192" s="8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2" t="n">
        <f aca="false">D192*$J$5</f>
        <v>78.3157894736842</v>
      </c>
      <c r="F192" s="22" t="n">
        <f aca="false">E192-C192</f>
        <v>-21.6842105263158</v>
      </c>
      <c r="G192" s="10" t="n">
        <f aca="false">IF(AND(C192=0,E192=0),0,IF(C192=0,"New",(E192-C192)/C192))</f>
        <v>-0.216842105263158</v>
      </c>
      <c r="H192" s="11" t="n">
        <f aca="false">SUMIFS('Source 2025'!$I:$I,'Source 2025'!$B:$B,$A192,'Source 2025'!$A:$A,"Amount (NIS)")</f>
        <v>1028.1</v>
      </c>
      <c r="I192" s="11" t="n">
        <f aca="false">SUMIFS('Source 2026'!$I:$I,'Source 2026'!$B:$B,$A192,'Source 2026'!$A:$A,"Amount (NIS)")</f>
        <v>643</v>
      </c>
      <c r="J192" s="11" t="n">
        <f aca="false">I192*$J$5</f>
        <v>812.21052631579</v>
      </c>
      <c r="K192" s="11" t="n">
        <f aca="false">J192-H192</f>
        <v>-215.88947368421</v>
      </c>
      <c r="L192" s="10" t="n">
        <f aca="false">IF(AND(H192=0,J192=0),0,IF(H192=0,"New",(J192-H192)/H192))</f>
        <v>-0.209988788721146</v>
      </c>
    </row>
    <row r="193" customFormat="false" ht="15" hidden="false" customHeight="true" outlineLevel="0" collapsed="false">
      <c r="A193" s="8" t="s">
        <v>181</v>
      </c>
      <c r="B193" s="8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2" t="n">
        <f aca="false">D193*$J$5</f>
        <v>1.26315789473684</v>
      </c>
      <c r="F193" s="22" t="n">
        <f aca="false">E193-C193</f>
        <v>-1.73684210526316</v>
      </c>
      <c r="G193" s="10" t="n">
        <f aca="false">IF(AND(C193=0,E193=0),0,IF(C193=0,"New",(E193-C193)/C193))</f>
        <v>-0.578947368421053</v>
      </c>
      <c r="H193" s="11" t="n">
        <f aca="false">SUMIFS('Source 2025'!$I:$I,'Source 2025'!$B:$B,$A193,'Source 2025'!$A:$A,"Amount (NIS)")</f>
        <v>562.2</v>
      </c>
      <c r="I193" s="11" t="n">
        <f aca="false">SUMIFS('Source 2026'!$I:$I,'Source 2026'!$B:$B,$A193,'Source 2026'!$A:$A,"Amount (NIS)")</f>
        <v>178.9</v>
      </c>
      <c r="J193" s="11" t="n">
        <f aca="false">I193*$J$5</f>
        <v>225.978947368421</v>
      </c>
      <c r="K193" s="11" t="n">
        <f aca="false">J193-H193</f>
        <v>-336.221052631579</v>
      </c>
      <c r="L193" s="10" t="n">
        <f aca="false">IF(AND(H193=0,J193=0),0,IF(H193=0,"New",(J193-H193)/H193))</f>
        <v>-0.59804527326855</v>
      </c>
    </row>
    <row r="194" customFormat="false" ht="15" hidden="false" customHeight="true" outlineLevel="0" collapsed="false">
      <c r="A194" s="8" t="s">
        <v>79</v>
      </c>
      <c r="B194" s="8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2" t="n">
        <f aca="false">D194*$J$5</f>
        <v>150.315789473684</v>
      </c>
      <c r="F194" s="22" t="n">
        <f aca="false">E194-C194</f>
        <v>15.3157894736842</v>
      </c>
      <c r="G194" s="10" t="n">
        <f aca="false">IF(AND(C194=0,E194=0),0,IF(C194=0,"New",(E194-C194)/C194))</f>
        <v>0.113450292397661</v>
      </c>
      <c r="H194" s="11" t="n">
        <f aca="false">SUMIFS('Source 2025'!$I:$I,'Source 2025'!$B:$B,$A194,'Source 2025'!$A:$A,"Amount (NIS)")</f>
        <v>3728.4</v>
      </c>
      <c r="I194" s="11" t="n">
        <f aca="false">SUMIFS('Source 2026'!$I:$I,'Source 2026'!$B:$B,$A194,'Source 2026'!$A:$A,"Amount (NIS)")</f>
        <v>3346.2</v>
      </c>
      <c r="J194" s="11" t="n">
        <f aca="false">I194*$J$5</f>
        <v>4226.77894736842</v>
      </c>
      <c r="K194" s="11" t="n">
        <f aca="false">J194-H194</f>
        <v>498.378947368421</v>
      </c>
      <c r="L194" s="10" t="n">
        <f aca="false">IF(AND(H194=0,J194=0),0,IF(H194=0,"New",(J194-H194)/H194))</f>
        <v>0.133670997577626</v>
      </c>
    </row>
    <row r="195" customFormat="false" ht="15" hidden="false" customHeight="true" outlineLevel="0" collapsed="false">
      <c r="A195" s="8" t="s">
        <v>299</v>
      </c>
      <c r="B195" s="8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2" t="n">
        <f aca="false">D195*$J$5</f>
        <v>-1.26315789473684</v>
      </c>
      <c r="F195" s="22" t="n">
        <f aca="false">E195-C195</f>
        <v>0.736842105263158</v>
      </c>
      <c r="G195" s="10" t="n">
        <f aca="false">IF(AND(C195=0,E195=0),0,IF(C195=0,"New",(E195-C195)/C195))</f>
        <v>-0.368421052631579</v>
      </c>
      <c r="H195" s="11" t="n">
        <f aca="false">SUMIFS('Source 2025'!$I:$I,'Source 2025'!$B:$B,$A195,'Source 2025'!$A:$A,"Amount (NIS)")</f>
        <v>-570.3</v>
      </c>
      <c r="I195" s="11" t="n">
        <f aca="false">SUMIFS('Source 2026'!$I:$I,'Source 2026'!$B:$B,$A195,'Source 2026'!$A:$A,"Amount (NIS)")</f>
        <v>-208.4</v>
      </c>
      <c r="J195" s="11" t="n">
        <f aca="false">I195*$J$5</f>
        <v>-263.242105263158</v>
      </c>
      <c r="K195" s="11" t="n">
        <f aca="false">J195-H195</f>
        <v>307.057894736842</v>
      </c>
      <c r="L195" s="10" t="n">
        <f aca="false">IF(AND(H195=0,J195=0),0,IF(H195=0,"New",(J195-H195)/H195))</f>
        <v>-0.538414684791938</v>
      </c>
    </row>
    <row r="196" customFormat="false" ht="15" hidden="false" customHeight="true" outlineLevel="0" collapsed="false">
      <c r="A196" s="8" t="s">
        <v>224</v>
      </c>
      <c r="B196" s="8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2" t="n">
        <f aca="false">D196*$J$5</f>
        <v>205.894736842105</v>
      </c>
      <c r="F196" s="22" t="n">
        <f aca="false">E196-C196</f>
        <v>87.8947368421053</v>
      </c>
      <c r="G196" s="10" t="n">
        <f aca="false">IF(AND(C196=0,E196=0),0,IF(C196=0,"New",(E196-C196)/C196))</f>
        <v>0.744870651204282</v>
      </c>
      <c r="H196" s="11" t="n">
        <f aca="false">SUMIFS('Source 2025'!$I:$I,'Source 2025'!$B:$B,$A196,'Source 2025'!$A:$A,"Amount (NIS)")</f>
        <v>843.4</v>
      </c>
      <c r="I196" s="11" t="n">
        <f aca="false">SUMIFS('Source 2026'!$I:$I,'Source 2026'!$B:$B,$A196,'Source 2026'!$A:$A,"Amount (NIS)")</f>
        <v>1181.8</v>
      </c>
      <c r="J196" s="11" t="n">
        <f aca="false">I196*$J$5</f>
        <v>1492.8</v>
      </c>
      <c r="K196" s="11" t="n">
        <f aca="false">J196-H196</f>
        <v>649.4</v>
      </c>
      <c r="L196" s="10" t="n">
        <f aca="false">IF(AND(H196=0,J196=0),0,IF(H196=0,"New",(J196-H196)/H196))</f>
        <v>0.769978657813612</v>
      </c>
    </row>
    <row r="197" customFormat="false" ht="15" hidden="false" customHeight="true" outlineLevel="0" collapsed="false">
      <c r="A197" s="8" t="s">
        <v>356</v>
      </c>
      <c r="B197" s="8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2" t="n">
        <f aca="false">D197*$J$5</f>
        <v>0</v>
      </c>
      <c r="F197" s="22" t="n">
        <f aca="false">E197-C197</f>
        <v>2</v>
      </c>
      <c r="G197" s="10" t="n">
        <f aca="false">IF(AND(C197=0,E197=0),0,IF(C197=0,"New",(E197-C197)/C197))</f>
        <v>-1</v>
      </c>
      <c r="H197" s="11" t="n">
        <f aca="false">SUMIFS('Source 2025'!$I:$I,'Source 2025'!$B:$B,$A197,'Source 2025'!$A:$A,"Amount (NIS)")</f>
        <v>-306.2</v>
      </c>
      <c r="I197" s="11" t="n">
        <f aca="false">SUMIFS('Source 2026'!$I:$I,'Source 2026'!$B:$B,$A197,'Source 2026'!$A:$A,"Amount (NIS)")</f>
        <v>0</v>
      </c>
      <c r="J197" s="11" t="n">
        <f aca="false">I197*$J$5</f>
        <v>0</v>
      </c>
      <c r="K197" s="11" t="n">
        <f aca="false">J197-H197</f>
        <v>306.2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192</v>
      </c>
      <c r="B198" s="8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2" t="n">
        <f aca="false">D198*$J$5</f>
        <v>-3.78947368421053</v>
      </c>
      <c r="F198" s="22" t="n">
        <f aca="false">E198-C198</f>
        <v>-3.78947368421053</v>
      </c>
      <c r="G198" s="10" t="str">
        <f aca="false">IF(AND(C198=0,E198=0),0,IF(C198=0,"New",(E198-C198)/C198))</f>
        <v>New</v>
      </c>
      <c r="H198" s="11" t="n">
        <f aca="false">SUMIFS('Source 2025'!$I:$I,'Source 2025'!$B:$B,$A198,'Source 2025'!$A:$A,"Amount (NIS)")</f>
        <v>0</v>
      </c>
      <c r="I198" s="11" t="n">
        <f aca="false">SUMIFS('Source 2026'!$I:$I,'Source 2026'!$B:$B,$A198,'Source 2026'!$A:$A,"Amount (NIS)")</f>
        <v>-297.8</v>
      </c>
      <c r="J198" s="11" t="n">
        <f aca="false">I198*$J$5</f>
        <v>-376.168421052632</v>
      </c>
      <c r="K198" s="11" t="n">
        <f aca="false">J198-H198</f>
        <v>-376.168421052632</v>
      </c>
      <c r="L198" s="10" t="str">
        <f aca="false">IF(AND(H198=0,J198=0),0,IF(H198=0,"New",(J198-H198)/H198))</f>
        <v>New</v>
      </c>
    </row>
    <row r="199" customFormat="false" ht="15" hidden="false" customHeight="true" outlineLevel="0" collapsed="false">
      <c r="A199" s="8" t="s">
        <v>355</v>
      </c>
      <c r="B199" s="8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2" t="n">
        <f aca="false">D199*$J$5</f>
        <v>-1.26315789473684</v>
      </c>
      <c r="F199" s="22" t="n">
        <f aca="false">E199-C199</f>
        <v>2.73684210526316</v>
      </c>
      <c r="G199" s="10" t="n">
        <f aca="false">IF(AND(C199=0,E199=0),0,IF(C199=0,"New",(E199-C199)/C199))</f>
        <v>-0.68421052631579</v>
      </c>
      <c r="H199" s="11" t="n">
        <f aca="false">SUMIFS('Source 2025'!$I:$I,'Source 2025'!$B:$B,$A199,'Source 2025'!$A:$A,"Amount (NIS)")</f>
        <v>-387</v>
      </c>
      <c r="I199" s="11" t="n">
        <f aca="false">SUMIFS('Source 2026'!$I:$I,'Source 2026'!$B:$B,$A199,'Source 2026'!$A:$A,"Amount (NIS)")</f>
        <v>-96.7</v>
      </c>
      <c r="J199" s="11" t="n">
        <f aca="false">I199*$J$5</f>
        <v>-122.147368421053</v>
      </c>
      <c r="K199" s="11" t="n">
        <f aca="false">J199-H199</f>
        <v>264.852631578947</v>
      </c>
      <c r="L199" s="10" t="n">
        <f aca="false">IF(AND(H199=0,J199=0),0,IF(H199=0,"New",(J199-H199)/H199))</f>
        <v>-0.6843737250102</v>
      </c>
    </row>
    <row r="200" customFormat="false" ht="15" hidden="false" customHeight="true" outlineLevel="0" collapsed="false">
      <c r="A200" s="8" t="s">
        <v>289</v>
      </c>
      <c r="B200" s="8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2" t="n">
        <f aca="false">D200*$J$5</f>
        <v>10.1052631578947</v>
      </c>
      <c r="F200" s="22" t="n">
        <f aca="false">E200-C200</f>
        <v>9.10526315789474</v>
      </c>
      <c r="G200" s="10" t="n">
        <f aca="false">IF(AND(C200=0,E200=0),0,IF(C200=0,"New",(E200-C200)/C200))</f>
        <v>9.10526315789474</v>
      </c>
      <c r="H200" s="11" t="n">
        <f aca="false">SUMIFS('Source 2025'!$I:$I,'Source 2025'!$B:$B,$A200,'Source 2025'!$A:$A,"Amount (NIS)")</f>
        <v>-70.3</v>
      </c>
      <c r="I200" s="11" t="n">
        <f aca="false">SUMIFS('Source 2026'!$I:$I,'Source 2026'!$B:$B,$A200,'Source 2026'!$A:$A,"Amount (NIS)")</f>
        <v>196</v>
      </c>
      <c r="J200" s="11" t="n">
        <f aca="false">I200*$J$5</f>
        <v>247.578947368421</v>
      </c>
      <c r="K200" s="11" t="n">
        <f aca="false">J200-H200</f>
        <v>317.878947368421</v>
      </c>
      <c r="L200" s="10" t="n">
        <f aca="false">IF(AND(H200=0,J200=0),0,IF(H200=0,"New",(J200-H200)/H200))</f>
        <v>-4.52174889571012</v>
      </c>
    </row>
    <row r="201" customFormat="false" ht="15" hidden="false" customHeight="true" outlineLevel="0" collapsed="false">
      <c r="A201" s="8" t="s">
        <v>308</v>
      </c>
      <c r="B201" s="8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2" t="n">
        <f aca="false">D201*$J$5</f>
        <v>0</v>
      </c>
      <c r="F201" s="22" t="n">
        <f aca="false">E201-C201</f>
        <v>2</v>
      </c>
      <c r="G201" s="10" t="n">
        <f aca="false">IF(AND(C201=0,E201=0),0,IF(C201=0,"New",(E201-C201)/C201))</f>
        <v>-1</v>
      </c>
      <c r="H201" s="11" t="n">
        <f aca="false">SUMIFS('Source 2025'!$I:$I,'Source 2025'!$B:$B,$A201,'Source 2025'!$A:$A,"Amount (NIS)")</f>
        <v>-262.1</v>
      </c>
      <c r="I201" s="11" t="n">
        <f aca="false">SUMIFS('Source 2026'!$I:$I,'Source 2026'!$B:$B,$A201,'Source 2026'!$A:$A,"Amount (NIS)")</f>
        <v>0</v>
      </c>
      <c r="J201" s="11" t="n">
        <f aca="false">I201*$J$5</f>
        <v>0</v>
      </c>
      <c r="K201" s="11" t="n">
        <f aca="false">J201-H201</f>
        <v>262.1</v>
      </c>
      <c r="L201" s="10" t="n">
        <f aca="false">IF(AND(H201=0,J201=0),0,IF(H201=0,"New",(J201-H201)/H201))</f>
        <v>-1</v>
      </c>
    </row>
    <row r="202" customFormat="false" ht="15" hidden="false" customHeight="true" outlineLevel="0" collapsed="false">
      <c r="A202" s="8" t="s">
        <v>266</v>
      </c>
      <c r="B202" s="8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2" t="n">
        <f aca="false">D202*$J$5</f>
        <v>0</v>
      </c>
      <c r="F202" s="22" t="n">
        <f aca="false">E202-C202</f>
        <v>-3</v>
      </c>
      <c r="G202" s="10" t="n">
        <f aca="false">IF(AND(C202=0,E202=0),0,IF(C202=0,"New",(E202-C202)/C202))</f>
        <v>-1</v>
      </c>
      <c r="H202" s="11" t="n">
        <f aca="false">SUMIFS('Source 2025'!$I:$I,'Source 2025'!$B:$B,$A202,'Source 2025'!$A:$A,"Amount (NIS)")</f>
        <v>248.7</v>
      </c>
      <c r="I202" s="11" t="n">
        <f aca="false">SUMIFS('Source 2026'!$I:$I,'Source 2026'!$B:$B,$A202,'Source 2026'!$A:$A,"Amount (NIS)")</f>
        <v>0</v>
      </c>
      <c r="J202" s="11" t="n">
        <f aca="false">I202*$J$5</f>
        <v>0</v>
      </c>
      <c r="K202" s="11" t="n">
        <f aca="false">J202-H202</f>
        <v>-248.7</v>
      </c>
      <c r="L202" s="10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310</v>
      </c>
      <c r="B203" s="8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2" t="n">
        <f aca="false">D203*$J$5</f>
        <v>0</v>
      </c>
      <c r="F203" s="22" t="n">
        <f aca="false">E203-C203</f>
        <v>-5</v>
      </c>
      <c r="G203" s="10" t="n">
        <f aca="false">IF(AND(C203=0,E203=0),0,IF(C203=0,"New",(E203-C203)/C203))</f>
        <v>-1</v>
      </c>
      <c r="H203" s="11" t="n">
        <f aca="false">SUMIFS('Source 2025'!$I:$I,'Source 2025'!$B:$B,$A203,'Source 2025'!$A:$A,"Amount (NIS)")</f>
        <v>245.6</v>
      </c>
      <c r="I203" s="11" t="n">
        <f aca="false">SUMIFS('Source 2026'!$I:$I,'Source 2026'!$B:$B,$A203,'Source 2026'!$A:$A,"Amount (NIS)")</f>
        <v>0</v>
      </c>
      <c r="J203" s="11" t="n">
        <f aca="false">I203*$J$5</f>
        <v>0</v>
      </c>
      <c r="K203" s="11" t="n">
        <f aca="false">J203-H203</f>
        <v>-245.6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365</v>
      </c>
      <c r="B204" s="8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2" t="n">
        <f aca="false">D204*$J$5</f>
        <v>0</v>
      </c>
      <c r="F204" s="22" t="n">
        <f aca="false">E204-C204</f>
        <v>3</v>
      </c>
      <c r="G204" s="10" t="n">
        <f aca="false">IF(AND(C204=0,E204=0),0,IF(C204=0,"New",(E204-C204)/C204))</f>
        <v>-1</v>
      </c>
      <c r="H204" s="11" t="n">
        <f aca="false">SUMIFS('Source 2025'!$I:$I,'Source 2025'!$B:$B,$A204,'Source 2025'!$A:$A,"Amount (NIS)")</f>
        <v>-241.3</v>
      </c>
      <c r="I204" s="11" t="n">
        <f aca="false">SUMIFS('Source 2026'!$I:$I,'Source 2026'!$B:$B,$A204,'Source 2026'!$A:$A,"Amount (NIS)")</f>
        <v>0</v>
      </c>
      <c r="J204" s="11" t="n">
        <f aca="false">I204*$J$5</f>
        <v>0</v>
      </c>
      <c r="K204" s="11" t="n">
        <f aca="false">J204-H204</f>
        <v>241.3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357</v>
      </c>
      <c r="B205" s="8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2" t="n">
        <f aca="false">D205*$J$5</f>
        <v>-2.52631578947368</v>
      </c>
      <c r="F205" s="22" t="n">
        <f aca="false">E205-C205</f>
        <v>-2.52631578947368</v>
      </c>
      <c r="G205" s="10" t="str">
        <f aca="false">IF(AND(C205=0,E205=0),0,IF(C205=0,"New",(E205-C205)/C205))</f>
        <v>New</v>
      </c>
      <c r="H205" s="11" t="n">
        <f aca="false">SUMIFS('Source 2025'!$I:$I,'Source 2025'!$B:$B,$A205,'Source 2025'!$A:$A,"Amount (NIS)")</f>
        <v>0</v>
      </c>
      <c r="I205" s="11" t="n">
        <f aca="false">SUMIFS('Source 2026'!$I:$I,'Source 2026'!$B:$B,$A205,'Source 2026'!$A:$A,"Amount (NIS)")</f>
        <v>-240.3</v>
      </c>
      <c r="J205" s="11" t="n">
        <f aca="false">I205*$J$5</f>
        <v>-303.536842105263</v>
      </c>
      <c r="K205" s="11" t="n">
        <f aca="false">J205-H205</f>
        <v>-303.536842105263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87</v>
      </c>
      <c r="B206" s="8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2" t="n">
        <f aca="false">D206*$J$5</f>
        <v>15.1578947368421</v>
      </c>
      <c r="F206" s="22" t="n">
        <f aca="false">E206-C206</f>
        <v>9.1578947368421</v>
      </c>
      <c r="G206" s="10" t="n">
        <f aca="false">IF(AND(C206=0,E206=0),0,IF(C206=0,"New",(E206-C206)/C206))</f>
        <v>1.52631578947368</v>
      </c>
      <c r="H206" s="11" t="n">
        <f aca="false">SUMIFS('Source 2025'!$I:$I,'Source 2025'!$B:$B,$A206,'Source 2025'!$A:$A,"Amount (NIS)")</f>
        <v>148.6</v>
      </c>
      <c r="I206" s="11" t="n">
        <f aca="false">SUMIFS('Source 2026'!$I:$I,'Source 2026'!$B:$B,$A206,'Source 2026'!$A:$A,"Amount (NIS)")</f>
        <v>370.8</v>
      </c>
      <c r="J206" s="11" t="n">
        <f aca="false">I206*$J$5</f>
        <v>468.378947368421</v>
      </c>
      <c r="K206" s="11" t="n">
        <f aca="false">J206-H206</f>
        <v>319.778947368421</v>
      </c>
      <c r="L206" s="10" t="n">
        <f aca="false">IF(AND(H206=0,J206=0),0,IF(H206=0,"New",(J206-H206)/H206))</f>
        <v>2.15194446412127</v>
      </c>
    </row>
    <row r="207" customFormat="false" ht="15" hidden="false" customHeight="true" outlineLevel="0" collapsed="false">
      <c r="A207" s="8" t="s">
        <v>366</v>
      </c>
      <c r="B207" s="8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2" t="n">
        <f aca="false">D207*$J$5</f>
        <v>0</v>
      </c>
      <c r="F207" s="22" t="n">
        <f aca="false">E207-C207</f>
        <v>2</v>
      </c>
      <c r="G207" s="10" t="n">
        <f aca="false">IF(AND(C207=0,E207=0),0,IF(C207=0,"New",(E207-C207)/C207))</f>
        <v>-1</v>
      </c>
      <c r="H207" s="11" t="n">
        <f aca="false">SUMIFS('Source 2025'!$I:$I,'Source 2025'!$B:$B,$A207,'Source 2025'!$A:$A,"Amount (NIS)")</f>
        <v>-213</v>
      </c>
      <c r="I207" s="11" t="n">
        <f aca="false">SUMIFS('Source 2026'!$I:$I,'Source 2026'!$B:$B,$A207,'Source 2026'!$A:$A,"Amount (NIS)")</f>
        <v>0</v>
      </c>
      <c r="J207" s="11" t="n">
        <f aca="false">I207*$J$5</f>
        <v>0</v>
      </c>
      <c r="K207" s="11" t="n">
        <f aca="false">J207-H207</f>
        <v>213</v>
      </c>
      <c r="L207" s="10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367</v>
      </c>
      <c r="B208" s="8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2" t="n">
        <f aca="false">D208*$J$5</f>
        <v>-1.26315789473684</v>
      </c>
      <c r="F208" s="22" t="n">
        <f aca="false">E208-C208</f>
        <v>-1.26315789473684</v>
      </c>
      <c r="G208" s="10" t="str">
        <f aca="false">IF(AND(C208=0,E208=0),0,IF(C208=0,"New",(E208-C208)/C208))</f>
        <v>New</v>
      </c>
      <c r="H208" s="11" t="n">
        <f aca="false">SUMIFS('Source 2025'!$I:$I,'Source 2025'!$B:$B,$A208,'Source 2025'!$A:$A,"Amount (NIS)")</f>
        <v>0</v>
      </c>
      <c r="I208" s="11" t="n">
        <f aca="false">SUMIFS('Source 2026'!$I:$I,'Source 2026'!$B:$B,$A208,'Source 2026'!$A:$A,"Amount (NIS)")</f>
        <v>-204.8</v>
      </c>
      <c r="J208" s="11" t="n">
        <f aca="false">I208*$J$5</f>
        <v>-258.694736842105</v>
      </c>
      <c r="K208" s="11" t="n">
        <f aca="false">J208-H208</f>
        <v>-258.694736842105</v>
      </c>
      <c r="L208" s="10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254</v>
      </c>
      <c r="B209" s="8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0.736842105263158</v>
      </c>
      <c r="G209" s="10" t="n">
        <f aca="false">IF(AND(C209=0,E209=0),0,IF(C209=0,"New",(E209-C209)/C209))</f>
        <v>-0.368421052631579</v>
      </c>
      <c r="H209" s="11" t="n">
        <f aca="false">SUMIFS('Source 2025'!$I:$I,'Source 2025'!$B:$B,$A209,'Source 2025'!$A:$A,"Amount (NIS)")</f>
        <v>-194.1</v>
      </c>
      <c r="I209" s="11" t="n">
        <f aca="false">SUMIFS('Source 2026'!$I:$I,'Source 2026'!$B:$B,$A209,'Source 2026'!$A:$A,"Amount (NIS)")</f>
        <v>0</v>
      </c>
      <c r="J209" s="11" t="n">
        <f aca="false">I209*$J$5</f>
        <v>0</v>
      </c>
      <c r="K209" s="11" t="n">
        <f aca="false">J209-H209</f>
        <v>194.1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131</v>
      </c>
      <c r="B210" s="8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2" t="n">
        <f aca="false">D210*$J$5</f>
        <v>15.1578947368421</v>
      </c>
      <c r="F210" s="22" t="n">
        <f aca="false">E210-C210</f>
        <v>9.1578947368421</v>
      </c>
      <c r="G210" s="10" t="n">
        <f aca="false">IF(AND(C210=0,E210=0),0,IF(C210=0,"New",(E210-C210)/C210))</f>
        <v>1.52631578947368</v>
      </c>
      <c r="H210" s="11" t="n">
        <f aca="false">SUMIFS('Source 2025'!$I:$I,'Source 2025'!$B:$B,$A210,'Source 2025'!$A:$A,"Amount (NIS)")</f>
        <v>178.5</v>
      </c>
      <c r="I210" s="11" t="n">
        <f aca="false">SUMIFS('Source 2026'!$I:$I,'Source 2026'!$B:$B,$A210,'Source 2026'!$A:$A,"Amount (NIS)")</f>
        <v>370.8</v>
      </c>
      <c r="J210" s="11" t="n">
        <f aca="false">I210*$J$5</f>
        <v>468.378947368421</v>
      </c>
      <c r="K210" s="11" t="n">
        <f aca="false">J210-H210</f>
        <v>289.878947368421</v>
      </c>
      <c r="L210" s="10" t="n">
        <f aca="false">IF(AND(H210=0,J210=0),0,IF(H210=0,"New",(J210-H210)/H210))</f>
        <v>1.62397169394073</v>
      </c>
    </row>
    <row r="211" customFormat="false" ht="15" hidden="false" customHeight="true" outlineLevel="0" collapsed="false">
      <c r="A211" s="8" t="s">
        <v>179</v>
      </c>
      <c r="B211" s="8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2" t="n">
        <f aca="false">D211*$J$5</f>
        <v>36.6315789473684</v>
      </c>
      <c r="F211" s="22" t="n">
        <f aca="false">E211-C211</f>
        <v>-1.36842105263158</v>
      </c>
      <c r="G211" s="10" t="n">
        <f aca="false">IF(AND(C211=0,E211=0),0,IF(C211=0,"New",(E211-C211)/C211))</f>
        <v>-0.0360110803324101</v>
      </c>
      <c r="H211" s="11" t="n">
        <f aca="false">SUMIFS('Source 2025'!$I:$I,'Source 2025'!$B:$B,$A211,'Source 2025'!$A:$A,"Amount (NIS)")</f>
        <v>705.2</v>
      </c>
      <c r="I211" s="11" t="n">
        <f aca="false">SUMIFS('Source 2026'!$I:$I,'Source 2026'!$B:$B,$A211,'Source 2026'!$A:$A,"Amount (NIS)")</f>
        <v>524.8</v>
      </c>
      <c r="J211" s="11" t="n">
        <f aca="false">I211*$J$5</f>
        <v>662.905263157895</v>
      </c>
      <c r="K211" s="11" t="n">
        <f aca="false">J211-H211</f>
        <v>-42.2947368421054</v>
      </c>
      <c r="L211" s="10" t="n">
        <f aca="false">IF(AND(H211=0,J211=0),0,IF(H211=0,"New",(J211-H211)/H211))</f>
        <v>-0.0599755201958386</v>
      </c>
    </row>
    <row r="212" customFormat="false" ht="15" hidden="false" customHeight="true" outlineLevel="0" collapsed="false">
      <c r="A212" s="8" t="s">
        <v>211</v>
      </c>
      <c r="B212" s="8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2" t="n">
        <f aca="false">D212*$J$5</f>
        <v>-1.26315789473684</v>
      </c>
      <c r="F212" s="22" t="n">
        <f aca="false">E212-C212</f>
        <v>-2.26315789473684</v>
      </c>
      <c r="G212" s="10" t="n">
        <f aca="false">IF(AND(C212=0,E212=0),0,IF(C212=0,"New",(E212-C212)/C212))</f>
        <v>-2.26315789473684</v>
      </c>
      <c r="H212" s="11" t="n">
        <f aca="false">SUMIFS('Source 2025'!$I:$I,'Source 2025'!$B:$B,$A212,'Source 2025'!$A:$A,"Amount (NIS)")</f>
        <v>94.5</v>
      </c>
      <c r="I212" s="11" t="n">
        <f aca="false">SUMIFS('Source 2026'!$I:$I,'Source 2026'!$B:$B,$A212,'Source 2026'!$A:$A,"Amount (NIS)")</f>
        <v>-81.9</v>
      </c>
      <c r="J212" s="11" t="n">
        <f aca="false">I212*$J$5</f>
        <v>-103.452631578947</v>
      </c>
      <c r="K212" s="11" t="n">
        <f aca="false">J212-H212</f>
        <v>-197.952631578947</v>
      </c>
      <c r="L212" s="10" t="n">
        <f aca="false">IF(AND(H212=0,J212=0),0,IF(H212=0,"New",(J212-H212)/H212))</f>
        <v>-2.09473684210526</v>
      </c>
    </row>
    <row r="213" customFormat="false" ht="15" hidden="false" customHeight="true" outlineLevel="0" collapsed="false">
      <c r="A213" s="8" t="s">
        <v>354</v>
      </c>
      <c r="B213" s="8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2" t="n">
        <f aca="false">D213*$J$5</f>
        <v>-1.26315789473684</v>
      </c>
      <c r="F213" s="22" t="n">
        <f aca="false">E213-C213</f>
        <v>2.73684210526316</v>
      </c>
      <c r="G213" s="10" t="n">
        <f aca="false">IF(AND(C213=0,E213=0),0,IF(C213=0,"New",(E213-C213)/C213))</f>
        <v>-0.68421052631579</v>
      </c>
      <c r="H213" s="11" t="n">
        <f aca="false">SUMIFS('Source 2025'!$I:$I,'Source 2025'!$B:$B,$A213,'Source 2025'!$A:$A,"Amount (NIS)")</f>
        <v>-219.2</v>
      </c>
      <c r="I213" s="11" t="n">
        <f aca="false">SUMIFS('Source 2026'!$I:$I,'Source 2026'!$B:$B,$A213,'Source 2026'!$A:$A,"Amount (NIS)")</f>
        <v>-49.1</v>
      </c>
      <c r="J213" s="11" t="n">
        <f aca="false">I213*$J$5</f>
        <v>-62.021052631579</v>
      </c>
      <c r="K213" s="11" t="n">
        <f aca="false">J213-H213</f>
        <v>157.178947368421</v>
      </c>
      <c r="L213" s="10" t="n">
        <f aca="false">IF(AND(H213=0,J213=0),0,IF(H213=0,"New",(J213-H213)/H213))</f>
        <v>-0.717057241644257</v>
      </c>
    </row>
    <row r="214" customFormat="false" ht="15" hidden="false" customHeight="true" outlineLevel="0" collapsed="false">
      <c r="A214" s="8" t="s">
        <v>250</v>
      </c>
      <c r="B214" s="8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2" t="n">
        <f aca="false">D214*$J$5</f>
        <v>68.2105263157895</v>
      </c>
      <c r="F214" s="22" t="n">
        <f aca="false">E214-C214</f>
        <v>6.21052631578947</v>
      </c>
      <c r="G214" s="10" t="n">
        <f aca="false">IF(AND(C214=0,E214=0),0,IF(C214=0,"New",(E214-C214)/C214))</f>
        <v>0.100169779286927</v>
      </c>
      <c r="H214" s="11" t="n">
        <f aca="false">SUMIFS('Source 2025'!$I:$I,'Source 2025'!$B:$B,$A214,'Source 2025'!$A:$A,"Amount (NIS)")</f>
        <v>1770</v>
      </c>
      <c r="I214" s="11" t="n">
        <f aca="false">SUMIFS('Source 2026'!$I:$I,'Source 2026'!$B:$B,$A214,'Source 2026'!$A:$A,"Amount (NIS)")</f>
        <v>1600</v>
      </c>
      <c r="J214" s="11" t="n">
        <f aca="false">I214*$J$5</f>
        <v>2021.05263157895</v>
      </c>
      <c r="K214" s="11" t="n">
        <f aca="false">J214-H214</f>
        <v>251.052631578947</v>
      </c>
      <c r="L214" s="10" t="n">
        <f aca="false">IF(AND(H214=0,J214=0),0,IF(H214=0,"New",(J214-H214)/H214))</f>
        <v>0.141837644959857</v>
      </c>
    </row>
    <row r="215" customFormat="false" ht="15" hidden="false" customHeight="true" outlineLevel="0" collapsed="false">
      <c r="A215" s="8" t="s">
        <v>187</v>
      </c>
      <c r="B215" s="8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2" t="n">
        <f aca="false">D215*$J$5</f>
        <v>92.2105263157895</v>
      </c>
      <c r="F215" s="22" t="n">
        <f aca="false">E215-C215</f>
        <v>4.21052631578947</v>
      </c>
      <c r="G215" s="10" t="n">
        <f aca="false">IF(AND(C215=0,E215=0),0,IF(C215=0,"New",(E215-C215)/C215))</f>
        <v>0.047846889952153</v>
      </c>
      <c r="H215" s="11" t="n">
        <f aca="false">SUMIFS('Source 2025'!$I:$I,'Source 2025'!$B:$B,$A215,'Source 2025'!$A:$A,"Amount (NIS)")</f>
        <v>1132.7</v>
      </c>
      <c r="I215" s="11" t="n">
        <f aca="false">SUMIFS('Source 2026'!$I:$I,'Source 2026'!$B:$B,$A215,'Source 2026'!$A:$A,"Amount (NIS)")</f>
        <v>992.1</v>
      </c>
      <c r="J215" s="11" t="n">
        <f aca="false">I215*$J$5</f>
        <v>1253.17894736842</v>
      </c>
      <c r="K215" s="11" t="n">
        <f aca="false">J215-H215</f>
        <v>120.478947368421</v>
      </c>
      <c r="L215" s="10" t="n">
        <f aca="false">IF(AND(H215=0,J215=0),0,IF(H215=0,"New",(J215-H215)/H215))</f>
        <v>0.106364392485584</v>
      </c>
    </row>
    <row r="216" customFormat="false" ht="15" hidden="false" customHeight="true" outlineLevel="0" collapsed="false">
      <c r="A216" s="8" t="s">
        <v>273</v>
      </c>
      <c r="B216" s="8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2" t="n">
        <f aca="false">D216*$J$5</f>
        <v>-2.52631578947368</v>
      </c>
      <c r="F216" s="22" t="n">
        <f aca="false">E216-C216</f>
        <v>-2.52631578947368</v>
      </c>
      <c r="G216" s="10" t="str">
        <f aca="false">IF(AND(C216=0,E216=0),0,IF(C216=0,"New",(E216-C216)/C216))</f>
        <v>New</v>
      </c>
      <c r="H216" s="11" t="n">
        <f aca="false">SUMIFS('Source 2025'!$I:$I,'Source 2025'!$B:$B,$A216,'Source 2025'!$A:$A,"Amount (NIS)")</f>
        <v>-7.2</v>
      </c>
      <c r="I216" s="11" t="n">
        <f aca="false">SUMIFS('Source 2026'!$I:$I,'Source 2026'!$B:$B,$A216,'Source 2026'!$A:$A,"Amount (NIS)")</f>
        <v>-146.6</v>
      </c>
      <c r="J216" s="11" t="n">
        <f aca="false">I216*$J$5</f>
        <v>-185.178947368421</v>
      </c>
      <c r="K216" s="11" t="n">
        <f aca="false">J216-H216</f>
        <v>-177.978947368421</v>
      </c>
      <c r="L216" s="10" t="n">
        <f aca="false">IF(AND(H216=0,J216=0),0,IF(H216=0,"New",(J216-H216)/H216))</f>
        <v>24.719298245614</v>
      </c>
    </row>
    <row r="217" customFormat="false" ht="15" hidden="false" customHeight="true" outlineLevel="0" collapsed="false">
      <c r="A217" s="8" t="s">
        <v>294</v>
      </c>
      <c r="B217" s="8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2" t="n">
        <f aca="false">D217*$J$5</f>
        <v>0</v>
      </c>
      <c r="F217" s="22" t="n">
        <f aca="false">E217-C217</f>
        <v>2</v>
      </c>
      <c r="G217" s="10" t="n">
        <f aca="false">IF(AND(C217=0,E217=0),0,IF(C217=0,"New",(E217-C217)/C217))</f>
        <v>-1</v>
      </c>
      <c r="H217" s="11" t="n">
        <f aca="false">SUMIFS('Source 2025'!$I:$I,'Source 2025'!$B:$B,$A217,'Source 2025'!$A:$A,"Amount (NIS)")</f>
        <v>-136.3</v>
      </c>
      <c r="I217" s="11" t="n">
        <f aca="false">SUMIFS('Source 2026'!$I:$I,'Source 2026'!$B:$B,$A217,'Source 2026'!$A:$A,"Amount (NIS)")</f>
        <v>0</v>
      </c>
      <c r="J217" s="11" t="n">
        <f aca="false">I217*$J$5</f>
        <v>0</v>
      </c>
      <c r="K217" s="11" t="n">
        <f aca="false">J217-H217</f>
        <v>136.3</v>
      </c>
      <c r="L217" s="10" t="n">
        <f aca="false">IF(AND(H217=0,J217=0),0,IF(H217=0,"New",(J217-H217)/H217))</f>
        <v>-1</v>
      </c>
    </row>
    <row r="218" customFormat="false" ht="15" hidden="false" customHeight="true" outlineLevel="0" collapsed="false">
      <c r="A218" s="8" t="s">
        <v>313</v>
      </c>
      <c r="B218" s="8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2" t="n">
        <f aca="false">D218*$J$5</f>
        <v>-1.26315789473684</v>
      </c>
      <c r="F218" s="22" t="n">
        <f aca="false">E218-C218</f>
        <v>-1.26315789473684</v>
      </c>
      <c r="G218" s="10" t="str">
        <f aca="false">IF(AND(C218=0,E218=0),0,IF(C218=0,"New",(E218-C218)/C218))</f>
        <v>New</v>
      </c>
      <c r="H218" s="11" t="n">
        <f aca="false">SUMIFS('Source 2025'!$I:$I,'Source 2025'!$B:$B,$A218,'Source 2025'!$A:$A,"Amount (NIS)")</f>
        <v>0</v>
      </c>
      <c r="I218" s="11" t="n">
        <f aca="false">SUMIFS('Source 2026'!$I:$I,'Source 2026'!$B:$B,$A218,'Source 2026'!$A:$A,"Amount (NIS)")</f>
        <v>-131.1</v>
      </c>
      <c r="J218" s="11" t="n">
        <f aca="false">I218*$J$5</f>
        <v>-165.6</v>
      </c>
      <c r="K218" s="11" t="n">
        <f aca="false">J218-H218</f>
        <v>-165.6</v>
      </c>
      <c r="L218" s="10" t="str">
        <f aca="false">IF(AND(H218=0,J218=0),0,IF(H218=0,"New",(J218-H218)/H218))</f>
        <v>New</v>
      </c>
    </row>
    <row r="219" customFormat="false" ht="15" hidden="false" customHeight="true" outlineLevel="0" collapsed="false">
      <c r="A219" s="8" t="s">
        <v>229</v>
      </c>
      <c r="B219" s="8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2" t="n">
        <f aca="false">D219*$J$5</f>
        <v>0</v>
      </c>
      <c r="F219" s="22" t="n">
        <f aca="false">E219-C219</f>
        <v>1</v>
      </c>
      <c r="G219" s="10" t="n">
        <f aca="false">IF(AND(C219=0,E219=0),0,IF(C219=0,"New",(E219-C219)/C219))</f>
        <v>-1</v>
      </c>
      <c r="H219" s="11" t="n">
        <f aca="false">SUMIFS('Source 2025'!$I:$I,'Source 2025'!$B:$B,$A219,'Source 2025'!$A:$A,"Amount (NIS)")</f>
        <v>-131.1</v>
      </c>
      <c r="I219" s="11" t="n">
        <f aca="false">SUMIFS('Source 2026'!$I:$I,'Source 2026'!$B:$B,$A219,'Source 2026'!$A:$A,"Amount (NIS)")</f>
        <v>0</v>
      </c>
      <c r="J219" s="11" t="n">
        <f aca="false">I219*$J$5</f>
        <v>0</v>
      </c>
      <c r="K219" s="11" t="n">
        <f aca="false">J219-H219</f>
        <v>131.1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312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2" t="n">
        <f aca="false">D220*$J$5</f>
        <v>0</v>
      </c>
      <c r="F220" s="22" t="n">
        <f aca="false">E220-C220</f>
        <v>1</v>
      </c>
      <c r="G220" s="10" t="n">
        <f aca="false">IF(AND(C220=0,E220=0),0,IF(C220=0,"New",(E220-C220)/C220))</f>
        <v>-1</v>
      </c>
      <c r="H220" s="11" t="n">
        <f aca="false">SUMIFS('Source 2025'!$I:$I,'Source 2025'!$B:$B,$A220,'Source 2025'!$A:$A,"Amount (NIS)")</f>
        <v>-131.1</v>
      </c>
      <c r="I220" s="11" t="n">
        <f aca="false">SUMIFS('Source 2026'!$I:$I,'Source 2026'!$B:$B,$A220,'Source 2026'!$A:$A,"Amount (NIS)")</f>
        <v>0</v>
      </c>
      <c r="J220" s="11" t="n">
        <f aca="false">I220*$J$5</f>
        <v>0</v>
      </c>
      <c r="K220" s="11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136</v>
      </c>
      <c r="B221" s="8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2" t="n">
        <f aca="false">D221*$J$5</f>
        <v>32.8421052631579</v>
      </c>
      <c r="F221" s="22" t="n">
        <f aca="false">E221-C221</f>
        <v>4.84210526315789</v>
      </c>
      <c r="G221" s="10" t="n">
        <f aca="false">IF(AND(C221=0,E221=0),0,IF(C221=0,"New",(E221-C221)/C221))</f>
        <v>0.172932330827068</v>
      </c>
      <c r="H221" s="11" t="n">
        <f aca="false">SUMIFS('Source 2025'!$I:$I,'Source 2025'!$B:$B,$A221,'Source 2025'!$A:$A,"Amount (NIS)")</f>
        <v>2640.1</v>
      </c>
      <c r="I221" s="11" t="n">
        <f aca="false">SUMIFS('Source 2026'!$I:$I,'Source 2026'!$B:$B,$A221,'Source 2026'!$A:$A,"Amount (NIS)")</f>
        <v>2509.6</v>
      </c>
      <c r="J221" s="11" t="n">
        <f aca="false">I221*$J$5</f>
        <v>3170.02105263158</v>
      </c>
      <c r="K221" s="11" t="n">
        <f aca="false">J221-H221</f>
        <v>529.921052631579</v>
      </c>
      <c r="L221" s="10" t="n">
        <f aca="false">IF(AND(H221=0,J221=0),0,IF(H221=0,"New",(J221-H221)/H221))</f>
        <v>0.200720068418461</v>
      </c>
    </row>
    <row r="222" customFormat="false" ht="15" hidden="false" customHeight="true" outlineLevel="0" collapsed="false">
      <c r="A222" s="8" t="s">
        <v>368</v>
      </c>
      <c r="B222" s="8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2" t="n">
        <f aca="false">D222*$J$5</f>
        <v>-1.26315789473684</v>
      </c>
      <c r="F222" s="22" t="n">
        <f aca="false">E222-C222</f>
        <v>-1.26315789473684</v>
      </c>
      <c r="G222" s="10" t="str">
        <f aca="false">IF(AND(C222=0,E222=0),0,IF(C222=0,"New",(E222-C222)/C222))</f>
        <v>New</v>
      </c>
      <c r="H222" s="11" t="n">
        <f aca="false">SUMIFS('Source 2025'!$I:$I,'Source 2025'!$B:$B,$A222,'Source 2025'!$A:$A,"Amount (NIS)")</f>
        <v>0</v>
      </c>
      <c r="I222" s="11" t="n">
        <f aca="false">SUMIFS('Source 2026'!$I:$I,'Source 2026'!$B:$B,$A222,'Source 2026'!$A:$A,"Amount (NIS)")</f>
        <v>-118.8</v>
      </c>
      <c r="J222" s="11" t="n">
        <f aca="false">I222*$J$5</f>
        <v>-150.063157894737</v>
      </c>
      <c r="K222" s="11" t="n">
        <f aca="false">J222-H222</f>
        <v>-150.063157894737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270</v>
      </c>
      <c r="B223" s="8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2" t="n">
        <f aca="false">D223*$J$5</f>
        <v>5.05263157894737</v>
      </c>
      <c r="F223" s="22" t="n">
        <f aca="false">E223-C223</f>
        <v>4.05263157894737</v>
      </c>
      <c r="G223" s="10" t="n">
        <f aca="false">IF(AND(C223=0,E223=0),0,IF(C223=0,"New",(E223-C223)/C223))</f>
        <v>4.05263157894737</v>
      </c>
      <c r="H223" s="11" t="n">
        <f aca="false">SUMIFS('Source 2025'!$I:$I,'Source 2025'!$B:$B,$A223,'Source 2025'!$A:$A,"Amount (NIS)")</f>
        <v>143.4</v>
      </c>
      <c r="I223" s="11" t="n">
        <f aca="false">SUMIFS('Source 2026'!$I:$I,'Source 2026'!$B:$B,$A223,'Source 2026'!$A:$A,"Amount (NIS)")</f>
        <v>257.2</v>
      </c>
      <c r="J223" s="11" t="n">
        <f aca="false">I223*$J$5</f>
        <v>324.884210526316</v>
      </c>
      <c r="K223" s="11" t="n">
        <f aca="false">J223-H223</f>
        <v>181.484210526316</v>
      </c>
      <c r="L223" s="10" t="n">
        <f aca="false">IF(AND(H223=0,J223=0),0,IF(H223=0,"New",(J223-H223)/H223))</f>
        <v>1.26558026866329</v>
      </c>
    </row>
    <row r="224" customFormat="false" ht="15" hidden="false" customHeight="true" outlineLevel="0" collapsed="false">
      <c r="A224" s="8" t="s">
        <v>371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2" t="n">
        <f aca="false">D224*$J$5</f>
        <v>0</v>
      </c>
      <c r="F224" s="22" t="n">
        <f aca="false">E224-C224</f>
        <v>1</v>
      </c>
      <c r="G224" s="10" t="n">
        <f aca="false">IF(AND(C224=0,E224=0),0,IF(C224=0,"New",(E224-C224)/C224))</f>
        <v>-1</v>
      </c>
      <c r="H224" s="11" t="n">
        <f aca="false">SUMIFS('Source 2025'!$I:$I,'Source 2025'!$B:$B,$A224,'Source 2025'!$A:$A,"Amount (NIS)")</f>
        <v>-106.5</v>
      </c>
      <c r="I224" s="11" t="n">
        <f aca="false">SUMIFS('Source 2026'!$I:$I,'Source 2026'!$B:$B,$A224,'Source 2026'!$A:$A,"Amount (NIS)")</f>
        <v>0</v>
      </c>
      <c r="J224" s="11" t="n">
        <f aca="false">I224*$J$5</f>
        <v>0</v>
      </c>
      <c r="K224" s="11" t="n">
        <f aca="false">J224-H224</f>
        <v>106.5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370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2" t="n">
        <f aca="false">D225*$J$5</f>
        <v>0</v>
      </c>
      <c r="F225" s="22" t="n">
        <f aca="false">E225-C225</f>
        <v>1</v>
      </c>
      <c r="G225" s="10" t="n">
        <f aca="false">IF(AND(C225=0,E225=0),0,IF(C225=0,"New",(E225-C225)/C225))</f>
        <v>-1</v>
      </c>
      <c r="H225" s="11" t="n">
        <f aca="false">SUMIFS('Source 2025'!$I:$I,'Source 2025'!$B:$B,$A225,'Source 2025'!$A:$A,"Amount (NIS)")</f>
        <v>-106.5</v>
      </c>
      <c r="I225" s="11" t="n">
        <f aca="false">SUMIFS('Source 2026'!$I:$I,'Source 2026'!$B:$B,$A225,'Source 2026'!$A:$A,"Amount (NIS)")</f>
        <v>0</v>
      </c>
      <c r="J225" s="11" t="n">
        <f aca="false">I225*$J$5</f>
        <v>0</v>
      </c>
      <c r="K225" s="11" t="n">
        <f aca="false">J225-H225</f>
        <v>106.5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369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2" t="n">
        <f aca="false">D226*$J$5</f>
        <v>0</v>
      </c>
      <c r="F226" s="22" t="n">
        <f aca="false">E226-C226</f>
        <v>1</v>
      </c>
      <c r="G226" s="10" t="n">
        <f aca="false">IF(AND(C226=0,E226=0),0,IF(C226=0,"New",(E226-C226)/C226))</f>
        <v>-1</v>
      </c>
      <c r="H226" s="11" t="n">
        <f aca="false">SUMIFS('Source 2025'!$I:$I,'Source 2025'!$B:$B,$A226,'Source 2025'!$A:$A,"Amount (NIS)")</f>
        <v>-106.5</v>
      </c>
      <c r="I226" s="11" t="n">
        <f aca="false">SUMIFS('Source 2026'!$I:$I,'Source 2026'!$B:$B,$A226,'Source 2026'!$A:$A,"Amount (NIS)")</f>
        <v>0</v>
      </c>
      <c r="J226" s="11" t="n">
        <f aca="false">I226*$J$5</f>
        <v>0</v>
      </c>
      <c r="K226" s="11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318</v>
      </c>
      <c r="B227" s="8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2" t="n">
        <f aca="false">D227*$J$5</f>
        <v>0</v>
      </c>
      <c r="F227" s="22" t="n">
        <f aca="false">E227-C227</f>
        <v>-1</v>
      </c>
      <c r="G227" s="10" t="n">
        <f aca="false">IF(AND(C227=0,E227=0),0,IF(C227=0,"New",(E227-C227)/C227))</f>
        <v>-1</v>
      </c>
      <c r="H227" s="11" t="n">
        <f aca="false">SUMIFS('Source 2025'!$I:$I,'Source 2025'!$B:$B,$A227,'Source 2025'!$A:$A,"Amount (NIS)")</f>
        <v>105.9</v>
      </c>
      <c r="I227" s="11" t="n">
        <f aca="false">SUMIFS('Source 2026'!$I:$I,'Source 2026'!$B:$B,$A227,'Source 2026'!$A:$A,"Amount (NIS)")</f>
        <v>0</v>
      </c>
      <c r="J227" s="11" t="n">
        <f aca="false">I227*$J$5</f>
        <v>0</v>
      </c>
      <c r="K227" s="11" t="n">
        <f aca="false">J227-H227</f>
        <v>-105.9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261</v>
      </c>
      <c r="B228" s="8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2" t="n">
        <f aca="false">D228*$J$5</f>
        <v>32.8421052631579</v>
      </c>
      <c r="F228" s="22" t="n">
        <f aca="false">E228-C228</f>
        <v>7.84210526315789</v>
      </c>
      <c r="G228" s="10" t="n">
        <f aca="false">IF(AND(C228=0,E228=0),0,IF(C228=0,"New",(E228-C228)/C228))</f>
        <v>0.313684210526316</v>
      </c>
      <c r="H228" s="11" t="n">
        <f aca="false">SUMIFS('Source 2025'!$I:$I,'Source 2025'!$B:$B,$A228,'Source 2025'!$A:$A,"Amount (NIS)")</f>
        <v>2254.3</v>
      </c>
      <c r="I228" s="11" t="n">
        <f aca="false">SUMIFS('Source 2026'!$I:$I,'Source 2026'!$B:$B,$A228,'Source 2026'!$A:$A,"Amount (NIS)")</f>
        <v>2353.3</v>
      </c>
      <c r="J228" s="11" t="n">
        <f aca="false">I228*$J$5</f>
        <v>2972.58947368421</v>
      </c>
      <c r="K228" s="11" t="n">
        <f aca="false">J228-H228</f>
        <v>718.289473684211</v>
      </c>
      <c r="L228" s="10" t="n">
        <f aca="false">IF(AND(H228=0,J228=0),0,IF(H228=0,"New",(J228-H228)/H228))</f>
        <v>0.318630827167729</v>
      </c>
    </row>
    <row r="229" customFormat="false" ht="15" hidden="false" customHeight="true" outlineLevel="0" collapsed="false">
      <c r="A229" s="8" t="s">
        <v>18</v>
      </c>
      <c r="B229" s="8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2" t="n">
        <f aca="false">D229*$J$5</f>
        <v>0</v>
      </c>
      <c r="F229" s="22" t="n">
        <f aca="false">E229-C229</f>
        <v>11</v>
      </c>
      <c r="G229" s="10" t="n">
        <f aca="false">IF(AND(C229=0,E229=0),0,IF(C229=0,"New",(E229-C229)/C229))</f>
        <v>-1</v>
      </c>
      <c r="H229" s="11" t="n">
        <f aca="false">SUMIFS('Source 2025'!$I:$I,'Source 2025'!$B:$B,$A229,'Source 2025'!$A:$A,"Amount (NIS)")</f>
        <v>-98.4</v>
      </c>
      <c r="I229" s="11" t="n">
        <f aca="false">SUMIFS('Source 2026'!$I:$I,'Source 2026'!$B:$B,$A229,'Source 2026'!$A:$A,"Amount (NIS)")</f>
        <v>0</v>
      </c>
      <c r="J229" s="11" t="n">
        <f aca="false">I229*$J$5</f>
        <v>0</v>
      </c>
      <c r="K229" s="11" t="n">
        <f aca="false">J229-H229</f>
        <v>98.4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283</v>
      </c>
      <c r="B230" s="8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2" t="n">
        <f aca="false">D230*$J$5</f>
        <v>-1.26315789473684</v>
      </c>
      <c r="F230" s="22" t="n">
        <f aca="false">E230-C230</f>
        <v>0.736842105263158</v>
      </c>
      <c r="G230" s="10" t="n">
        <f aca="false">IF(AND(C230=0,E230=0),0,IF(C230=0,"New",(E230-C230)/C230))</f>
        <v>-0.368421052631579</v>
      </c>
      <c r="H230" s="11" t="n">
        <f aca="false">SUMIFS('Source 2025'!$I:$I,'Source 2025'!$B:$B,$A230,'Source 2025'!$A:$A,"Amount (NIS)")</f>
        <v>-188.4</v>
      </c>
      <c r="I230" s="11" t="n">
        <f aca="false">SUMIFS('Source 2026'!$I:$I,'Source 2026'!$B:$B,$A230,'Source 2026'!$A:$A,"Amount (NIS)")</f>
        <v>-94.2</v>
      </c>
      <c r="J230" s="11" t="n">
        <f aca="false">I230*$J$5</f>
        <v>-118.989473684211</v>
      </c>
      <c r="K230" s="11" t="n">
        <f aca="false">J230-H230</f>
        <v>69.4105263157895</v>
      </c>
      <c r="L230" s="10" t="n">
        <f aca="false">IF(AND(H230=0,J230=0),0,IF(H230=0,"New",(J230-H230)/H230))</f>
        <v>-0.368421052631579</v>
      </c>
    </row>
    <row r="231" customFormat="false" ht="15" hidden="false" customHeight="true" outlineLevel="0" collapsed="false">
      <c r="A231" s="8" t="s">
        <v>372</v>
      </c>
      <c r="B231" s="8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2" t="n">
        <f aca="false">D231*$J$5</f>
        <v>-1.26315789473684</v>
      </c>
      <c r="F231" s="22" t="n">
        <f aca="false">E231-C231</f>
        <v>-1.26315789473684</v>
      </c>
      <c r="G231" s="10" t="str">
        <f aca="false">IF(AND(C231=0,E231=0),0,IF(C231=0,"New",(E231-C231)/C231))</f>
        <v>New</v>
      </c>
      <c r="H231" s="11" t="n">
        <f aca="false">SUMIFS('Source 2025'!$I:$I,'Source 2025'!$B:$B,$A231,'Source 2025'!$A:$A,"Amount (NIS)")</f>
        <v>0</v>
      </c>
      <c r="I231" s="11" t="n">
        <f aca="false">SUMIFS('Source 2026'!$I:$I,'Source 2026'!$B:$B,$A231,'Source 2026'!$A:$A,"Amount (NIS)")</f>
        <v>-90.1</v>
      </c>
      <c r="J231" s="11" t="n">
        <f aca="false">I231*$J$5</f>
        <v>-113.810526315789</v>
      </c>
      <c r="K231" s="11" t="n">
        <f aca="false">J231-H231</f>
        <v>-113.810526315789</v>
      </c>
      <c r="L231" s="10" t="str">
        <f aca="false">IF(AND(H231=0,J231=0),0,IF(H231=0,"New",(J231-H231)/H231))</f>
        <v>New</v>
      </c>
    </row>
    <row r="232" customFormat="false" ht="15" hidden="false" customHeight="true" outlineLevel="0" collapsed="false">
      <c r="A232" s="8" t="s">
        <v>373</v>
      </c>
      <c r="B232" s="8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2" t="n">
        <f aca="false">D232*$J$5</f>
        <v>0</v>
      </c>
      <c r="F232" s="22" t="n">
        <f aca="false">E232-C232</f>
        <v>3</v>
      </c>
      <c r="G232" s="10" t="n">
        <f aca="false">IF(AND(C232=0,E232=0),0,IF(C232=0,"New",(E232-C232)/C232))</f>
        <v>-1</v>
      </c>
      <c r="H232" s="11" t="n">
        <f aca="false">SUMIFS('Source 2025'!$I:$I,'Source 2025'!$B:$B,$A232,'Source 2025'!$A:$A,"Amount (NIS)")</f>
        <v>-90</v>
      </c>
      <c r="I232" s="11" t="n">
        <f aca="false">SUMIFS('Source 2026'!$I:$I,'Source 2026'!$B:$B,$A232,'Source 2026'!$A:$A,"Amount (NIS)")</f>
        <v>0</v>
      </c>
      <c r="J232" s="11" t="n">
        <f aca="false">I232*$J$5</f>
        <v>0</v>
      </c>
      <c r="K232" s="11" t="n">
        <f aca="false">J232-H232</f>
        <v>90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165</v>
      </c>
      <c r="B233" s="8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2" t="n">
        <f aca="false">D233*$J$5</f>
        <v>83.3684210526316</v>
      </c>
      <c r="F233" s="22" t="n">
        <f aca="false">E233-C233</f>
        <v>14.3684210526316</v>
      </c>
      <c r="G233" s="10" t="n">
        <f aca="false">IF(AND(C233=0,E233=0),0,IF(C233=0,"New",(E233-C233)/C233))</f>
        <v>0.208237986270023</v>
      </c>
      <c r="H233" s="11" t="n">
        <f aca="false">SUMIFS('Source 2025'!$I:$I,'Source 2025'!$B:$B,$A233,'Source 2025'!$A:$A,"Amount (NIS)")</f>
        <v>7018.7</v>
      </c>
      <c r="I233" s="11" t="n">
        <f aca="false">SUMIFS('Source 2026'!$I:$I,'Source 2026'!$B:$B,$A233,'Source 2026'!$A:$A,"Amount (NIS)")</f>
        <v>6936.6</v>
      </c>
      <c r="J233" s="11" t="n">
        <f aca="false">I233*$J$5</f>
        <v>8762.02105263158</v>
      </c>
      <c r="K233" s="11" t="n">
        <f aca="false">J233-H233</f>
        <v>1743.32105263158</v>
      </c>
      <c r="L233" s="10" t="n">
        <f aca="false">IF(AND(H233=0,J233=0),0,IF(H233=0,"New",(J233-H233)/H233))</f>
        <v>0.248382329011295</v>
      </c>
    </row>
    <row r="234" customFormat="false" ht="15" hidden="false" customHeight="true" outlineLevel="0" collapsed="false">
      <c r="A234" s="8" t="s">
        <v>374</v>
      </c>
      <c r="B234" s="8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2" t="n">
        <f aca="false">D234*$J$5</f>
        <v>-1.26315789473684</v>
      </c>
      <c r="F234" s="22" t="n">
        <f aca="false">E234-C234</f>
        <v>-1.26315789473684</v>
      </c>
      <c r="G234" s="10" t="str">
        <f aca="false">IF(AND(C234=0,E234=0),0,IF(C234=0,"New",(E234-C234)/C234))</f>
        <v>New</v>
      </c>
      <c r="H234" s="11" t="n">
        <f aca="false">SUMIFS('Source 2025'!$I:$I,'Source 2025'!$B:$B,$A234,'Source 2025'!$A:$A,"Amount (NIS)")</f>
        <v>0</v>
      </c>
      <c r="I234" s="11" t="n">
        <f aca="false">SUMIFS('Source 2026'!$I:$I,'Source 2026'!$B:$B,$A234,'Source 2026'!$A:$A,"Amount (NIS)")</f>
        <v>-77.8</v>
      </c>
      <c r="J234" s="11" t="n">
        <f aca="false">I234*$J$5</f>
        <v>-98.2736842105263</v>
      </c>
      <c r="K234" s="11" t="n">
        <f aca="false">J234-H234</f>
        <v>-98.2736842105263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347</v>
      </c>
      <c r="B235" s="8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2" t="n">
        <f aca="false">D235*$J$5</f>
        <v>114.947368421053</v>
      </c>
      <c r="F235" s="22" t="n">
        <f aca="false">E235-C235</f>
        <v>25.9473684210526</v>
      </c>
      <c r="G235" s="10" t="n">
        <f aca="false">IF(AND(C235=0,E235=0),0,IF(C235=0,"New",(E235-C235)/C235))</f>
        <v>0.291543465405086</v>
      </c>
      <c r="H235" s="11" t="n">
        <f aca="false">SUMIFS('Source 2025'!$I:$I,'Source 2025'!$B:$B,$A235,'Source 2025'!$A:$A,"Amount (NIS)")</f>
        <v>1894.5</v>
      </c>
      <c r="I235" s="11" t="n">
        <f aca="false">SUMIFS('Source 2026'!$I:$I,'Source 2026'!$B:$B,$A235,'Source 2026'!$A:$A,"Amount (NIS)")</f>
        <v>1968.5</v>
      </c>
      <c r="J235" s="11" t="n">
        <f aca="false">I235*$J$5</f>
        <v>2486.52631578947</v>
      </c>
      <c r="K235" s="11" t="n">
        <f aca="false">J235-H235</f>
        <v>592.026315789474</v>
      </c>
      <c r="L235" s="10" t="n">
        <f aca="false">IF(AND(H235=0,J235=0),0,IF(H235=0,"New",(J235-H235)/H235))</f>
        <v>0.312497395507772</v>
      </c>
    </row>
    <row r="236" customFormat="false" ht="15" hidden="false" customHeight="true" outlineLevel="0" collapsed="false">
      <c r="A236" s="8" t="s">
        <v>375</v>
      </c>
      <c r="B236" s="8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2" t="n">
        <f aca="false">D236*$J$5</f>
        <v>-2.52631578947368</v>
      </c>
      <c r="F236" s="22" t="n">
        <f aca="false">E236-C236</f>
        <v>-1.52631578947368</v>
      </c>
      <c r="G236" s="10" t="n">
        <f aca="false">IF(AND(C236=0,E236=0),0,IF(C236=0,"New",(E236-C236)/C236))</f>
        <v>1.52631578947368</v>
      </c>
      <c r="H236" s="11" t="n">
        <f aca="false">SUMIFS('Source 2025'!$I:$I,'Source 2025'!$B:$B,$A236,'Source 2025'!$A:$A,"Amount (NIS)")</f>
        <v>-73.9</v>
      </c>
      <c r="I236" s="11" t="n">
        <f aca="false">SUMIFS('Source 2026'!$I:$I,'Source 2026'!$B:$B,$A236,'Source 2026'!$A:$A,"Amount (NIS)")</f>
        <v>-147.8</v>
      </c>
      <c r="J236" s="11" t="n">
        <f aca="false">I236*$J$5</f>
        <v>-186.694736842105</v>
      </c>
      <c r="K236" s="11" t="n">
        <f aca="false">J236-H236</f>
        <v>-112.794736842105</v>
      </c>
      <c r="L236" s="10" t="n">
        <f aca="false">IF(AND(H236=0,J236=0),0,IF(H236=0,"New",(J236-H236)/H236))</f>
        <v>1.52631578947368</v>
      </c>
    </row>
    <row r="237" customFormat="false" ht="15" hidden="false" customHeight="true" outlineLevel="0" collapsed="false">
      <c r="A237" s="8" t="s">
        <v>302</v>
      </c>
      <c r="B237" s="8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2" t="n">
        <f aca="false">D237*$J$5</f>
        <v>0</v>
      </c>
      <c r="F237" s="22" t="n">
        <f aca="false">E237-C237</f>
        <v>1</v>
      </c>
      <c r="G237" s="10" t="n">
        <f aca="false">IF(AND(C237=0,E237=0),0,IF(C237=0,"New",(E237-C237)/C237))</f>
        <v>-1</v>
      </c>
      <c r="H237" s="11" t="n">
        <f aca="false">SUMIFS('Source 2025'!$I:$I,'Source 2025'!$B:$B,$A237,'Source 2025'!$A:$A,"Amount (NIS)")</f>
        <v>-71.3</v>
      </c>
      <c r="I237" s="11" t="n">
        <f aca="false">SUMIFS('Source 2026'!$I:$I,'Source 2026'!$B:$B,$A237,'Source 2026'!$A:$A,"Amount (NIS)")</f>
        <v>0</v>
      </c>
      <c r="J237" s="11" t="n">
        <f aca="false">I237*$J$5</f>
        <v>0</v>
      </c>
      <c r="K237" s="11" t="n">
        <f aca="false">J237-H237</f>
        <v>71.3</v>
      </c>
      <c r="L237" s="10" t="n">
        <f aca="false">IF(AND(H237=0,J237=0),0,IF(H237=0,"New",(J237-H237)/H237))</f>
        <v>-1</v>
      </c>
    </row>
    <row r="238" customFormat="false" ht="15" hidden="false" customHeight="true" outlineLevel="0" collapsed="false">
      <c r="A238" s="8" t="s">
        <v>336</v>
      </c>
      <c r="B238" s="8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2" t="n">
        <f aca="false">D238*$J$5</f>
        <v>0</v>
      </c>
      <c r="F238" s="22" t="n">
        <f aca="false">E238-C238</f>
        <v>3</v>
      </c>
      <c r="G238" s="10" t="n">
        <f aca="false">IF(AND(C238=0,E238=0),0,IF(C238=0,"New",(E238-C238)/C238))</f>
        <v>-1</v>
      </c>
      <c r="H238" s="11" t="n">
        <f aca="false">SUMIFS('Source 2025'!$I:$I,'Source 2025'!$B:$B,$A238,'Source 2025'!$A:$A,"Amount (NIS)")</f>
        <v>-70.7</v>
      </c>
      <c r="I238" s="11" t="n">
        <f aca="false">SUMIFS('Source 2026'!$I:$I,'Source 2026'!$B:$B,$A238,'Source 2026'!$A:$A,"Amount (NIS)")</f>
        <v>0</v>
      </c>
      <c r="J238" s="11" t="n">
        <f aca="false">I238*$J$5</f>
        <v>0</v>
      </c>
      <c r="K238" s="11" t="n">
        <f aca="false">J238-H238</f>
        <v>70.7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251</v>
      </c>
      <c r="B239" s="8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2" t="n">
        <f aca="false">D239*$J$5</f>
        <v>-1.26315789473684</v>
      </c>
      <c r="F239" s="22" t="n">
        <f aca="false">E239-C239</f>
        <v>-1.26315789473684</v>
      </c>
      <c r="G239" s="10" t="str">
        <f aca="false">IF(AND(C239=0,E239=0),0,IF(C239=0,"New",(E239-C239)/C239))</f>
        <v>New</v>
      </c>
      <c r="H239" s="11" t="n">
        <f aca="false">SUMIFS('Source 2025'!$I:$I,'Source 2025'!$B:$B,$A239,'Source 2025'!$A:$A,"Amount (NIS)")</f>
        <v>0</v>
      </c>
      <c r="I239" s="11" t="n">
        <f aca="false">SUMIFS('Source 2026'!$I:$I,'Source 2026'!$B:$B,$A239,'Source 2026'!$A:$A,"Amount (NIS)")</f>
        <v>-58.3</v>
      </c>
      <c r="J239" s="11" t="n">
        <f aca="false">I239*$J$5</f>
        <v>-73.6421052631579</v>
      </c>
      <c r="K239" s="11" t="n">
        <f aca="false">J239-H239</f>
        <v>-73.6421052631579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343</v>
      </c>
      <c r="B240" s="8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2" t="n">
        <f aca="false">D240*$J$5</f>
        <v>3.78947368421053</v>
      </c>
      <c r="F240" s="22" t="n">
        <f aca="false">E240-C240</f>
        <v>3.78947368421053</v>
      </c>
      <c r="G240" s="10" t="str">
        <f aca="false">IF(AND(C240=0,E240=0),0,IF(C240=0,"New",(E240-C240)/C240))</f>
        <v>New</v>
      </c>
      <c r="H240" s="11" t="n">
        <f aca="false">SUMIFS('Source 2025'!$I:$I,'Source 2025'!$B:$B,$A240,'Source 2025'!$A:$A,"Amount (NIS)")</f>
        <v>0</v>
      </c>
      <c r="I240" s="11" t="n">
        <f aca="false">SUMIFS('Source 2026'!$I:$I,'Source 2026'!$B:$B,$A240,'Source 2026'!$A:$A,"Amount (NIS)")</f>
        <v>51.9</v>
      </c>
      <c r="J240" s="11" t="n">
        <f aca="false">I240*$J$5</f>
        <v>65.5578947368421</v>
      </c>
      <c r="K240" s="11" t="n">
        <f aca="false">J240-H240</f>
        <v>65.5578947368421</v>
      </c>
      <c r="L240" s="10" t="str">
        <f aca="false">IF(AND(H240=0,J240=0),0,IF(H240=0,"New",(J240-H240)/H240))</f>
        <v>New</v>
      </c>
    </row>
    <row r="241" customFormat="false" ht="15" hidden="false" customHeight="true" outlineLevel="0" collapsed="false">
      <c r="A241" s="8" t="s">
        <v>295</v>
      </c>
      <c r="B241" s="8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2" t="n">
        <f aca="false">D241*$J$5</f>
        <v>131.368421052632</v>
      </c>
      <c r="F241" s="22" t="n">
        <f aca="false">E241-C241</f>
        <v>24.3684210526316</v>
      </c>
      <c r="G241" s="10" t="n">
        <f aca="false">IF(AND(C241=0,E241=0),0,IF(C241=0,"New",(E241-C241)/C241))</f>
        <v>0.227742252828332</v>
      </c>
      <c r="H241" s="11" t="n">
        <f aca="false">SUMIFS('Source 2025'!$I:$I,'Source 2025'!$B:$B,$A241,'Source 2025'!$A:$A,"Amount (NIS)")</f>
        <v>2792.2</v>
      </c>
      <c r="I241" s="11" t="n">
        <f aca="false">SUMIFS('Source 2026'!$I:$I,'Source 2026'!$B:$B,$A241,'Source 2026'!$A:$A,"Amount (NIS)")</f>
        <v>2746</v>
      </c>
      <c r="J241" s="11" t="n">
        <f aca="false">I241*$J$5</f>
        <v>3468.63157894737</v>
      </c>
      <c r="K241" s="11" t="n">
        <f aca="false">J241-H241</f>
        <v>676.431578947369</v>
      </c>
      <c r="L241" s="10" t="n">
        <f aca="false">IF(AND(H241=0,J241=0),0,IF(H241=0,"New",(J241-H241)/H241))</f>
        <v>0.242257567132501</v>
      </c>
    </row>
    <row r="242" customFormat="false" ht="15" hidden="false" customHeight="true" outlineLevel="0" collapsed="false">
      <c r="A242" s="8" t="s">
        <v>218</v>
      </c>
      <c r="B242" s="8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2" t="n">
        <f aca="false">D242*$J$5</f>
        <v>11.3684210526316</v>
      </c>
      <c r="F242" s="22" t="n">
        <f aca="false">E242-C242</f>
        <v>0.368421052631579</v>
      </c>
      <c r="G242" s="10" t="n">
        <f aca="false">IF(AND(C242=0,E242=0),0,IF(C242=0,"New",(E242-C242)/C242))</f>
        <v>0.0334928229665072</v>
      </c>
      <c r="H242" s="11" t="n">
        <f aca="false">SUMIFS('Source 2025'!$I:$I,'Source 2025'!$B:$B,$A242,'Source 2025'!$A:$A,"Amount (NIS)")</f>
        <v>381.1</v>
      </c>
      <c r="I242" s="11" t="n">
        <f aca="false">SUMIFS('Source 2026'!$I:$I,'Source 2026'!$B:$B,$A242,'Source 2026'!$A:$A,"Amount (NIS)")</f>
        <v>337.1</v>
      </c>
      <c r="J242" s="11" t="n">
        <f aca="false">I242*$J$5</f>
        <v>425.81052631579</v>
      </c>
      <c r="K242" s="11" t="n">
        <f aca="false">J242-H242</f>
        <v>44.7105263157895</v>
      </c>
      <c r="L242" s="10" t="n">
        <f aca="false">IF(AND(H242=0,J242=0),0,IF(H242=0,"New",(J242-H242)/H242))</f>
        <v>0.117319670206742</v>
      </c>
    </row>
    <row r="243" customFormat="false" ht="15" hidden="false" customHeight="true" outlineLevel="0" collapsed="false">
      <c r="A243" s="8" t="s">
        <v>109</v>
      </c>
      <c r="B243" s="8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2" t="n">
        <f aca="false">D243*$J$5</f>
        <v>27.7894736842105</v>
      </c>
      <c r="F243" s="22" t="n">
        <f aca="false">E243-C243</f>
        <v>7.78947368421052</v>
      </c>
      <c r="G243" s="10" t="n">
        <f aca="false">IF(AND(C243=0,E243=0),0,IF(C243=0,"New",(E243-C243)/C243))</f>
        <v>0.389473684210526</v>
      </c>
      <c r="H243" s="11" t="n">
        <f aca="false">SUMIFS('Source 2025'!$I:$I,'Source 2025'!$B:$B,$A243,'Source 2025'!$A:$A,"Amount (NIS)")</f>
        <v>3449.3</v>
      </c>
      <c r="I243" s="11" t="n">
        <f aca="false">SUMIFS('Source 2026'!$I:$I,'Source 2026'!$B:$B,$A243,'Source 2026'!$A:$A,"Amount (NIS)")</f>
        <v>3490.2</v>
      </c>
      <c r="J243" s="11" t="n">
        <f aca="false">I243*$J$5</f>
        <v>4408.67368421053</v>
      </c>
      <c r="K243" s="11" t="n">
        <f aca="false">J243-H243</f>
        <v>959.373684210525</v>
      </c>
      <c r="L243" s="10" t="n">
        <f aca="false">IF(AND(H243=0,J243=0),0,IF(H243=0,"New",(J243-H243)/H243))</f>
        <v>0.278135762099709</v>
      </c>
    </row>
    <row r="244" customFormat="false" ht="15" hidden="false" customHeight="true" outlineLevel="0" collapsed="false">
      <c r="A244" s="8" t="s">
        <v>334</v>
      </c>
      <c r="B244" s="8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2" t="n">
        <f aca="false">D244*$J$5</f>
        <v>0</v>
      </c>
      <c r="F244" s="22" t="n">
        <f aca="false">E244-C244</f>
        <v>1</v>
      </c>
      <c r="G244" s="10" t="n">
        <f aca="false">IF(AND(C244=0,E244=0),0,IF(C244=0,"New",(E244-C244)/C244))</f>
        <v>-1</v>
      </c>
      <c r="H244" s="11" t="n">
        <f aca="false">SUMIFS('Source 2025'!$I:$I,'Source 2025'!$B:$B,$A244,'Source 2025'!$A:$A,"Amount (NIS)")</f>
        <v>-32.3</v>
      </c>
      <c r="I244" s="11" t="n">
        <f aca="false">SUMIFS('Source 2026'!$I:$I,'Source 2026'!$B:$B,$A244,'Source 2026'!$A:$A,"Amount (NIS)")</f>
        <v>0</v>
      </c>
      <c r="J244" s="11" t="n">
        <f aca="false">I244*$J$5</f>
        <v>0</v>
      </c>
      <c r="K244" s="11" t="n">
        <f aca="false">J244-H244</f>
        <v>32.3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296</v>
      </c>
      <c r="B245" s="8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2" t="n">
        <f aca="false">D245*$J$5</f>
        <v>0</v>
      </c>
      <c r="F245" s="22" t="n">
        <f aca="false">E245-C245</f>
        <v>-1</v>
      </c>
      <c r="G245" s="10" t="n">
        <f aca="false">IF(AND(C245=0,E245=0),0,IF(C245=0,"New",(E245-C245)/C245))</f>
        <v>-1</v>
      </c>
      <c r="H245" s="11" t="n">
        <f aca="false">SUMIFS('Source 2025'!$I:$I,'Source 2025'!$B:$B,$A245,'Source 2025'!$A:$A,"Amount (NIS)")</f>
        <v>29</v>
      </c>
      <c r="I245" s="11" t="n">
        <f aca="false">SUMIFS('Source 2026'!$I:$I,'Source 2026'!$B:$B,$A245,'Source 2026'!$A:$A,"Amount (NIS)")</f>
        <v>0</v>
      </c>
      <c r="J245" s="11" t="n">
        <f aca="false">I245*$J$5</f>
        <v>0</v>
      </c>
      <c r="K245" s="11" t="n">
        <f aca="false">J245-H245</f>
        <v>-29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105</v>
      </c>
      <c r="B246" s="8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2" t="n">
        <f aca="false">D246*$J$5</f>
        <v>30.3157894736842</v>
      </c>
      <c r="F246" s="22" t="n">
        <f aca="false">E246-C246</f>
        <v>5.31578947368421</v>
      </c>
      <c r="G246" s="10" t="n">
        <f aca="false">IF(AND(C246=0,E246=0),0,IF(C246=0,"New",(E246-C246)/C246))</f>
        <v>0.212631578947368</v>
      </c>
      <c r="H246" s="11" t="n">
        <f aca="false">SUMIFS('Source 2025'!$I:$I,'Source 2025'!$B:$B,$A246,'Source 2025'!$A:$A,"Amount (NIS)")</f>
        <v>868.5</v>
      </c>
      <c r="I246" s="11" t="n">
        <f aca="false">SUMIFS('Source 2026'!$I:$I,'Source 2026'!$B:$B,$A246,'Source 2026'!$A:$A,"Amount (NIS)")</f>
        <v>847.6</v>
      </c>
      <c r="J246" s="11" t="n">
        <f aca="false">I246*$J$5</f>
        <v>1070.65263157895</v>
      </c>
      <c r="K246" s="11" t="n">
        <f aca="false">J246-H246</f>
        <v>202.152631578947</v>
      </c>
      <c r="L246" s="10" t="n">
        <f aca="false">IF(AND(H246=0,J246=0),0,IF(H246=0,"New",(J246-H246)/H246))</f>
        <v>0.232760658121989</v>
      </c>
    </row>
    <row r="247" customFormat="false" ht="15" hidden="false" customHeight="true" outlineLevel="0" collapsed="false">
      <c r="A247" s="8" t="s">
        <v>358</v>
      </c>
      <c r="B247" s="8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2" t="n">
        <f aca="false">D247*$J$5</f>
        <v>0</v>
      </c>
      <c r="F247" s="22" t="n">
        <f aca="false">E247-C247</f>
        <v>1</v>
      </c>
      <c r="G247" s="10" t="n">
        <f aca="false">IF(AND(C247=0,E247=0),0,IF(C247=0,"New",(E247-C247)/C247))</f>
        <v>-1</v>
      </c>
      <c r="H247" s="11" t="n">
        <f aca="false">SUMIFS('Source 2025'!$I:$I,'Source 2025'!$B:$B,$A247,'Source 2025'!$A:$A,"Amount (NIS)")</f>
        <v>-20.8</v>
      </c>
      <c r="I247" s="11" t="n">
        <f aca="false">SUMIFS('Source 2026'!$I:$I,'Source 2026'!$B:$B,$A247,'Source 2026'!$A:$A,"Amount (NIS)")</f>
        <v>0</v>
      </c>
      <c r="J247" s="11" t="n">
        <f aca="false">I247*$J$5</f>
        <v>0</v>
      </c>
      <c r="K247" s="11" t="n">
        <f aca="false">J247-H247</f>
        <v>20.8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214</v>
      </c>
      <c r="B248" s="8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2" t="n">
        <f aca="false">D248*$J$5</f>
        <v>51.7894736842105</v>
      </c>
      <c r="F248" s="22" t="n">
        <f aca="false">E248-C248</f>
        <v>8.78947368421052</v>
      </c>
      <c r="G248" s="10" t="n">
        <f aca="false">IF(AND(C248=0,E248=0),0,IF(C248=0,"New",(E248-C248)/C248))</f>
        <v>0.204406364749082</v>
      </c>
      <c r="H248" s="11" t="n">
        <f aca="false">SUMIFS('Source 2025'!$I:$I,'Source 2025'!$B:$B,$A248,'Source 2025'!$A:$A,"Amount (NIS)")</f>
        <v>900.2</v>
      </c>
      <c r="I248" s="11" t="n">
        <f aca="false">SUMIFS('Source 2026'!$I:$I,'Source 2026'!$B:$B,$A248,'Source 2026'!$A:$A,"Amount (NIS)")</f>
        <v>879.8</v>
      </c>
      <c r="J248" s="11" t="n">
        <f aca="false">I248*$J$5</f>
        <v>1111.32631578947</v>
      </c>
      <c r="K248" s="11" t="n">
        <f aca="false">J248-H248</f>
        <v>211.126315789473</v>
      </c>
      <c r="L248" s="10" t="n">
        <f aca="false">IF(AND(H248=0,J248=0),0,IF(H248=0,"New",(J248-H248)/H248))</f>
        <v>0.234532676948982</v>
      </c>
    </row>
    <row r="249" customFormat="false" ht="15" hidden="false" customHeight="true" outlineLevel="0" collapsed="false">
      <c r="A249" s="8" t="s">
        <v>149</v>
      </c>
      <c r="B249" s="8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2" t="n">
        <f aca="false">D249*$J$5</f>
        <v>3.78947368421053</v>
      </c>
      <c r="F249" s="22" t="n">
        <f aca="false">E249-C249</f>
        <v>0.789473684210526</v>
      </c>
      <c r="G249" s="10" t="n">
        <f aca="false">IF(AND(C249=0,E249=0),0,IF(C249=0,"New",(E249-C249)/C249))</f>
        <v>0.263157894736842</v>
      </c>
      <c r="H249" s="11" t="n">
        <f aca="false">SUMIFS('Source 2025'!$I:$I,'Source 2025'!$B:$B,$A249,'Source 2025'!$A:$A,"Amount (NIS)")</f>
        <v>107.6</v>
      </c>
      <c r="I249" s="11" t="n">
        <f aca="false">SUMIFS('Source 2026'!$I:$I,'Source 2026'!$B:$B,$A249,'Source 2026'!$A:$A,"Amount (NIS)")</f>
        <v>126.4</v>
      </c>
      <c r="J249" s="11" t="n">
        <f aca="false">I249*$J$5</f>
        <v>159.663157894737</v>
      </c>
      <c r="K249" s="11" t="n">
        <f aca="false">J249-H249</f>
        <v>52.0631578947368</v>
      </c>
      <c r="L249" s="10" t="n">
        <f aca="false">IF(AND(H249=0,J249=0),0,IF(H249=0,"New",(J249-H249)/H249))</f>
        <v>0.483858344746625</v>
      </c>
    </row>
    <row r="250" customFormat="false" ht="15" hidden="false" customHeight="true" outlineLevel="0" collapsed="false">
      <c r="A250" s="8" t="s">
        <v>341</v>
      </c>
      <c r="B250" s="8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2" t="n">
        <f aca="false">D250*$J$5</f>
        <v>-3.78947368421053</v>
      </c>
      <c r="F250" s="22" t="n">
        <f aca="false">E250-C250</f>
        <v>-0.789473684210526</v>
      </c>
      <c r="G250" s="10" t="n">
        <f aca="false">IF(AND(C250=0,E250=0),0,IF(C250=0,"New",(E250-C250)/C250))</f>
        <v>0.263157894736842</v>
      </c>
      <c r="H250" s="11" t="n">
        <f aca="false">SUMIFS('Source 2025'!$I:$I,'Source 2025'!$B:$B,$A250,'Source 2025'!$A:$A,"Amount (NIS)")</f>
        <v>-608.3</v>
      </c>
      <c r="I250" s="11" t="n">
        <f aca="false">SUMIFS('Source 2026'!$I:$I,'Source 2026'!$B:$B,$A250,'Source 2026'!$A:$A,"Amount (NIS)")</f>
        <v>-590.2</v>
      </c>
      <c r="J250" s="11" t="n">
        <f aca="false">I250*$J$5</f>
        <v>-745.515789473684</v>
      </c>
      <c r="K250" s="11" t="n">
        <f aca="false">J250-H250</f>
        <v>-137.215789473684</v>
      </c>
      <c r="L250" s="10" t="n">
        <f aca="false">IF(AND(H250=0,J250=0),0,IF(H250=0,"New",(J250-H250)/H250))</f>
        <v>0.225572562014934</v>
      </c>
    </row>
    <row r="251" customFormat="false" ht="15" hidden="false" customHeight="true" outlineLevel="0" collapsed="false">
      <c r="A251" s="8" t="s">
        <v>124</v>
      </c>
      <c r="B251" s="8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2" t="n">
        <f aca="false">D251*$J$5</f>
        <v>35.3684210526316</v>
      </c>
      <c r="F251" s="22" t="n">
        <f aca="false">E251-C251</f>
        <v>6.36842105263158</v>
      </c>
      <c r="G251" s="10" t="n">
        <f aca="false">IF(AND(C251=0,E251=0),0,IF(C251=0,"New",(E251-C251)/C251))</f>
        <v>0.219600725952813</v>
      </c>
      <c r="H251" s="11" t="n">
        <f aca="false">SUMIFS('Source 2025'!$I:$I,'Source 2025'!$B:$B,$A251,'Source 2025'!$A:$A,"Amount (NIS)")</f>
        <v>1009.8</v>
      </c>
      <c r="I251" s="11" t="n">
        <f aca="false">SUMIFS('Source 2026'!$I:$I,'Source 2026'!$B:$B,$A251,'Source 2026'!$A:$A,"Amount (NIS)")</f>
        <v>995.5</v>
      </c>
      <c r="J251" s="11" t="n">
        <f aca="false">I251*$J$5</f>
        <v>1257.47368421053</v>
      </c>
      <c r="K251" s="11" t="n">
        <f aca="false">J251-H251</f>
        <v>247.673684210526</v>
      </c>
      <c r="L251" s="10" t="n">
        <f aca="false">IF(AND(H251=0,J251=0),0,IF(H251=0,"New",(J251-H251)/H251))</f>
        <v>0.245270037839697</v>
      </c>
    </row>
    <row r="252" customFormat="false" ht="15" hidden="false" customHeight="true" outlineLevel="0" collapsed="false">
      <c r="A252" s="8" t="s">
        <v>123</v>
      </c>
      <c r="B252" s="8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2" t="n">
        <f aca="false">D252*$J$5</f>
        <v>0</v>
      </c>
      <c r="F252" s="22" t="n">
        <f aca="false">E252-C252</f>
        <v>0</v>
      </c>
      <c r="G252" s="10" t="n">
        <f aca="false">IF(AND(C252=0,E252=0),0,IF(C252=0,"New",(E252-C252)/C252))</f>
        <v>0</v>
      </c>
      <c r="H252" s="11" t="n">
        <f aca="false">SUMIFS('Source 2025'!$I:$I,'Source 2025'!$B:$B,$A252,'Source 2025'!$A:$A,"Amount (NIS)")</f>
        <v>0</v>
      </c>
      <c r="I252" s="11" t="n">
        <f aca="false">SUMIFS('Source 2026'!$I:$I,'Source 2026'!$B:$B,$A252,'Source 2026'!$A:$A,"Amount (NIS)")</f>
        <v>13.3</v>
      </c>
      <c r="J252" s="11" t="n">
        <f aca="false">I252*$J$5</f>
        <v>16.8</v>
      </c>
      <c r="K252" s="11" t="n">
        <f aca="false">J252-H252</f>
        <v>16.8</v>
      </c>
      <c r="L252" s="10" t="str">
        <f aca="false">IF(AND(H252=0,J252=0),0,IF(H252=0,"New",(J252-H252)/H252))</f>
        <v>New</v>
      </c>
    </row>
    <row r="253" customFormat="false" ht="15" hidden="false" customHeight="true" outlineLevel="0" collapsed="false">
      <c r="A253" s="8" t="s">
        <v>280</v>
      </c>
      <c r="B253" s="8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2" t="n">
        <f aca="false">D253*$J$5</f>
        <v>0</v>
      </c>
      <c r="F253" s="22" t="n">
        <f aca="false">E253-C253</f>
        <v>0</v>
      </c>
      <c r="G253" s="10" t="n">
        <f aca="false">IF(AND(C253=0,E253=0),0,IF(C253=0,"New",(E253-C253)/C253))</f>
        <v>0</v>
      </c>
      <c r="H253" s="11" t="n">
        <f aca="false">SUMIFS('Source 2025'!$I:$I,'Source 2025'!$B:$B,$A253,'Source 2025'!$A:$A,"Amount (NIS)")</f>
        <v>-9.50000000000001</v>
      </c>
      <c r="I253" s="11" t="n">
        <f aca="false">SUMIFS('Source 2026'!$I:$I,'Source 2026'!$B:$B,$A253,'Source 2026'!$A:$A,"Amount (NIS)")</f>
        <v>0</v>
      </c>
      <c r="J253" s="11" t="n">
        <f aca="false">I253*$J$5</f>
        <v>0</v>
      </c>
      <c r="K253" s="11" t="n">
        <f aca="false">J253-H253</f>
        <v>9.50000000000001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129</v>
      </c>
      <c r="B254" s="8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2" t="n">
        <f aca="false">D254*$J$5</f>
        <v>2.52631578947368</v>
      </c>
      <c r="F254" s="22" t="n">
        <f aca="false">E254-C254</f>
        <v>0.526315789473684</v>
      </c>
      <c r="G254" s="10" t="n">
        <f aca="false">IF(AND(C254=0,E254=0),0,IF(C254=0,"New",(E254-C254)/C254))</f>
        <v>0.263157894736842</v>
      </c>
      <c r="H254" s="11" t="n">
        <f aca="false">SUMIFS('Source 2025'!$I:$I,'Source 2025'!$B:$B,$A254,'Source 2025'!$A:$A,"Amount (NIS)")</f>
        <v>144.4</v>
      </c>
      <c r="I254" s="11" t="n">
        <f aca="false">SUMIFS('Source 2026'!$I:$I,'Source 2026'!$B:$B,$A254,'Source 2026'!$A:$A,"Amount (NIS)")</f>
        <v>150.5</v>
      </c>
      <c r="J254" s="11" t="n">
        <f aca="false">I254*$J$5</f>
        <v>190.105263157895</v>
      </c>
      <c r="K254" s="11" t="n">
        <f aca="false">J254-H254</f>
        <v>45.7052631578947</v>
      </c>
      <c r="L254" s="10" t="n">
        <f aca="false">IF(AND(H254=0,J254=0),0,IF(H254=0,"New",(J254-H254)/H254))</f>
        <v>0.316518442921709</v>
      </c>
    </row>
    <row r="255" customFormat="false" ht="15" hidden="false" customHeight="true" outlineLevel="0" collapsed="false">
      <c r="A255" s="8" t="s">
        <v>376</v>
      </c>
      <c r="B255" s="8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2" t="n">
        <f aca="false">D255*$J$5</f>
        <v>-1.26315789473684</v>
      </c>
      <c r="F255" s="22" t="n">
        <f aca="false">E255-C255</f>
        <v>-0.263157894736842</v>
      </c>
      <c r="G255" s="10" t="n">
        <f aca="false">IF(AND(C255=0,E255=0),0,IF(C255=0,"New",(E255-C255)/C255))</f>
        <v>0.263157894736842</v>
      </c>
      <c r="H255" s="11" t="n">
        <f aca="false">SUMIFS('Source 2025'!$I:$I,'Source 2025'!$B:$B,$A255,'Source 2025'!$A:$A,"Amount (NIS)")</f>
        <v>-28.4</v>
      </c>
      <c r="I255" s="11" t="n">
        <f aca="false">SUMIFS('Source 2026'!$I:$I,'Source 2026'!$B:$B,$A255,'Source 2026'!$A:$A,"Amount (NIS)")</f>
        <v>-31.9</v>
      </c>
      <c r="J255" s="11" t="n">
        <f aca="false">I255*$J$5</f>
        <v>-40.2947368421053</v>
      </c>
      <c r="K255" s="11" t="n">
        <f aca="false">J255-H255</f>
        <v>-11.8947368421053</v>
      </c>
      <c r="L255" s="10" t="n">
        <f aca="false">IF(AND(H255=0,J255=0),0,IF(H255=0,"New",(J255-H255)/H255))</f>
        <v>0.41882876204596</v>
      </c>
    </row>
    <row r="256" customFormat="false" ht="15" hidden="false" customHeight="true" outlineLevel="0" collapsed="false">
      <c r="A256" s="8" t="s">
        <v>153</v>
      </c>
      <c r="B256" s="8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2" t="n">
        <f aca="false">D256*$J$5</f>
        <v>2.52631578947368</v>
      </c>
      <c r="F256" s="22" t="n">
        <f aca="false">E256-C256</f>
        <v>0.526315789473684</v>
      </c>
      <c r="G256" s="10" t="n">
        <f aca="false">IF(AND(C256=0,E256=0),0,IF(C256=0,"New",(E256-C256)/C256))</f>
        <v>0.263157894736842</v>
      </c>
      <c r="H256" s="11" t="n">
        <f aca="false">SUMIFS('Source 2025'!$I:$I,'Source 2025'!$B:$B,$A256,'Source 2025'!$A:$A,"Amount (NIS)")</f>
        <v>131.3</v>
      </c>
      <c r="I256" s="11" t="n">
        <f aca="false">SUMIFS('Source 2026'!$I:$I,'Source 2026'!$B:$B,$A256,'Source 2026'!$A:$A,"Amount (NIS)")</f>
        <v>131.3</v>
      </c>
      <c r="J256" s="11" t="n">
        <f aca="false">I256*$J$5</f>
        <v>165.852631578947</v>
      </c>
      <c r="K256" s="11" t="n">
        <f aca="false">J256-H256</f>
        <v>34.5526315789474</v>
      </c>
      <c r="L256" s="10" t="n">
        <f aca="false">IF(AND(H256=0,J256=0),0,IF(H256=0,"New",(J256-H256)/H256))</f>
        <v>0.263157894736842</v>
      </c>
    </row>
    <row r="257" customFormat="false" ht="15" hidden="false" customHeight="true" outlineLevel="0" collapsed="false">
      <c r="A257" s="8" t="s">
        <v>379</v>
      </c>
      <c r="B257" s="8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2" t="n">
        <f aca="false">D257*$J$5</f>
        <v>-1.26315789473684</v>
      </c>
      <c r="F257" s="22" t="n">
        <f aca="false">E257-C257</f>
        <v>-1.26315789473684</v>
      </c>
      <c r="G257" s="10" t="str">
        <f aca="false">IF(AND(C257=0,E257=0),0,IF(C257=0,"New",(E257-C257)/C257))</f>
        <v>New</v>
      </c>
      <c r="H257" s="11" t="n">
        <f aca="false">SUMIFS('Source 2025'!$I:$I,'Source 2025'!$B:$B,$A257,'Source 2025'!$A:$A,"Amount (NIS)")</f>
        <v>0</v>
      </c>
      <c r="I257" s="11" t="n">
        <f aca="false">SUMIFS('Source 2026'!$I:$I,'Source 2026'!$B:$B,$A257,'Source 2026'!$A:$A,"Amount (NIS)")</f>
        <v>0</v>
      </c>
      <c r="J257" s="11" t="n">
        <f aca="false">I257*$J$5</f>
        <v>0</v>
      </c>
      <c r="K257" s="11" t="n">
        <f aca="false">J257-H257</f>
        <v>0</v>
      </c>
      <c r="L257" s="10" t="n">
        <f aca="false">IF(AND(H257=0,J257=0),0,IF(H257=0,"New",(J257-H257)/H257))</f>
        <v>0</v>
      </c>
    </row>
    <row r="258" customFormat="false" ht="15" hidden="false" customHeight="true" outlineLevel="0" collapsed="false">
      <c r="A258" s="8" t="s">
        <v>210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2" t="n">
        <f aca="false">D258*$J$5</f>
        <v>-1.26315789473684</v>
      </c>
      <c r="F258" s="22" t="n">
        <f aca="false">E258-C258</f>
        <v>-0.263157894736842</v>
      </c>
      <c r="G258" s="10" t="n">
        <f aca="false">IF(AND(C258=0,E258=0),0,IF(C258=0,"New",(E258-C258)/C258))</f>
        <v>0.263157894736842</v>
      </c>
      <c r="H258" s="11" t="n">
        <f aca="false">SUMIFS('Source 2025'!$I:$I,'Source 2025'!$B:$B,$A258,'Source 2025'!$A:$A,"Amount (NIS)")</f>
        <v>-135</v>
      </c>
      <c r="I258" s="11" t="n">
        <f aca="false">SUMIFS('Source 2026'!$I:$I,'Source 2026'!$B:$B,$A258,'Source 2026'!$A:$A,"Amount (NIS)")</f>
        <v>-135</v>
      </c>
      <c r="J258" s="11" t="n">
        <f aca="false">I258*$J$5</f>
        <v>-170.526315789474</v>
      </c>
      <c r="K258" s="11" t="n">
        <f aca="false">J258-H258</f>
        <v>-35.5263157894737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380</v>
      </c>
      <c r="B259" s="8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2" t="n">
        <f aca="false">D259*$J$5</f>
        <v>-1.26315789473684</v>
      </c>
      <c r="F259" s="22" t="n">
        <f aca="false">E259-C259</f>
        <v>-0.263157894736842</v>
      </c>
      <c r="G259" s="10" t="n">
        <f aca="false">IF(AND(C259=0,E259=0),0,IF(C259=0,"New",(E259-C259)/C259))</f>
        <v>0.263157894736842</v>
      </c>
      <c r="H259" s="11" t="n">
        <f aca="false">SUMIFS('Source 2025'!$I:$I,'Source 2025'!$B:$B,$A259,'Source 2025'!$A:$A,"Amount (NIS)")</f>
        <v>0</v>
      </c>
      <c r="I259" s="11" t="n">
        <f aca="false">SUMIFS('Source 2026'!$I:$I,'Source 2026'!$B:$B,$A259,'Source 2026'!$A:$A,"Amount (NIS)")</f>
        <v>0</v>
      </c>
      <c r="J259" s="11" t="n">
        <f aca="false">I259*$J$5</f>
        <v>0</v>
      </c>
      <c r="K259" s="11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377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2" t="n">
        <f aca="false">D260*$J$5</f>
        <v>-1.26315789473684</v>
      </c>
      <c r="F260" s="22" t="n">
        <f aca="false">E260-C260</f>
        <v>-0.263157894736842</v>
      </c>
      <c r="G260" s="10" t="n">
        <f aca="false">IF(AND(C260=0,E260=0),0,IF(C260=0,"New",(E260-C260)/C260))</f>
        <v>0.263157894736842</v>
      </c>
      <c r="H260" s="11" t="n">
        <f aca="false">SUMIFS('Source 2025'!$I:$I,'Source 2025'!$B:$B,$A260,'Source 2025'!$A:$A,"Amount (NIS)")</f>
        <v>0</v>
      </c>
      <c r="I260" s="11" t="n">
        <f aca="false">SUMIFS('Source 2026'!$I:$I,'Source 2026'!$B:$B,$A260,'Source 2026'!$A:$A,"Amount (NIS)")</f>
        <v>0</v>
      </c>
      <c r="J260" s="11" t="n">
        <f aca="false">I260*$J$5</f>
        <v>0</v>
      </c>
      <c r="K260" s="11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378</v>
      </c>
      <c r="B261" s="8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2" t="n">
        <f aca="false">D261*$J$5</f>
        <v>-1.26315789473684</v>
      </c>
      <c r="F261" s="22" t="n">
        <f aca="false">E261-C261</f>
        <v>-0.263157894736842</v>
      </c>
      <c r="G261" s="10" t="n">
        <f aca="false">IF(AND(C261=0,E261=0),0,IF(C261=0,"New",(E261-C261)/C261))</f>
        <v>0.263157894736842</v>
      </c>
      <c r="H261" s="11" t="n">
        <f aca="false">SUMIFS('Source 2025'!$I:$I,'Source 2025'!$B:$B,$A261,'Source 2025'!$A:$A,"Amount (NIS)")</f>
        <v>-178.6</v>
      </c>
      <c r="I261" s="11" t="n">
        <f aca="false">SUMIFS('Source 2026'!$I:$I,'Source 2026'!$B:$B,$A261,'Source 2026'!$A:$A,"Amount (NIS)")</f>
        <v>-178.6</v>
      </c>
      <c r="J261" s="11" t="n">
        <f aca="false">I261*$J$5</f>
        <v>-225.6</v>
      </c>
      <c r="K261" s="11" t="n">
        <f aca="false">J261-H261</f>
        <v>-47</v>
      </c>
      <c r="L261" s="10" t="n">
        <f aca="false">IF(AND(H261=0,J261=0),0,IF(H261=0,"New",(J261-H261)/H261))</f>
        <v>0.263157894736842</v>
      </c>
    </row>
    <row r="263" customFormat="false" ht="15" hidden="false" customHeight="true" outlineLevel="0" collapsed="false">
      <c r="A263" s="23"/>
      <c r="B263" s="24" t="s">
        <v>350</v>
      </c>
      <c r="C263" s="25" t="n">
        <f aca="false">SUM(C7:C261)</f>
        <v>204428</v>
      </c>
      <c r="D263" s="25" t="n">
        <f aca="false">SUM(D7:D261)</f>
        <v>137851</v>
      </c>
      <c r="E263" s="25" t="n">
        <f aca="false">SUM(E7:E261)</f>
        <v>174127.578947368</v>
      </c>
      <c r="F263" s="25" t="n">
        <f aca="false">SUM(F7:F261)</f>
        <v>-30300.4210526316</v>
      </c>
      <c r="G263" s="26" t="n">
        <f aca="false">IF(C263=0,"N/A",F263/C263)</f>
        <v>-0.148220503319661</v>
      </c>
      <c r="H263" s="27" t="n">
        <f aca="false">SUM(H7:H261)</f>
        <v>7597886.3</v>
      </c>
      <c r="I263" s="27" t="n">
        <f aca="false">SUM(I7:I261)</f>
        <v>5165969.3</v>
      </c>
      <c r="J263" s="27" t="n">
        <f aca="false">SUM(J7:J261)</f>
        <v>6525434.90526316</v>
      </c>
      <c r="K263" s="27" t="n">
        <f aca="false">SUM(K7:K261)</f>
        <v>-1072451.39473684</v>
      </c>
      <c r="L263" s="26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394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395</v>
      </c>
      <c r="B2" s="31" t="s">
        <v>396</v>
      </c>
      <c r="C2" s="31" t="s">
        <v>397</v>
      </c>
      <c r="D2" s="31" t="s">
        <v>27</v>
      </c>
      <c r="E2" s="31" t="s">
        <v>30</v>
      </c>
      <c r="F2" s="31" t="s">
        <v>31</v>
      </c>
      <c r="G2" s="31" t="s">
        <v>33</v>
      </c>
      <c r="H2" s="31" t="s">
        <v>34</v>
      </c>
      <c r="I2" s="31" t="s">
        <v>21</v>
      </c>
      <c r="J2" s="31" t="s">
        <v>18</v>
      </c>
      <c r="K2" s="31" t="s">
        <v>40</v>
      </c>
      <c r="L2" s="31" t="s">
        <v>41</v>
      </c>
      <c r="M2" s="31" t="s">
        <v>37</v>
      </c>
      <c r="N2" s="31" t="s">
        <v>38</v>
      </c>
      <c r="O2" s="31" t="s">
        <v>42</v>
      </c>
      <c r="P2" s="31" t="s">
        <v>43</v>
      </c>
      <c r="Q2" s="31" t="s">
        <v>45</v>
      </c>
      <c r="R2" s="31" t="s">
        <v>44</v>
      </c>
      <c r="S2" s="31" t="s">
        <v>35</v>
      </c>
      <c r="T2" s="31" t="s">
        <v>47</v>
      </c>
      <c r="U2" s="31" t="s">
        <v>36</v>
      </c>
    </row>
    <row r="3" customFormat="false" ht="15" hidden="false" customHeight="true" outlineLevel="0" collapsed="false">
      <c r="A3" s="8" t="s">
        <v>398</v>
      </c>
      <c r="B3" s="8" t="s">
        <v>120</v>
      </c>
      <c r="C3" s="8" t="s">
        <v>399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398</v>
      </c>
      <c r="B4" s="8" t="s">
        <v>120</v>
      </c>
      <c r="C4" s="8" t="s">
        <v>400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398</v>
      </c>
      <c r="B5" s="8" t="s">
        <v>224</v>
      </c>
      <c r="C5" s="8" t="s">
        <v>401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398</v>
      </c>
      <c r="B6" s="8" t="s">
        <v>263</v>
      </c>
      <c r="C6" s="8" t="s">
        <v>402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398</v>
      </c>
      <c r="B7" s="8" t="s">
        <v>333</v>
      </c>
      <c r="C7" s="8" t="s">
        <v>403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398</v>
      </c>
      <c r="B8" s="8" t="s">
        <v>344</v>
      </c>
      <c r="C8" s="8" t="s">
        <v>404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398</v>
      </c>
      <c r="B9" s="8" t="s">
        <v>330</v>
      </c>
      <c r="C9" s="8" t="s">
        <v>405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398</v>
      </c>
      <c r="B10" s="8" t="s">
        <v>245</v>
      </c>
      <c r="C10" s="8" t="s">
        <v>406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398</v>
      </c>
      <c r="B11" s="8" t="s">
        <v>156</v>
      </c>
      <c r="C11" s="8" t="s">
        <v>407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398</v>
      </c>
      <c r="B12" s="8" t="s">
        <v>144</v>
      </c>
      <c r="C12" s="8" t="s">
        <v>408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398</v>
      </c>
      <c r="B13" s="8" t="s">
        <v>144</v>
      </c>
      <c r="C13" s="8" t="s">
        <v>409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398</v>
      </c>
      <c r="B14" s="8" t="s">
        <v>144</v>
      </c>
      <c r="C14" s="8" t="s">
        <v>410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398</v>
      </c>
      <c r="B15" s="8" t="s">
        <v>324</v>
      </c>
      <c r="C15" s="8" t="s">
        <v>411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398</v>
      </c>
      <c r="B16" s="8" t="s">
        <v>324</v>
      </c>
      <c r="C16" s="8" t="s">
        <v>412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398</v>
      </c>
      <c r="B17" s="8" t="s">
        <v>252</v>
      </c>
      <c r="C17" s="8" t="s">
        <v>413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398</v>
      </c>
      <c r="B18" s="8" t="s">
        <v>293</v>
      </c>
      <c r="C18" s="8" t="s">
        <v>414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398</v>
      </c>
      <c r="B19" s="8" t="s">
        <v>293</v>
      </c>
      <c r="C19" s="8" t="s">
        <v>415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398</v>
      </c>
      <c r="B20" s="8" t="s">
        <v>293</v>
      </c>
      <c r="C20" s="8" t="s">
        <v>416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398</v>
      </c>
      <c r="B21" s="8" t="s">
        <v>376</v>
      </c>
      <c r="C21" s="8" t="s">
        <v>417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398</v>
      </c>
      <c r="B22" s="8" t="s">
        <v>117</v>
      </c>
      <c r="C22" s="8" t="s">
        <v>408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398</v>
      </c>
      <c r="B23" s="8" t="s">
        <v>117</v>
      </c>
      <c r="C23" s="8" t="s">
        <v>418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398</v>
      </c>
      <c r="B24" s="8" t="s">
        <v>117</v>
      </c>
      <c r="C24" s="8" t="s">
        <v>419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398</v>
      </c>
      <c r="B25" s="8" t="s">
        <v>159</v>
      </c>
      <c r="C25" s="8" t="s">
        <v>420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398</v>
      </c>
      <c r="B26" s="8" t="s">
        <v>159</v>
      </c>
      <c r="C26" s="8" t="s">
        <v>421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398</v>
      </c>
      <c r="B27" s="8" t="s">
        <v>159</v>
      </c>
      <c r="C27" s="8" t="s">
        <v>422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398</v>
      </c>
      <c r="B28" s="8" t="s">
        <v>180</v>
      </c>
      <c r="C28" s="8" t="s">
        <v>423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398</v>
      </c>
      <c r="B29" s="8" t="s">
        <v>180</v>
      </c>
      <c r="C29" s="8" t="s">
        <v>424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398</v>
      </c>
      <c r="B30" s="8" t="s">
        <v>180</v>
      </c>
      <c r="C30" s="8" t="s">
        <v>425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398</v>
      </c>
      <c r="B31" s="8" t="s">
        <v>296</v>
      </c>
      <c r="C31" s="8" t="s">
        <v>426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398</v>
      </c>
      <c r="B32" s="8" t="s">
        <v>356</v>
      </c>
      <c r="C32" s="8" t="s">
        <v>427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398</v>
      </c>
      <c r="B33" s="8" t="s">
        <v>356</v>
      </c>
      <c r="C33" s="8" t="s">
        <v>428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398</v>
      </c>
      <c r="B34" s="8" t="s">
        <v>356</v>
      </c>
      <c r="C34" s="8" t="s">
        <v>429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398</v>
      </c>
      <c r="B35" s="8" t="s">
        <v>356</v>
      </c>
      <c r="C35" s="8" t="s">
        <v>430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398</v>
      </c>
      <c r="B36" s="8" t="s">
        <v>173</v>
      </c>
      <c r="C36" s="8" t="s">
        <v>431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398</v>
      </c>
      <c r="B37" s="8" t="s">
        <v>173</v>
      </c>
      <c r="C37" s="8" t="s">
        <v>432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398</v>
      </c>
      <c r="B38" s="8" t="s">
        <v>173</v>
      </c>
      <c r="C38" s="8" t="s">
        <v>433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398</v>
      </c>
      <c r="B39" s="8" t="s">
        <v>173</v>
      </c>
      <c r="C39" s="8" t="s">
        <v>434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398</v>
      </c>
      <c r="B40" s="8" t="s">
        <v>173</v>
      </c>
      <c r="C40" s="8" t="s">
        <v>435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398</v>
      </c>
      <c r="B41" s="8" t="s">
        <v>142</v>
      </c>
      <c r="C41" s="8" t="s">
        <v>436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398</v>
      </c>
      <c r="B42" s="8" t="s">
        <v>142</v>
      </c>
      <c r="C42" s="8" t="s">
        <v>437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398</v>
      </c>
      <c r="B43" s="8" t="s">
        <v>142</v>
      </c>
      <c r="C43" s="8" t="s">
        <v>438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398</v>
      </c>
      <c r="B44" s="8" t="s">
        <v>142</v>
      </c>
      <c r="C44" s="8" t="s">
        <v>439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398</v>
      </c>
      <c r="B45" s="8" t="s">
        <v>142</v>
      </c>
      <c r="C45" s="8" t="s">
        <v>440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398</v>
      </c>
      <c r="B46" s="8" t="s">
        <v>278</v>
      </c>
      <c r="C46" s="8" t="s">
        <v>441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398</v>
      </c>
      <c r="B47" s="8" t="s">
        <v>231</v>
      </c>
      <c r="C47" s="8" t="s">
        <v>442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398</v>
      </c>
      <c r="B48" s="8" t="s">
        <v>231</v>
      </c>
      <c r="C48" s="8" t="s">
        <v>443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398</v>
      </c>
      <c r="B49" s="8" t="s">
        <v>231</v>
      </c>
      <c r="C49" s="8" t="s">
        <v>444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398</v>
      </c>
      <c r="B50" s="8" t="s">
        <v>231</v>
      </c>
      <c r="C50" s="8" t="s">
        <v>445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398</v>
      </c>
      <c r="B51" s="8" t="s">
        <v>231</v>
      </c>
      <c r="C51" s="8" t="s">
        <v>446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398</v>
      </c>
      <c r="B52" s="8" t="s">
        <v>97</v>
      </c>
      <c r="C52" s="8" t="s">
        <v>447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398</v>
      </c>
      <c r="B53" s="8" t="s">
        <v>97</v>
      </c>
      <c r="C53" s="8" t="s">
        <v>448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398</v>
      </c>
      <c r="B54" s="8" t="s">
        <v>97</v>
      </c>
      <c r="C54" s="8" t="s">
        <v>449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398</v>
      </c>
      <c r="B55" s="8" t="s">
        <v>97</v>
      </c>
      <c r="C55" s="8" t="s">
        <v>450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398</v>
      </c>
      <c r="B56" s="8" t="s">
        <v>97</v>
      </c>
      <c r="C56" s="8" t="s">
        <v>451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398</v>
      </c>
      <c r="B57" s="8" t="s">
        <v>378</v>
      </c>
      <c r="C57" s="8" t="s">
        <v>452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398</v>
      </c>
      <c r="B58" s="8" t="s">
        <v>222</v>
      </c>
      <c r="C58" s="8" t="s">
        <v>453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398</v>
      </c>
      <c r="B59" s="8" t="s">
        <v>222</v>
      </c>
      <c r="C59" s="8" t="s">
        <v>454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398</v>
      </c>
      <c r="B60" s="8" t="s">
        <v>93</v>
      </c>
      <c r="C60" s="8" t="s">
        <v>455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398</v>
      </c>
      <c r="B61" s="8" t="s">
        <v>93</v>
      </c>
      <c r="C61" s="8" t="s">
        <v>456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398</v>
      </c>
      <c r="B62" s="8" t="s">
        <v>93</v>
      </c>
      <c r="C62" s="8" t="s">
        <v>457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398</v>
      </c>
      <c r="B63" s="8" t="s">
        <v>93</v>
      </c>
      <c r="C63" s="8" t="s">
        <v>458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398</v>
      </c>
      <c r="B64" s="8" t="s">
        <v>93</v>
      </c>
      <c r="C64" s="8" t="s">
        <v>459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398</v>
      </c>
      <c r="B65" s="8" t="s">
        <v>67</v>
      </c>
      <c r="C65" s="8" t="s">
        <v>460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398</v>
      </c>
      <c r="B66" s="8" t="s">
        <v>67</v>
      </c>
      <c r="C66" s="8" t="s">
        <v>461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398</v>
      </c>
      <c r="B67" s="8" t="s">
        <v>67</v>
      </c>
      <c r="C67" s="8" t="s">
        <v>462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398</v>
      </c>
      <c r="B68" s="8" t="s">
        <v>67</v>
      </c>
      <c r="C68" s="8" t="s">
        <v>463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398</v>
      </c>
      <c r="B69" s="8" t="s">
        <v>269</v>
      </c>
      <c r="C69" s="8" t="s">
        <v>464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398</v>
      </c>
      <c r="B70" s="8" t="s">
        <v>269</v>
      </c>
      <c r="C70" s="8" t="s">
        <v>465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398</v>
      </c>
      <c r="B71" s="8" t="s">
        <v>269</v>
      </c>
      <c r="C71" s="8" t="s">
        <v>466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398</v>
      </c>
      <c r="B72" s="8" t="s">
        <v>269</v>
      </c>
      <c r="C72" s="8" t="s">
        <v>467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398</v>
      </c>
      <c r="B73" s="8" t="s">
        <v>294</v>
      </c>
      <c r="C73" s="8" t="s">
        <v>468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398</v>
      </c>
      <c r="B74" s="8" t="s">
        <v>253</v>
      </c>
      <c r="C74" s="8" t="s">
        <v>469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398</v>
      </c>
      <c r="B75" s="8" t="s">
        <v>253</v>
      </c>
      <c r="C75" s="8" t="s">
        <v>470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398</v>
      </c>
      <c r="B76" s="8" t="s">
        <v>253</v>
      </c>
      <c r="C76" s="8" t="s">
        <v>471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398</v>
      </c>
      <c r="B77" s="8" t="s">
        <v>253</v>
      </c>
      <c r="C77" s="8" t="s">
        <v>472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398</v>
      </c>
      <c r="B78" s="8" t="s">
        <v>291</v>
      </c>
      <c r="C78" s="8" t="s">
        <v>473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398</v>
      </c>
      <c r="B79" s="8" t="s">
        <v>291</v>
      </c>
      <c r="C79" s="8" t="s">
        <v>474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398</v>
      </c>
      <c r="B80" s="8" t="s">
        <v>181</v>
      </c>
      <c r="C80" s="8" t="s">
        <v>475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398</v>
      </c>
      <c r="B81" s="8" t="s">
        <v>181</v>
      </c>
      <c r="C81" s="8" t="s">
        <v>476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398</v>
      </c>
      <c r="B82" s="8" t="s">
        <v>181</v>
      </c>
      <c r="C82" s="8" t="s">
        <v>477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398</v>
      </c>
      <c r="B83" s="8" t="s">
        <v>181</v>
      </c>
      <c r="C83" s="8" t="s">
        <v>478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398</v>
      </c>
      <c r="B84" s="8" t="s">
        <v>306</v>
      </c>
      <c r="C84" s="8" t="s">
        <v>479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398</v>
      </c>
      <c r="B85" s="8" t="s">
        <v>308</v>
      </c>
      <c r="C85" s="8" t="s">
        <v>480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398</v>
      </c>
      <c r="B86" s="8" t="s">
        <v>197</v>
      </c>
      <c r="C86" s="8" t="s">
        <v>481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398</v>
      </c>
      <c r="B87" s="8" t="s">
        <v>223</v>
      </c>
      <c r="C87" s="8" t="s">
        <v>482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398</v>
      </c>
      <c r="B88" s="8" t="s">
        <v>223</v>
      </c>
      <c r="C88" s="8" t="s">
        <v>483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398</v>
      </c>
      <c r="B89" s="8" t="s">
        <v>223</v>
      </c>
      <c r="C89" s="8" t="s">
        <v>484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398</v>
      </c>
      <c r="B90" s="8" t="s">
        <v>223</v>
      </c>
      <c r="C90" s="8" t="s">
        <v>485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398</v>
      </c>
      <c r="B91" s="8" t="s">
        <v>223</v>
      </c>
      <c r="C91" s="8" t="s">
        <v>486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398</v>
      </c>
      <c r="B92" s="8" t="s">
        <v>203</v>
      </c>
      <c r="C92" s="8" t="s">
        <v>487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398</v>
      </c>
      <c r="B93" s="8" t="s">
        <v>203</v>
      </c>
      <c r="C93" s="8" t="s">
        <v>488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398</v>
      </c>
      <c r="B94" s="8" t="s">
        <v>127</v>
      </c>
      <c r="C94" s="8" t="s">
        <v>489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398</v>
      </c>
      <c r="B95" s="8" t="s">
        <v>127</v>
      </c>
      <c r="C95" s="8" t="s">
        <v>490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398</v>
      </c>
      <c r="B96" s="8" t="s">
        <v>85</v>
      </c>
      <c r="C96" s="8" t="s">
        <v>491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398</v>
      </c>
      <c r="B97" s="8" t="s">
        <v>114</v>
      </c>
      <c r="C97" s="8" t="s">
        <v>491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398</v>
      </c>
      <c r="B98" s="8" t="s">
        <v>321</v>
      </c>
      <c r="C98" s="8" t="s">
        <v>492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398</v>
      </c>
      <c r="B99" s="8" t="s">
        <v>285</v>
      </c>
      <c r="C99" s="8" t="s">
        <v>493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398</v>
      </c>
      <c r="B100" s="8" t="s">
        <v>126</v>
      </c>
      <c r="C100" s="8" t="s">
        <v>494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398</v>
      </c>
      <c r="B101" s="8" t="s">
        <v>126</v>
      </c>
      <c r="C101" s="8" t="s">
        <v>495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398</v>
      </c>
      <c r="B102" s="8" t="s">
        <v>126</v>
      </c>
      <c r="C102" s="8" t="s">
        <v>496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398</v>
      </c>
      <c r="B103" s="8" t="s">
        <v>126</v>
      </c>
      <c r="C103" s="8" t="s">
        <v>497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398</v>
      </c>
      <c r="B104" s="8" t="s">
        <v>262</v>
      </c>
      <c r="C104" s="8" t="s">
        <v>498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398</v>
      </c>
      <c r="B105" s="8" t="s">
        <v>262</v>
      </c>
      <c r="C105" s="8" t="s">
        <v>499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398</v>
      </c>
      <c r="B106" s="8" t="s">
        <v>249</v>
      </c>
      <c r="C106" s="8" t="s">
        <v>500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398</v>
      </c>
      <c r="B107" s="8" t="s">
        <v>309</v>
      </c>
      <c r="C107" s="8" t="s">
        <v>501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398</v>
      </c>
      <c r="B108" s="8" t="s">
        <v>249</v>
      </c>
      <c r="C108" s="8" t="s">
        <v>502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398</v>
      </c>
      <c r="B109" s="8" t="s">
        <v>126</v>
      </c>
      <c r="C109" s="8" t="s">
        <v>503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398</v>
      </c>
      <c r="B110" s="8" t="s">
        <v>161</v>
      </c>
      <c r="C110" s="8" t="s">
        <v>504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398</v>
      </c>
      <c r="B111" s="8" t="s">
        <v>161</v>
      </c>
      <c r="C111" s="8" t="s">
        <v>505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398</v>
      </c>
      <c r="B112" s="8" t="s">
        <v>304</v>
      </c>
      <c r="C112" s="8" t="s">
        <v>506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398</v>
      </c>
      <c r="B113" s="8" t="s">
        <v>209</v>
      </c>
      <c r="C113" s="8" t="s">
        <v>507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398</v>
      </c>
      <c r="B114" s="8" t="s">
        <v>209</v>
      </c>
      <c r="C114" s="8" t="s">
        <v>508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398</v>
      </c>
      <c r="B115" s="8" t="s">
        <v>255</v>
      </c>
      <c r="C115" s="8" t="s">
        <v>509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398</v>
      </c>
      <c r="B116" s="8" t="s">
        <v>255</v>
      </c>
      <c r="C116" s="8" t="s">
        <v>510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398</v>
      </c>
      <c r="B117" s="8" t="s">
        <v>255</v>
      </c>
      <c r="C117" s="8" t="s">
        <v>511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398</v>
      </c>
      <c r="B118" s="8" t="s">
        <v>255</v>
      </c>
      <c r="C118" s="8" t="s">
        <v>512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398</v>
      </c>
      <c r="B119" s="8" t="s">
        <v>255</v>
      </c>
      <c r="C119" s="8" t="s">
        <v>513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398</v>
      </c>
      <c r="B120" s="8" t="s">
        <v>215</v>
      </c>
      <c r="C120" s="8" t="s">
        <v>514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398</v>
      </c>
      <c r="B121" s="8" t="s">
        <v>215</v>
      </c>
      <c r="C121" s="8" t="s">
        <v>515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398</v>
      </c>
      <c r="B122" s="8" t="s">
        <v>215</v>
      </c>
      <c r="C122" s="8" t="s">
        <v>516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398</v>
      </c>
      <c r="B123" s="8" t="s">
        <v>215</v>
      </c>
      <c r="C123" s="8" t="s">
        <v>517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398</v>
      </c>
      <c r="B124" s="8" t="s">
        <v>215</v>
      </c>
      <c r="C124" s="8" t="s">
        <v>518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398</v>
      </c>
      <c r="B125" s="8" t="s">
        <v>97</v>
      </c>
      <c r="C125" s="8" t="s">
        <v>519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398</v>
      </c>
      <c r="B126" s="8" t="s">
        <v>210</v>
      </c>
      <c r="C126" s="8" t="s">
        <v>520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398</v>
      </c>
      <c r="B127" s="8" t="s">
        <v>210</v>
      </c>
      <c r="C127" s="8" t="s">
        <v>521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398</v>
      </c>
      <c r="B128" s="8" t="s">
        <v>210</v>
      </c>
      <c r="C128" s="8" t="s">
        <v>522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398</v>
      </c>
      <c r="B129" s="8" t="s">
        <v>210</v>
      </c>
      <c r="C129" s="8" t="s">
        <v>523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398</v>
      </c>
      <c r="B130" s="8" t="s">
        <v>110</v>
      </c>
      <c r="C130" s="8" t="s">
        <v>524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398</v>
      </c>
      <c r="B131" s="8" t="s">
        <v>94</v>
      </c>
      <c r="C131" s="8" t="s">
        <v>525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398</v>
      </c>
      <c r="B132" s="8" t="s">
        <v>221</v>
      </c>
      <c r="C132" s="8" t="s">
        <v>526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398</v>
      </c>
      <c r="B133" s="8" t="s">
        <v>71</v>
      </c>
      <c r="C133" s="8" t="s">
        <v>527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398</v>
      </c>
      <c r="B134" s="8" t="s">
        <v>129</v>
      </c>
      <c r="C134" s="8" t="s">
        <v>528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398</v>
      </c>
      <c r="B135" s="8" t="s">
        <v>91</v>
      </c>
      <c r="C135" s="8" t="s">
        <v>529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398</v>
      </c>
      <c r="B136" s="8" t="s">
        <v>151</v>
      </c>
      <c r="C136" s="8" t="s">
        <v>530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398</v>
      </c>
      <c r="B137" s="8" t="s">
        <v>178</v>
      </c>
      <c r="C137" s="8" t="s">
        <v>524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398</v>
      </c>
      <c r="B138" s="8" t="s">
        <v>101</v>
      </c>
      <c r="C138" s="8" t="s">
        <v>524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398</v>
      </c>
      <c r="B139" s="8" t="s">
        <v>148</v>
      </c>
      <c r="C139" s="8" t="s">
        <v>531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398</v>
      </c>
      <c r="B140" s="8" t="s">
        <v>148</v>
      </c>
      <c r="C140" s="8" t="s">
        <v>532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398</v>
      </c>
      <c r="B141" s="8" t="s">
        <v>219</v>
      </c>
      <c r="C141" s="8" t="s">
        <v>533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398</v>
      </c>
      <c r="B142" s="8" t="s">
        <v>358</v>
      </c>
      <c r="C142" s="8" t="s">
        <v>534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398</v>
      </c>
      <c r="B143" s="8" t="s">
        <v>95</v>
      </c>
      <c r="C143" s="8" t="s">
        <v>535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398</v>
      </c>
      <c r="B144" s="8" t="s">
        <v>130</v>
      </c>
      <c r="C144" s="8" t="s">
        <v>536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398</v>
      </c>
      <c r="B145" s="8" t="s">
        <v>158</v>
      </c>
      <c r="C145" s="8" t="s">
        <v>537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398</v>
      </c>
      <c r="B146" s="8" t="s">
        <v>364</v>
      </c>
      <c r="C146" s="8" t="s">
        <v>538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398</v>
      </c>
      <c r="B147" s="8" t="s">
        <v>233</v>
      </c>
      <c r="C147" s="8" t="s">
        <v>539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398</v>
      </c>
      <c r="B148" s="8" t="s">
        <v>147</v>
      </c>
      <c r="C148" s="8" t="s">
        <v>540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398</v>
      </c>
      <c r="B149" s="8" t="s">
        <v>147</v>
      </c>
      <c r="C149" s="8" t="s">
        <v>541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398</v>
      </c>
      <c r="B150" s="8" t="s">
        <v>147</v>
      </c>
      <c r="C150" s="8" t="s">
        <v>542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398</v>
      </c>
      <c r="B151" s="8" t="s">
        <v>147</v>
      </c>
      <c r="C151" s="8" t="s">
        <v>543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398</v>
      </c>
      <c r="B152" s="8" t="s">
        <v>147</v>
      </c>
      <c r="C152" s="8" t="s">
        <v>544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398</v>
      </c>
      <c r="B153" s="8" t="s">
        <v>355</v>
      </c>
      <c r="C153" s="8" t="s">
        <v>545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398</v>
      </c>
      <c r="B154" s="8" t="s">
        <v>355</v>
      </c>
      <c r="C154" s="8" t="s">
        <v>546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398</v>
      </c>
      <c r="B155" s="8" t="s">
        <v>170</v>
      </c>
      <c r="C155" s="8" t="s">
        <v>547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398</v>
      </c>
      <c r="B156" s="8" t="s">
        <v>170</v>
      </c>
      <c r="C156" s="8" t="s">
        <v>548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398</v>
      </c>
      <c r="B157" s="8" t="s">
        <v>170</v>
      </c>
      <c r="C157" s="8" t="s">
        <v>549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398</v>
      </c>
      <c r="B158" s="8" t="s">
        <v>170</v>
      </c>
      <c r="C158" s="8" t="s">
        <v>550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398</v>
      </c>
      <c r="B159" s="8" t="s">
        <v>170</v>
      </c>
      <c r="C159" s="8" t="s">
        <v>551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398</v>
      </c>
      <c r="B160" s="8" t="s">
        <v>121</v>
      </c>
      <c r="C160" s="8" t="s">
        <v>552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398</v>
      </c>
      <c r="B161" s="8" t="s">
        <v>190</v>
      </c>
      <c r="C161" s="8" t="s">
        <v>553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398</v>
      </c>
      <c r="B162" s="8" t="s">
        <v>82</v>
      </c>
      <c r="C162" s="8" t="s">
        <v>554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398</v>
      </c>
      <c r="B163" s="8" t="s">
        <v>82</v>
      </c>
      <c r="C163" s="8" t="s">
        <v>555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398</v>
      </c>
      <c r="B164" s="8" t="s">
        <v>82</v>
      </c>
      <c r="C164" s="8" t="s">
        <v>556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398</v>
      </c>
      <c r="B165" s="8" t="s">
        <v>82</v>
      </c>
      <c r="C165" s="8" t="s">
        <v>557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398</v>
      </c>
      <c r="B166" s="8" t="s">
        <v>82</v>
      </c>
      <c r="C166" s="8" t="s">
        <v>558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398</v>
      </c>
      <c r="B167" s="8" t="s">
        <v>82</v>
      </c>
      <c r="C167" s="8" t="s">
        <v>559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398</v>
      </c>
      <c r="B168" s="8" t="s">
        <v>88</v>
      </c>
      <c r="C168" s="8" t="s">
        <v>560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398</v>
      </c>
      <c r="B169" s="8" t="s">
        <v>88</v>
      </c>
      <c r="C169" s="8" t="s">
        <v>561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398</v>
      </c>
      <c r="B170" s="8" t="s">
        <v>88</v>
      </c>
      <c r="C170" s="8" t="s">
        <v>562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398</v>
      </c>
      <c r="B171" s="8" t="s">
        <v>88</v>
      </c>
      <c r="C171" s="8" t="s">
        <v>563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398</v>
      </c>
      <c r="B172" s="8" t="s">
        <v>88</v>
      </c>
      <c r="C172" s="8" t="s">
        <v>564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398</v>
      </c>
      <c r="B173" s="8" t="s">
        <v>83</v>
      </c>
      <c r="C173" s="8" t="s">
        <v>565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398</v>
      </c>
      <c r="B174" s="8" t="s">
        <v>83</v>
      </c>
      <c r="C174" s="8" t="s">
        <v>566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398</v>
      </c>
      <c r="B175" s="8" t="s">
        <v>83</v>
      </c>
      <c r="C175" s="8" t="s">
        <v>567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398</v>
      </c>
      <c r="B176" s="8" t="s">
        <v>83</v>
      </c>
      <c r="C176" s="8" t="s">
        <v>568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398</v>
      </c>
      <c r="B177" s="8" t="s">
        <v>207</v>
      </c>
      <c r="C177" s="8" t="s">
        <v>569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398</v>
      </c>
      <c r="B178" s="8" t="s">
        <v>208</v>
      </c>
      <c r="C178" s="8" t="s">
        <v>570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398</v>
      </c>
      <c r="B179" s="8" t="s">
        <v>119</v>
      </c>
      <c r="C179" s="8" t="s">
        <v>571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398</v>
      </c>
      <c r="B180" s="8" t="s">
        <v>195</v>
      </c>
      <c r="C180" s="8" t="s">
        <v>572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398</v>
      </c>
      <c r="B181" s="8" t="s">
        <v>150</v>
      </c>
      <c r="C181" s="8" t="s">
        <v>573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398</v>
      </c>
      <c r="B182" s="8" t="s">
        <v>187</v>
      </c>
      <c r="C182" s="8" t="s">
        <v>574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398</v>
      </c>
      <c r="B183" s="8" t="s">
        <v>179</v>
      </c>
      <c r="C183" s="8" t="s">
        <v>575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398</v>
      </c>
      <c r="B184" s="8" t="s">
        <v>305</v>
      </c>
      <c r="C184" s="8" t="s">
        <v>576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398</v>
      </c>
      <c r="B185" s="8" t="s">
        <v>328</v>
      </c>
      <c r="C185" s="8" t="s">
        <v>576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398</v>
      </c>
      <c r="B186" s="8" t="s">
        <v>194</v>
      </c>
      <c r="C186" s="8" t="s">
        <v>577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398</v>
      </c>
      <c r="B187" s="8" t="s">
        <v>194</v>
      </c>
      <c r="C187" s="8" t="s">
        <v>578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398</v>
      </c>
      <c r="B188" s="8" t="s">
        <v>194</v>
      </c>
      <c r="C188" s="8" t="s">
        <v>579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398</v>
      </c>
      <c r="B189" s="8" t="s">
        <v>194</v>
      </c>
      <c r="C189" s="8" t="s">
        <v>580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398</v>
      </c>
      <c r="B190" s="8" t="s">
        <v>268</v>
      </c>
      <c r="C190" s="8" t="s">
        <v>581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398</v>
      </c>
      <c r="B191" s="8" t="s">
        <v>268</v>
      </c>
      <c r="C191" s="8" t="s">
        <v>582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398</v>
      </c>
      <c r="B192" s="8" t="s">
        <v>268</v>
      </c>
      <c r="C192" s="8" t="s">
        <v>583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398</v>
      </c>
      <c r="B193" s="8" t="s">
        <v>141</v>
      </c>
      <c r="C193" s="8" t="s">
        <v>584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398</v>
      </c>
      <c r="B194" s="8" t="s">
        <v>141</v>
      </c>
      <c r="C194" s="8" t="s">
        <v>585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398</v>
      </c>
      <c r="B195" s="8" t="s">
        <v>141</v>
      </c>
      <c r="C195" s="8" t="s">
        <v>586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398</v>
      </c>
      <c r="B196" s="8" t="s">
        <v>141</v>
      </c>
      <c r="C196" s="8" t="s">
        <v>587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398</v>
      </c>
      <c r="B197" s="8" t="s">
        <v>141</v>
      </c>
      <c r="C197" s="8" t="s">
        <v>588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398</v>
      </c>
      <c r="B198" s="8" t="s">
        <v>89</v>
      </c>
      <c r="C198" s="8" t="s">
        <v>589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398</v>
      </c>
      <c r="B199" s="8" t="s">
        <v>89</v>
      </c>
      <c r="C199" s="8" t="s">
        <v>590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398</v>
      </c>
      <c r="B200" s="8" t="s">
        <v>89</v>
      </c>
      <c r="C200" s="8" t="s">
        <v>591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398</v>
      </c>
      <c r="B201" s="8" t="s">
        <v>89</v>
      </c>
      <c r="C201" s="8" t="s">
        <v>592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398</v>
      </c>
      <c r="B202" s="8" t="s">
        <v>89</v>
      </c>
      <c r="C202" s="8" t="s">
        <v>593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398</v>
      </c>
      <c r="B203" s="8" t="s">
        <v>76</v>
      </c>
      <c r="C203" s="8" t="s">
        <v>594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398</v>
      </c>
      <c r="B204" s="8" t="s">
        <v>76</v>
      </c>
      <c r="C204" s="8" t="s">
        <v>595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398</v>
      </c>
      <c r="B205" s="8" t="s">
        <v>76</v>
      </c>
      <c r="C205" s="8" t="s">
        <v>596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398</v>
      </c>
      <c r="B206" s="8" t="s">
        <v>76</v>
      </c>
      <c r="C206" s="8" t="s">
        <v>597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398</v>
      </c>
      <c r="B207" s="8" t="s">
        <v>103</v>
      </c>
      <c r="C207" s="8" t="s">
        <v>598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398</v>
      </c>
      <c r="B208" s="8" t="s">
        <v>103</v>
      </c>
      <c r="C208" s="8" t="s">
        <v>599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398</v>
      </c>
      <c r="B209" s="8" t="s">
        <v>103</v>
      </c>
      <c r="C209" s="8" t="s">
        <v>600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398</v>
      </c>
      <c r="B210" s="8" t="s">
        <v>103</v>
      </c>
      <c r="C210" s="8" t="s">
        <v>601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398</v>
      </c>
      <c r="B211" s="8" t="s">
        <v>103</v>
      </c>
      <c r="C211" s="8" t="s">
        <v>602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398</v>
      </c>
      <c r="B212" s="8" t="s">
        <v>176</v>
      </c>
      <c r="C212" s="8" t="s">
        <v>603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398</v>
      </c>
      <c r="B213" s="8" t="s">
        <v>176</v>
      </c>
      <c r="C213" s="8" t="s">
        <v>604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398</v>
      </c>
      <c r="B214" s="8" t="s">
        <v>176</v>
      </c>
      <c r="C214" s="8" t="s">
        <v>605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398</v>
      </c>
      <c r="B215" s="8" t="s">
        <v>176</v>
      </c>
      <c r="C215" s="8" t="s">
        <v>606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398</v>
      </c>
      <c r="B216" s="8" t="s">
        <v>176</v>
      </c>
      <c r="C216" s="8" t="s">
        <v>607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398</v>
      </c>
      <c r="B217" s="8" t="s">
        <v>157</v>
      </c>
      <c r="C217" s="8" t="s">
        <v>608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398</v>
      </c>
      <c r="B218" s="8" t="s">
        <v>157</v>
      </c>
      <c r="C218" s="8" t="s">
        <v>609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398</v>
      </c>
      <c r="B219" s="8" t="s">
        <v>157</v>
      </c>
      <c r="C219" s="8" t="s">
        <v>610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398</v>
      </c>
      <c r="B220" s="8" t="s">
        <v>157</v>
      </c>
      <c r="C220" s="8" t="s">
        <v>611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398</v>
      </c>
      <c r="B221" s="8" t="s">
        <v>157</v>
      </c>
      <c r="C221" s="8" t="s">
        <v>612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398</v>
      </c>
      <c r="B222" s="8" t="s">
        <v>192</v>
      </c>
      <c r="C222" s="8" t="s">
        <v>613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398</v>
      </c>
      <c r="B223" s="8" t="s">
        <v>192</v>
      </c>
      <c r="C223" s="8" t="s">
        <v>614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398</v>
      </c>
      <c r="B224" s="8" t="s">
        <v>192</v>
      </c>
      <c r="C224" s="8" t="s">
        <v>615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398</v>
      </c>
      <c r="B225" s="8" t="s">
        <v>192</v>
      </c>
      <c r="C225" s="8" t="s">
        <v>616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398</v>
      </c>
      <c r="B226" s="8" t="s">
        <v>302</v>
      </c>
      <c r="C226" s="8" t="s">
        <v>617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398</v>
      </c>
      <c r="B227" s="8" t="s">
        <v>302</v>
      </c>
      <c r="C227" s="8" t="s">
        <v>618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398</v>
      </c>
      <c r="B228" s="8" t="s">
        <v>111</v>
      </c>
      <c r="C228" s="8" t="s">
        <v>619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398</v>
      </c>
      <c r="B229" s="8" t="s">
        <v>111</v>
      </c>
      <c r="C229" s="8" t="s">
        <v>620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398</v>
      </c>
      <c r="B230" s="8" t="s">
        <v>111</v>
      </c>
      <c r="C230" s="8" t="s">
        <v>621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398</v>
      </c>
      <c r="B231" s="8" t="s">
        <v>111</v>
      </c>
      <c r="C231" s="8" t="s">
        <v>622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398</v>
      </c>
      <c r="B232" s="8" t="s">
        <v>111</v>
      </c>
      <c r="C232" s="8" t="s">
        <v>623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398</v>
      </c>
      <c r="B233" s="8" t="s">
        <v>113</v>
      </c>
      <c r="C233" s="8" t="s">
        <v>624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398</v>
      </c>
      <c r="B234" s="8" t="s">
        <v>113</v>
      </c>
      <c r="C234" s="8" t="s">
        <v>625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398</v>
      </c>
      <c r="B235" s="8" t="s">
        <v>113</v>
      </c>
      <c r="C235" s="8" t="s">
        <v>626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398</v>
      </c>
      <c r="B236" s="8" t="s">
        <v>113</v>
      </c>
      <c r="C236" s="8" t="s">
        <v>627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398</v>
      </c>
      <c r="B237" s="8" t="s">
        <v>80</v>
      </c>
      <c r="C237" s="8" t="s">
        <v>628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398</v>
      </c>
      <c r="B238" s="8" t="s">
        <v>80</v>
      </c>
      <c r="C238" s="8" t="s">
        <v>629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398</v>
      </c>
      <c r="B239" s="8" t="s">
        <v>80</v>
      </c>
      <c r="C239" s="8" t="s">
        <v>630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398</v>
      </c>
      <c r="B240" s="8" t="s">
        <v>80</v>
      </c>
      <c r="C240" s="8" t="s">
        <v>631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398</v>
      </c>
      <c r="B241" s="8" t="s">
        <v>125</v>
      </c>
      <c r="C241" s="8" t="s">
        <v>632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398</v>
      </c>
      <c r="B242" s="8" t="s">
        <v>125</v>
      </c>
      <c r="C242" s="8" t="s">
        <v>633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398</v>
      </c>
      <c r="B243" s="8" t="s">
        <v>125</v>
      </c>
      <c r="C243" s="8" t="s">
        <v>634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398</v>
      </c>
      <c r="B244" s="8" t="s">
        <v>125</v>
      </c>
      <c r="C244" s="8" t="s">
        <v>635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398</v>
      </c>
      <c r="B245" s="8" t="s">
        <v>125</v>
      </c>
      <c r="C245" s="8" t="s">
        <v>636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398</v>
      </c>
      <c r="B246" s="8" t="s">
        <v>125</v>
      </c>
      <c r="C246" s="8" t="s">
        <v>637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398</v>
      </c>
      <c r="B247" s="8" t="s">
        <v>132</v>
      </c>
      <c r="C247" s="8" t="s">
        <v>638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398</v>
      </c>
      <c r="B248" s="8" t="s">
        <v>216</v>
      </c>
      <c r="C248" s="8" t="s">
        <v>639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398</v>
      </c>
      <c r="B249" s="8" t="s">
        <v>100</v>
      </c>
      <c r="C249" s="8" t="s">
        <v>640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398</v>
      </c>
      <c r="B250" s="8" t="s">
        <v>100</v>
      </c>
      <c r="C250" s="8" t="s">
        <v>641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398</v>
      </c>
      <c r="B251" s="8" t="s">
        <v>100</v>
      </c>
      <c r="C251" s="8" t="s">
        <v>642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398</v>
      </c>
      <c r="B252" s="8" t="s">
        <v>100</v>
      </c>
      <c r="C252" s="8" t="s">
        <v>643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398</v>
      </c>
      <c r="B253" s="8" t="s">
        <v>100</v>
      </c>
      <c r="C253" s="8" t="s">
        <v>644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398</v>
      </c>
      <c r="B254" s="8" t="s">
        <v>100</v>
      </c>
      <c r="C254" s="8" t="s">
        <v>645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398</v>
      </c>
      <c r="B255" s="8" t="s">
        <v>128</v>
      </c>
      <c r="C255" s="8" t="s">
        <v>646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398</v>
      </c>
      <c r="B256" s="8" t="s">
        <v>128</v>
      </c>
      <c r="C256" s="8" t="s">
        <v>647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398</v>
      </c>
      <c r="B257" s="8" t="s">
        <v>128</v>
      </c>
      <c r="C257" s="8" t="s">
        <v>648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398</v>
      </c>
      <c r="B258" s="8" t="s">
        <v>177</v>
      </c>
      <c r="C258" s="8" t="s">
        <v>649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398</v>
      </c>
      <c r="B259" s="8" t="s">
        <v>334</v>
      </c>
      <c r="C259" s="8" t="s">
        <v>650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398</v>
      </c>
      <c r="B260" s="8" t="s">
        <v>334</v>
      </c>
      <c r="C260" s="8" t="s">
        <v>651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398</v>
      </c>
      <c r="B261" s="8" t="s">
        <v>211</v>
      </c>
      <c r="C261" s="8" t="s">
        <v>652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398</v>
      </c>
      <c r="B262" s="8" t="s">
        <v>211</v>
      </c>
      <c r="C262" s="8" t="s">
        <v>653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398</v>
      </c>
      <c r="B263" s="8" t="s">
        <v>211</v>
      </c>
      <c r="C263" s="8" t="s">
        <v>654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398</v>
      </c>
      <c r="B264" s="8" t="s">
        <v>211</v>
      </c>
      <c r="C264" s="8" t="s">
        <v>655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398</v>
      </c>
      <c r="B265" s="8" t="s">
        <v>211</v>
      </c>
      <c r="C265" s="8" t="s">
        <v>656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398</v>
      </c>
      <c r="B266" s="8" t="s">
        <v>266</v>
      </c>
      <c r="C266" s="8" t="s">
        <v>657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398</v>
      </c>
      <c r="B267" s="8" t="s">
        <v>266</v>
      </c>
      <c r="C267" s="8" t="s">
        <v>658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398</v>
      </c>
      <c r="B268" s="8" t="s">
        <v>266</v>
      </c>
      <c r="C268" s="8" t="s">
        <v>659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398</v>
      </c>
      <c r="B269" s="8" t="s">
        <v>266</v>
      </c>
      <c r="C269" s="8" t="s">
        <v>660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398</v>
      </c>
      <c r="B270" s="8" t="s">
        <v>213</v>
      </c>
      <c r="C270" s="8" t="s">
        <v>661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398</v>
      </c>
      <c r="B271" s="8" t="s">
        <v>213</v>
      </c>
      <c r="C271" s="8" t="s">
        <v>662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398</v>
      </c>
      <c r="B272" s="8" t="s">
        <v>213</v>
      </c>
      <c r="C272" s="8" t="s">
        <v>663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398</v>
      </c>
      <c r="B273" s="8" t="s">
        <v>213</v>
      </c>
      <c r="C273" s="8" t="s">
        <v>664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398</v>
      </c>
      <c r="B274" s="8" t="s">
        <v>261</v>
      </c>
      <c r="C274" s="8" t="s">
        <v>665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398</v>
      </c>
      <c r="B275" s="8" t="s">
        <v>240</v>
      </c>
      <c r="C275" s="8" t="s">
        <v>666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398</v>
      </c>
      <c r="B276" s="8" t="s">
        <v>240</v>
      </c>
      <c r="C276" s="8" t="s">
        <v>667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398</v>
      </c>
      <c r="B277" s="8" t="s">
        <v>240</v>
      </c>
      <c r="C277" s="8" t="s">
        <v>668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398</v>
      </c>
      <c r="B278" s="8" t="s">
        <v>259</v>
      </c>
      <c r="C278" s="8" t="s">
        <v>669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398</v>
      </c>
      <c r="B279" s="8" t="s">
        <v>259</v>
      </c>
      <c r="C279" s="8" t="s">
        <v>670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398</v>
      </c>
      <c r="B280" s="8" t="s">
        <v>259</v>
      </c>
      <c r="C280" s="8" t="s">
        <v>671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398</v>
      </c>
      <c r="B281" s="8" t="s">
        <v>259</v>
      </c>
      <c r="C281" s="8" t="s">
        <v>672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398</v>
      </c>
      <c r="B282" s="8" t="s">
        <v>259</v>
      </c>
      <c r="C282" s="8" t="s">
        <v>673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398</v>
      </c>
      <c r="B283" s="8" t="s">
        <v>320</v>
      </c>
      <c r="C283" s="8" t="s">
        <v>674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398</v>
      </c>
      <c r="B284" s="8" t="s">
        <v>320</v>
      </c>
      <c r="C284" s="8" t="s">
        <v>675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398</v>
      </c>
      <c r="B285" s="8" t="s">
        <v>353</v>
      </c>
      <c r="C285" s="8" t="s">
        <v>676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398</v>
      </c>
      <c r="B286" s="8" t="s">
        <v>353</v>
      </c>
      <c r="C286" s="8" t="s">
        <v>677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398</v>
      </c>
      <c r="B287" s="8" t="s">
        <v>353</v>
      </c>
      <c r="C287" s="8" t="s">
        <v>678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398</v>
      </c>
      <c r="B288" s="8" t="s">
        <v>244</v>
      </c>
      <c r="C288" s="8" t="s">
        <v>679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398</v>
      </c>
      <c r="B289" s="8" t="s">
        <v>244</v>
      </c>
      <c r="C289" s="8" t="s">
        <v>680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398</v>
      </c>
      <c r="B290" s="8" t="s">
        <v>244</v>
      </c>
      <c r="C290" s="8" t="s">
        <v>681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398</v>
      </c>
      <c r="B291" s="8" t="s">
        <v>113</v>
      </c>
      <c r="C291" s="8" t="s">
        <v>682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398</v>
      </c>
      <c r="B292" s="8" t="s">
        <v>301</v>
      </c>
      <c r="C292" s="8" t="s">
        <v>683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398</v>
      </c>
      <c r="B293" s="8" t="s">
        <v>301</v>
      </c>
      <c r="C293" s="8" t="s">
        <v>684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398</v>
      </c>
      <c r="B294" s="8" t="s">
        <v>301</v>
      </c>
      <c r="C294" s="8" t="s">
        <v>685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398</v>
      </c>
      <c r="B295" s="8" t="s">
        <v>341</v>
      </c>
      <c r="C295" s="8" t="s">
        <v>686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398</v>
      </c>
      <c r="B296" s="8" t="s">
        <v>341</v>
      </c>
      <c r="C296" s="8" t="s">
        <v>687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398</v>
      </c>
      <c r="B297" s="8" t="s">
        <v>341</v>
      </c>
      <c r="C297" s="8" t="s">
        <v>688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398</v>
      </c>
      <c r="B298" s="8" t="s">
        <v>341</v>
      </c>
      <c r="C298" s="8" t="s">
        <v>689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398</v>
      </c>
      <c r="B299" s="8" t="s">
        <v>341</v>
      </c>
      <c r="C299" s="8" t="s">
        <v>690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398</v>
      </c>
      <c r="B300" s="8" t="s">
        <v>100</v>
      </c>
      <c r="C300" s="8" t="s">
        <v>691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398</v>
      </c>
      <c r="B301" s="8" t="s">
        <v>261</v>
      </c>
      <c r="C301" s="8" t="s">
        <v>692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398</v>
      </c>
      <c r="B302" s="8" t="s">
        <v>257</v>
      </c>
      <c r="C302" s="8" t="s">
        <v>693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398</v>
      </c>
      <c r="B303" s="8" t="s">
        <v>171</v>
      </c>
      <c r="C303" s="8" t="s">
        <v>694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398</v>
      </c>
      <c r="B304" s="8" t="s">
        <v>88</v>
      </c>
      <c r="C304" s="8" t="s">
        <v>695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398</v>
      </c>
      <c r="B305" s="8" t="s">
        <v>218</v>
      </c>
      <c r="C305" s="8" t="s">
        <v>696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398</v>
      </c>
      <c r="B306" s="8" t="s">
        <v>143</v>
      </c>
      <c r="C306" s="8" t="s">
        <v>697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398</v>
      </c>
      <c r="B307" s="8" t="s">
        <v>135</v>
      </c>
      <c r="C307" s="8" t="s">
        <v>698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398</v>
      </c>
      <c r="B308" s="8" t="s">
        <v>310</v>
      </c>
      <c r="C308" s="8" t="s">
        <v>699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398</v>
      </c>
      <c r="B309" s="8" t="s">
        <v>149</v>
      </c>
      <c r="C309" s="8" t="s">
        <v>700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398</v>
      </c>
      <c r="B310" s="8" t="s">
        <v>89</v>
      </c>
      <c r="C310" s="8" t="s">
        <v>701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398</v>
      </c>
      <c r="B311" s="8" t="s">
        <v>238</v>
      </c>
      <c r="C311" s="8" t="s">
        <v>702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398</v>
      </c>
      <c r="B312" s="8" t="s">
        <v>167</v>
      </c>
      <c r="C312" s="8" t="s">
        <v>703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398</v>
      </c>
      <c r="B313" s="8" t="s">
        <v>167</v>
      </c>
      <c r="C313" s="8" t="s">
        <v>704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398</v>
      </c>
      <c r="B314" s="8" t="s">
        <v>167</v>
      </c>
      <c r="C314" s="8" t="s">
        <v>705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398</v>
      </c>
      <c r="B315" s="8" t="s">
        <v>167</v>
      </c>
      <c r="C315" s="8" t="s">
        <v>706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398</v>
      </c>
      <c r="B316" s="8" t="s">
        <v>98</v>
      </c>
      <c r="C316" s="8" t="s">
        <v>707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398</v>
      </c>
      <c r="B317" s="8" t="s">
        <v>74</v>
      </c>
      <c r="C317" s="8" t="s">
        <v>708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398</v>
      </c>
      <c r="B318" s="8" t="s">
        <v>74</v>
      </c>
      <c r="C318" s="8" t="s">
        <v>709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398</v>
      </c>
      <c r="B319" s="8" t="s">
        <v>74</v>
      </c>
      <c r="C319" s="8" t="s">
        <v>710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398</v>
      </c>
      <c r="B320" s="8" t="s">
        <v>74</v>
      </c>
      <c r="C320" s="8" t="s">
        <v>711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398</v>
      </c>
      <c r="B321" s="8" t="s">
        <v>74</v>
      </c>
      <c r="C321" s="8" t="s">
        <v>712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398</v>
      </c>
      <c r="B322" s="8" t="s">
        <v>78</v>
      </c>
      <c r="C322" s="8" t="s">
        <v>713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398</v>
      </c>
      <c r="B323" s="8" t="s">
        <v>78</v>
      </c>
      <c r="C323" s="8" t="s">
        <v>714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398</v>
      </c>
      <c r="B324" s="8" t="s">
        <v>78</v>
      </c>
      <c r="C324" s="8" t="s">
        <v>715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398</v>
      </c>
      <c r="B325" s="8" t="s">
        <v>78</v>
      </c>
      <c r="C325" s="8" t="s">
        <v>716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398</v>
      </c>
      <c r="B326" s="8" t="s">
        <v>279</v>
      </c>
      <c r="C326" s="8" t="s">
        <v>717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398</v>
      </c>
      <c r="B327" s="8" t="s">
        <v>270</v>
      </c>
      <c r="C327" s="8" t="s">
        <v>718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398</v>
      </c>
      <c r="B328" s="8" t="s">
        <v>290</v>
      </c>
      <c r="C328" s="8" t="s">
        <v>719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398</v>
      </c>
      <c r="B329" s="8" t="s">
        <v>105</v>
      </c>
      <c r="C329" s="8" t="s">
        <v>720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398</v>
      </c>
      <c r="B330" s="8" t="s">
        <v>124</v>
      </c>
      <c r="C330" s="8" t="s">
        <v>721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398</v>
      </c>
      <c r="B331" s="8" t="s">
        <v>108</v>
      </c>
      <c r="C331" s="8" t="s">
        <v>722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398</v>
      </c>
      <c r="B332" s="8" t="s">
        <v>280</v>
      </c>
      <c r="C332" s="8" t="s">
        <v>723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398</v>
      </c>
      <c r="B333" s="8" t="s">
        <v>280</v>
      </c>
      <c r="C333" s="8" t="s">
        <v>724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398</v>
      </c>
      <c r="B334" s="8" t="s">
        <v>251</v>
      </c>
      <c r="C334" s="8" t="s">
        <v>725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398</v>
      </c>
      <c r="B335" s="8" t="s">
        <v>251</v>
      </c>
      <c r="C335" s="8" t="s">
        <v>726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398</v>
      </c>
      <c r="B336" s="8" t="s">
        <v>251</v>
      </c>
      <c r="C336" s="8" t="s">
        <v>724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398</v>
      </c>
      <c r="B337" s="8" t="s">
        <v>184</v>
      </c>
      <c r="C337" s="8" t="s">
        <v>727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398</v>
      </c>
      <c r="B338" s="8" t="s">
        <v>184</v>
      </c>
      <c r="C338" s="8" t="s">
        <v>728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398</v>
      </c>
      <c r="B339" s="8" t="s">
        <v>155</v>
      </c>
      <c r="C339" s="8" t="s">
        <v>727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398</v>
      </c>
      <c r="B340" s="8" t="s">
        <v>155</v>
      </c>
      <c r="C340" s="8" t="s">
        <v>728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398</v>
      </c>
      <c r="B341" s="8" t="s">
        <v>217</v>
      </c>
      <c r="C341" s="8" t="s">
        <v>729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398</v>
      </c>
      <c r="B342" s="8" t="s">
        <v>201</v>
      </c>
      <c r="C342" s="8" t="s">
        <v>730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398</v>
      </c>
      <c r="B343" s="8" t="s">
        <v>201</v>
      </c>
      <c r="C343" s="8" t="s">
        <v>731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398</v>
      </c>
      <c r="B344" s="8" t="s">
        <v>254</v>
      </c>
      <c r="C344" s="8" t="s">
        <v>732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398</v>
      </c>
      <c r="B345" s="8" t="s">
        <v>254</v>
      </c>
      <c r="C345" s="8" t="s">
        <v>733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398</v>
      </c>
      <c r="B346" s="8" t="s">
        <v>201</v>
      </c>
      <c r="C346" s="8" t="s">
        <v>734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398</v>
      </c>
      <c r="B347" s="8" t="s">
        <v>319</v>
      </c>
      <c r="C347" s="8" t="s">
        <v>732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398</v>
      </c>
      <c r="B348" s="8" t="s">
        <v>74</v>
      </c>
      <c r="C348" s="8" t="s">
        <v>735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398</v>
      </c>
      <c r="B349" s="8" t="s">
        <v>73</v>
      </c>
      <c r="C349" s="8" t="s">
        <v>736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398</v>
      </c>
      <c r="B350" s="8" t="s">
        <v>73</v>
      </c>
      <c r="C350" s="8" t="s">
        <v>737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398</v>
      </c>
      <c r="B351" s="8" t="s">
        <v>73</v>
      </c>
      <c r="C351" s="8" t="s">
        <v>738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398</v>
      </c>
      <c r="B352" s="8" t="s">
        <v>112</v>
      </c>
      <c r="C352" s="8" t="s">
        <v>739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398</v>
      </c>
      <c r="B353" s="8" t="s">
        <v>112</v>
      </c>
      <c r="C353" s="8" t="s">
        <v>740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398</v>
      </c>
      <c r="B354" s="8" t="s">
        <v>112</v>
      </c>
      <c r="C354" s="8" t="s">
        <v>741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398</v>
      </c>
      <c r="B355" s="8" t="s">
        <v>365</v>
      </c>
      <c r="C355" s="8" t="s">
        <v>742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398</v>
      </c>
      <c r="B356" s="8" t="s">
        <v>169</v>
      </c>
      <c r="C356" s="8" t="s">
        <v>639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398</v>
      </c>
      <c r="B357" s="8" t="s">
        <v>346</v>
      </c>
      <c r="C357" s="8" t="s">
        <v>743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398</v>
      </c>
      <c r="B358" s="8" t="s">
        <v>75</v>
      </c>
      <c r="C358" s="8" t="s">
        <v>744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398</v>
      </c>
      <c r="B359" s="8" t="s">
        <v>75</v>
      </c>
      <c r="C359" s="8" t="s">
        <v>745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398</v>
      </c>
      <c r="B360" s="8" t="s">
        <v>75</v>
      </c>
      <c r="C360" s="8" t="s">
        <v>746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398</v>
      </c>
      <c r="B361" s="8" t="s">
        <v>75</v>
      </c>
      <c r="C361" s="8" t="s">
        <v>747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398</v>
      </c>
      <c r="B362" s="8" t="s">
        <v>75</v>
      </c>
      <c r="C362" s="8" t="s">
        <v>748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398</v>
      </c>
      <c r="B363" s="8" t="s">
        <v>349</v>
      </c>
      <c r="C363" s="8" t="s">
        <v>749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398</v>
      </c>
      <c r="B364" s="8" t="s">
        <v>373</v>
      </c>
      <c r="C364" s="8" t="s">
        <v>750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398</v>
      </c>
      <c r="B365" s="8" t="s">
        <v>339</v>
      </c>
      <c r="C365" s="8" t="s">
        <v>751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398</v>
      </c>
      <c r="B366" s="8" t="s">
        <v>298</v>
      </c>
      <c r="C366" s="8" t="s">
        <v>752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398</v>
      </c>
      <c r="B367" s="8" t="s">
        <v>340</v>
      </c>
      <c r="C367" s="8" t="s">
        <v>753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398</v>
      </c>
      <c r="B368" s="8" t="s">
        <v>104</v>
      </c>
      <c r="C368" s="8" t="s">
        <v>754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398</v>
      </c>
      <c r="B369" s="8" t="s">
        <v>230</v>
      </c>
      <c r="C369" s="8" t="s">
        <v>755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398</v>
      </c>
      <c r="B370" s="8" t="s">
        <v>196</v>
      </c>
      <c r="C370" s="8" t="s">
        <v>756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398</v>
      </c>
      <c r="B371" s="8" t="s">
        <v>226</v>
      </c>
      <c r="C371" s="8" t="s">
        <v>757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398</v>
      </c>
      <c r="B372" s="8" t="s">
        <v>137</v>
      </c>
      <c r="C372" s="8" t="s">
        <v>758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398</v>
      </c>
      <c r="B373" s="8" t="s">
        <v>191</v>
      </c>
      <c r="C373" s="8" t="s">
        <v>759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398</v>
      </c>
      <c r="B374" s="8" t="s">
        <v>225</v>
      </c>
      <c r="C374" s="8" t="s">
        <v>760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398</v>
      </c>
      <c r="B375" s="8" t="s">
        <v>225</v>
      </c>
      <c r="C375" s="8" t="s">
        <v>761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398</v>
      </c>
      <c r="B376" s="8" t="s">
        <v>225</v>
      </c>
      <c r="C376" s="8" t="s">
        <v>762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398</v>
      </c>
      <c r="B377" s="8" t="s">
        <v>225</v>
      </c>
      <c r="C377" s="8" t="s">
        <v>763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398</v>
      </c>
      <c r="B378" s="8" t="s">
        <v>225</v>
      </c>
      <c r="C378" s="8" t="s">
        <v>764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398</v>
      </c>
      <c r="B379" s="8" t="s">
        <v>225</v>
      </c>
      <c r="C379" s="8" t="s">
        <v>765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398</v>
      </c>
      <c r="B380" s="8" t="s">
        <v>225</v>
      </c>
      <c r="C380" s="8" t="s">
        <v>766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398</v>
      </c>
      <c r="B381" s="8" t="s">
        <v>225</v>
      </c>
      <c r="C381" s="8" t="s">
        <v>767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398</v>
      </c>
      <c r="B382" s="8" t="s">
        <v>225</v>
      </c>
      <c r="C382" s="8" t="s">
        <v>768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398</v>
      </c>
      <c r="B383" s="8" t="s">
        <v>225</v>
      </c>
      <c r="C383" s="8" t="s">
        <v>769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398</v>
      </c>
      <c r="B384" s="8" t="s">
        <v>225</v>
      </c>
      <c r="C384" s="8" t="s">
        <v>770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398</v>
      </c>
      <c r="B385" s="8" t="s">
        <v>276</v>
      </c>
      <c r="C385" s="8" t="s">
        <v>771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398</v>
      </c>
      <c r="B386" s="8" t="s">
        <v>198</v>
      </c>
      <c r="C386" s="8" t="s">
        <v>772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398</v>
      </c>
      <c r="B387" s="8" t="s">
        <v>318</v>
      </c>
      <c r="C387" s="8" t="s">
        <v>773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398</v>
      </c>
      <c r="B388" s="8" t="s">
        <v>354</v>
      </c>
      <c r="C388" s="8" t="s">
        <v>774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398</v>
      </c>
      <c r="B389" s="8" t="s">
        <v>354</v>
      </c>
      <c r="C389" s="8" t="s">
        <v>775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398</v>
      </c>
      <c r="B390" s="8" t="s">
        <v>375</v>
      </c>
      <c r="C390" s="8" t="s">
        <v>776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398</v>
      </c>
      <c r="B391" s="8" t="s">
        <v>347</v>
      </c>
      <c r="C391" s="8" t="s">
        <v>777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398</v>
      </c>
      <c r="B392" s="8" t="s">
        <v>289</v>
      </c>
      <c r="C392" s="8" t="s">
        <v>778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398</v>
      </c>
      <c r="B393" s="8" t="s">
        <v>248</v>
      </c>
      <c r="C393" s="8" t="s">
        <v>779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398</v>
      </c>
      <c r="B394" s="8" t="s">
        <v>214</v>
      </c>
      <c r="C394" s="8" t="s">
        <v>780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398</v>
      </c>
      <c r="B395" s="8" t="s">
        <v>86</v>
      </c>
      <c r="C395" s="8" t="s">
        <v>781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398</v>
      </c>
      <c r="B396" s="8" t="s">
        <v>133</v>
      </c>
      <c r="C396" s="8" t="s">
        <v>782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398</v>
      </c>
      <c r="B397" s="8" t="s">
        <v>332</v>
      </c>
      <c r="C397" s="8" t="s">
        <v>783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398</v>
      </c>
      <c r="B398" s="8" t="s">
        <v>336</v>
      </c>
      <c r="C398" s="8" t="s">
        <v>784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398</v>
      </c>
      <c r="B399" s="8" t="s">
        <v>109</v>
      </c>
      <c r="C399" s="8" t="s">
        <v>785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398</v>
      </c>
      <c r="B400" s="8" t="s">
        <v>109</v>
      </c>
      <c r="C400" s="8" t="s">
        <v>786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398</v>
      </c>
      <c r="B401" s="8" t="s">
        <v>109</v>
      </c>
      <c r="C401" s="8" t="s">
        <v>787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398</v>
      </c>
      <c r="B402" s="8" t="s">
        <v>109</v>
      </c>
      <c r="C402" s="8" t="s">
        <v>788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398</v>
      </c>
      <c r="B403" s="8" t="s">
        <v>109</v>
      </c>
      <c r="C403" s="8" t="s">
        <v>789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398</v>
      </c>
      <c r="B404" s="8" t="s">
        <v>77</v>
      </c>
      <c r="C404" s="8" t="s">
        <v>790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398</v>
      </c>
      <c r="B405" s="8" t="s">
        <v>174</v>
      </c>
      <c r="C405" s="8" t="s">
        <v>722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398</v>
      </c>
      <c r="B406" s="8" t="s">
        <v>68</v>
      </c>
      <c r="C406" s="8" t="s">
        <v>791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398</v>
      </c>
      <c r="B407" s="8" t="s">
        <v>68</v>
      </c>
      <c r="C407" s="8" t="s">
        <v>792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398</v>
      </c>
      <c r="B408" s="8" t="s">
        <v>68</v>
      </c>
      <c r="C408" s="8" t="s">
        <v>793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398</v>
      </c>
      <c r="B409" s="8" t="s">
        <v>326</v>
      </c>
      <c r="C409" s="8" t="s">
        <v>794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398</v>
      </c>
      <c r="B410" s="8" t="s">
        <v>342</v>
      </c>
      <c r="C410" s="8" t="s">
        <v>795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398</v>
      </c>
      <c r="B411" s="8" t="s">
        <v>338</v>
      </c>
      <c r="C411" s="8" t="s">
        <v>795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398</v>
      </c>
      <c r="B412" s="8" t="s">
        <v>220</v>
      </c>
      <c r="C412" s="8" t="s">
        <v>795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398</v>
      </c>
      <c r="B413" s="8" t="s">
        <v>162</v>
      </c>
      <c r="C413" s="8" t="s">
        <v>796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398</v>
      </c>
      <c r="B414" s="8" t="s">
        <v>164</v>
      </c>
      <c r="C414" s="8" t="s">
        <v>796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398</v>
      </c>
      <c r="B415" s="8" t="s">
        <v>363</v>
      </c>
      <c r="C415" s="8" t="s">
        <v>797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398</v>
      </c>
      <c r="B416" s="8" t="s">
        <v>264</v>
      </c>
      <c r="C416" s="8" t="s">
        <v>798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398</v>
      </c>
      <c r="B417" s="8" t="s">
        <v>288</v>
      </c>
      <c r="C417" s="8" t="s">
        <v>798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398</v>
      </c>
      <c r="B418" s="8" t="s">
        <v>316</v>
      </c>
      <c r="C418" s="8" t="s">
        <v>798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398</v>
      </c>
      <c r="B419" s="8" t="s">
        <v>292</v>
      </c>
      <c r="C419" s="8" t="s">
        <v>799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398</v>
      </c>
      <c r="B420" s="8" t="s">
        <v>272</v>
      </c>
      <c r="C420" s="8" t="s">
        <v>800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398</v>
      </c>
      <c r="B421" s="8" t="s">
        <v>311</v>
      </c>
      <c r="C421" s="8" t="s">
        <v>800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398</v>
      </c>
      <c r="B422" s="8" t="s">
        <v>229</v>
      </c>
      <c r="C422" s="8" t="s">
        <v>800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398</v>
      </c>
      <c r="B423" s="8" t="s">
        <v>313</v>
      </c>
      <c r="C423" s="8" t="s">
        <v>801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398</v>
      </c>
      <c r="B424" s="8" t="s">
        <v>312</v>
      </c>
      <c r="C424" s="8" t="s">
        <v>800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398</v>
      </c>
      <c r="B425" s="8" t="s">
        <v>165</v>
      </c>
      <c r="C425" s="8" t="s">
        <v>802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398</v>
      </c>
      <c r="B426" s="8" t="s">
        <v>165</v>
      </c>
      <c r="C426" s="8" t="s">
        <v>803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398</v>
      </c>
      <c r="B427" s="8" t="s">
        <v>165</v>
      </c>
      <c r="C427" s="8" t="s">
        <v>804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398</v>
      </c>
      <c r="B428" s="8" t="s">
        <v>286</v>
      </c>
      <c r="C428" s="8" t="s">
        <v>805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398</v>
      </c>
      <c r="B429" s="8" t="s">
        <v>286</v>
      </c>
      <c r="C429" s="8" t="s">
        <v>806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398</v>
      </c>
      <c r="B430" s="8" t="s">
        <v>286</v>
      </c>
      <c r="C430" s="8" t="s">
        <v>807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398</v>
      </c>
      <c r="B431" s="8" t="s">
        <v>286</v>
      </c>
      <c r="C431" s="8" t="s">
        <v>808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398</v>
      </c>
      <c r="B432" s="8" t="s">
        <v>161</v>
      </c>
      <c r="C432" s="8" t="s">
        <v>809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398</v>
      </c>
      <c r="B433" s="8" t="s">
        <v>343</v>
      </c>
      <c r="C433" s="8" t="s">
        <v>810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398</v>
      </c>
      <c r="B434" s="8" t="s">
        <v>237</v>
      </c>
      <c r="C434" s="8" t="s">
        <v>810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398</v>
      </c>
      <c r="B435" s="8" t="s">
        <v>345</v>
      </c>
      <c r="C435" s="8" t="s">
        <v>810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398</v>
      </c>
      <c r="B436" s="8" t="s">
        <v>258</v>
      </c>
      <c r="C436" s="8" t="s">
        <v>810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398</v>
      </c>
      <c r="B437" s="8" t="s">
        <v>106</v>
      </c>
      <c r="C437" s="8" t="s">
        <v>811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398</v>
      </c>
      <c r="B438" s="8" t="s">
        <v>96</v>
      </c>
      <c r="C438" s="8" t="s">
        <v>811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398</v>
      </c>
      <c r="B439" s="8" t="s">
        <v>107</v>
      </c>
      <c r="C439" s="8" t="s">
        <v>811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398</v>
      </c>
      <c r="B440" s="8" t="s">
        <v>115</v>
      </c>
      <c r="C440" s="8" t="s">
        <v>811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398</v>
      </c>
      <c r="B441" s="8" t="s">
        <v>73</v>
      </c>
      <c r="C441" s="8" t="s">
        <v>812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398</v>
      </c>
      <c r="B442" s="8" t="s">
        <v>70</v>
      </c>
      <c r="C442" s="8" t="s">
        <v>813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398</v>
      </c>
      <c r="B443" s="8" t="s">
        <v>102</v>
      </c>
      <c r="C443" s="8" t="s">
        <v>814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398</v>
      </c>
      <c r="B444" s="8" t="s">
        <v>102</v>
      </c>
      <c r="C444" s="8" t="s">
        <v>815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398</v>
      </c>
      <c r="B445" s="8" t="s">
        <v>102</v>
      </c>
      <c r="C445" s="8" t="s">
        <v>816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398</v>
      </c>
      <c r="B446" s="8" t="s">
        <v>102</v>
      </c>
      <c r="C446" s="8" t="s">
        <v>817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398</v>
      </c>
      <c r="B447" s="8" t="s">
        <v>102</v>
      </c>
      <c r="C447" s="8" t="s">
        <v>818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398</v>
      </c>
      <c r="B448" s="8" t="s">
        <v>102</v>
      </c>
      <c r="C448" s="8" t="s">
        <v>819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398</v>
      </c>
      <c r="B449" s="8" t="s">
        <v>116</v>
      </c>
      <c r="C449" s="8" t="s">
        <v>820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398</v>
      </c>
      <c r="B450" s="8" t="s">
        <v>295</v>
      </c>
      <c r="C450" s="8" t="s">
        <v>821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398</v>
      </c>
      <c r="B451" s="8" t="s">
        <v>70</v>
      </c>
      <c r="C451" s="8" t="s">
        <v>822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398</v>
      </c>
      <c r="B452" s="8" t="s">
        <v>183</v>
      </c>
      <c r="C452" s="8" t="s">
        <v>823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398</v>
      </c>
      <c r="B453" s="8" t="s">
        <v>183</v>
      </c>
      <c r="C453" s="8" t="s">
        <v>824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398</v>
      </c>
      <c r="B454" s="8" t="s">
        <v>183</v>
      </c>
      <c r="C454" s="8" t="s">
        <v>825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398</v>
      </c>
      <c r="B455" s="8" t="s">
        <v>183</v>
      </c>
      <c r="C455" s="8" t="s">
        <v>826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398</v>
      </c>
      <c r="B456" s="8" t="s">
        <v>183</v>
      </c>
      <c r="C456" s="8" t="s">
        <v>827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398</v>
      </c>
      <c r="B457" s="8" t="s">
        <v>67</v>
      </c>
      <c r="C457" s="8" t="s">
        <v>828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398</v>
      </c>
      <c r="B458" s="8" t="s">
        <v>299</v>
      </c>
      <c r="C458" s="8" t="s">
        <v>829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398</v>
      </c>
      <c r="B459" s="8" t="s">
        <v>206</v>
      </c>
      <c r="C459" s="8" t="s">
        <v>830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398</v>
      </c>
      <c r="B460" s="8" t="s">
        <v>239</v>
      </c>
      <c r="C460" s="8" t="s">
        <v>830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398</v>
      </c>
      <c r="B461" s="8" t="s">
        <v>182</v>
      </c>
      <c r="C461" s="8" t="s">
        <v>830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398</v>
      </c>
      <c r="B462" s="8" t="s">
        <v>188</v>
      </c>
      <c r="C462" s="8" t="s">
        <v>830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398</v>
      </c>
      <c r="B463" s="8" t="s">
        <v>123</v>
      </c>
      <c r="C463" s="8" t="s">
        <v>831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398</v>
      </c>
      <c r="B464" s="8" t="s">
        <v>235</v>
      </c>
      <c r="C464" s="8" t="s">
        <v>832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398</v>
      </c>
      <c r="B465" s="8" t="s">
        <v>325</v>
      </c>
      <c r="C465" s="8" t="s">
        <v>833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398</v>
      </c>
      <c r="B466" s="8" t="s">
        <v>348</v>
      </c>
      <c r="C466" s="8" t="s">
        <v>833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398</v>
      </c>
      <c r="B467" s="8" t="s">
        <v>317</v>
      </c>
      <c r="C467" s="8" t="s">
        <v>833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398</v>
      </c>
      <c r="B468" s="8" t="s">
        <v>175</v>
      </c>
      <c r="C468" s="8" t="s">
        <v>834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398</v>
      </c>
      <c r="B469" s="8" t="s">
        <v>118</v>
      </c>
      <c r="C469" s="8" t="s">
        <v>835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398</v>
      </c>
      <c r="B470" s="8" t="s">
        <v>134</v>
      </c>
      <c r="C470" s="8" t="s">
        <v>835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398</v>
      </c>
      <c r="B471" s="8" t="s">
        <v>146</v>
      </c>
      <c r="C471" s="8" t="s">
        <v>835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398</v>
      </c>
      <c r="B472" s="8" t="s">
        <v>145</v>
      </c>
      <c r="C472" s="8" t="s">
        <v>835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398</v>
      </c>
      <c r="B473" s="8" t="s">
        <v>154</v>
      </c>
      <c r="C473" s="8" t="s">
        <v>836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398</v>
      </c>
      <c r="B474" s="8" t="s">
        <v>154</v>
      </c>
      <c r="C474" s="8" t="s">
        <v>837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398</v>
      </c>
      <c r="B475" s="8" t="s">
        <v>154</v>
      </c>
      <c r="C475" s="8" t="s">
        <v>838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398</v>
      </c>
      <c r="B476" s="8" t="s">
        <v>154</v>
      </c>
      <c r="C476" s="8" t="s">
        <v>839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398</v>
      </c>
      <c r="B477" s="8" t="s">
        <v>247</v>
      </c>
      <c r="C477" s="8" t="s">
        <v>840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398</v>
      </c>
      <c r="B478" s="8" t="s">
        <v>247</v>
      </c>
      <c r="C478" s="8" t="s">
        <v>841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398</v>
      </c>
      <c r="B479" s="8" t="s">
        <v>247</v>
      </c>
      <c r="C479" s="8" t="s">
        <v>842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398</v>
      </c>
      <c r="B480" s="8" t="s">
        <v>247</v>
      </c>
      <c r="C480" s="8" t="s">
        <v>843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398</v>
      </c>
      <c r="B481" s="8" t="s">
        <v>172</v>
      </c>
      <c r="C481" s="8" t="s">
        <v>663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398</v>
      </c>
      <c r="B482" s="8" t="s">
        <v>172</v>
      </c>
      <c r="C482" s="8" t="s">
        <v>662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398</v>
      </c>
      <c r="B483" s="8" t="s">
        <v>172</v>
      </c>
      <c r="C483" s="8" t="s">
        <v>664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398</v>
      </c>
      <c r="B484" s="8" t="s">
        <v>172</v>
      </c>
      <c r="C484" s="8" t="s">
        <v>661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398</v>
      </c>
      <c r="B485" s="8" t="s">
        <v>172</v>
      </c>
      <c r="C485" s="8" t="s">
        <v>844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398</v>
      </c>
      <c r="B486" s="8" t="s">
        <v>300</v>
      </c>
      <c r="C486" s="8" t="s">
        <v>845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398</v>
      </c>
      <c r="B487" s="8" t="s">
        <v>300</v>
      </c>
      <c r="C487" s="8" t="s">
        <v>846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398</v>
      </c>
      <c r="B488" s="8" t="s">
        <v>300</v>
      </c>
      <c r="C488" s="8" t="s">
        <v>847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398</v>
      </c>
      <c r="B489" s="8" t="s">
        <v>300</v>
      </c>
      <c r="C489" s="8" t="s">
        <v>848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398</v>
      </c>
      <c r="B490" s="8" t="s">
        <v>228</v>
      </c>
      <c r="C490" s="8" t="s">
        <v>849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398</v>
      </c>
      <c r="B491" s="8" t="s">
        <v>228</v>
      </c>
      <c r="C491" s="8" t="s">
        <v>850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398</v>
      </c>
      <c r="B492" s="8" t="s">
        <v>228</v>
      </c>
      <c r="C492" s="8" t="s">
        <v>851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398</v>
      </c>
      <c r="B493" s="8" t="s">
        <v>228</v>
      </c>
      <c r="C493" s="8" t="s">
        <v>852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398</v>
      </c>
      <c r="B494" s="8" t="s">
        <v>366</v>
      </c>
      <c r="C494" s="8" t="s">
        <v>853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398</v>
      </c>
      <c r="B495" s="8" t="s">
        <v>370</v>
      </c>
      <c r="C495" s="8" t="s">
        <v>853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398</v>
      </c>
      <c r="B496" s="8" t="s">
        <v>369</v>
      </c>
      <c r="C496" s="8" t="s">
        <v>853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398</v>
      </c>
      <c r="B497" s="8" t="s">
        <v>371</v>
      </c>
      <c r="C497" s="8" t="s">
        <v>853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398</v>
      </c>
      <c r="B498" s="8" t="s">
        <v>139</v>
      </c>
      <c r="C498" s="8" t="s">
        <v>854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398</v>
      </c>
      <c r="B499" s="8" t="s">
        <v>139</v>
      </c>
      <c r="C499" s="8" t="s">
        <v>855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398</v>
      </c>
      <c r="B500" s="8" t="s">
        <v>139</v>
      </c>
      <c r="C500" s="8" t="s">
        <v>856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398</v>
      </c>
      <c r="B501" s="8" t="s">
        <v>139</v>
      </c>
      <c r="C501" s="8" t="s">
        <v>857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398</v>
      </c>
      <c r="B502" s="8" t="s">
        <v>139</v>
      </c>
      <c r="C502" s="8" t="s">
        <v>858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398</v>
      </c>
      <c r="B503" s="8" t="s">
        <v>299</v>
      </c>
      <c r="C503" s="8" t="s">
        <v>859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398</v>
      </c>
      <c r="B504" s="8" t="s">
        <v>283</v>
      </c>
      <c r="C504" s="8" t="s">
        <v>860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398</v>
      </c>
      <c r="B505" s="8" t="s">
        <v>283</v>
      </c>
      <c r="C505" s="8" t="s">
        <v>861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398</v>
      </c>
      <c r="B506" s="8" t="s">
        <v>282</v>
      </c>
      <c r="C506" s="8" t="s">
        <v>862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398</v>
      </c>
      <c r="B507" s="8" t="s">
        <v>282</v>
      </c>
      <c r="C507" s="8" t="s">
        <v>863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398</v>
      </c>
      <c r="B508" s="8" t="s">
        <v>281</v>
      </c>
      <c r="C508" s="8" t="s">
        <v>864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398</v>
      </c>
      <c r="B509" s="8" t="s">
        <v>281</v>
      </c>
      <c r="C509" s="8" t="s">
        <v>865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398</v>
      </c>
      <c r="B510" s="8" t="s">
        <v>284</v>
      </c>
      <c r="C510" s="8" t="s">
        <v>866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398</v>
      </c>
      <c r="B511" s="8" t="s">
        <v>284</v>
      </c>
      <c r="C511" s="8" t="s">
        <v>867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398</v>
      </c>
      <c r="B512" s="8" t="s">
        <v>18</v>
      </c>
      <c r="C512" s="8" t="s">
        <v>868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398</v>
      </c>
      <c r="B513" s="8" t="s">
        <v>18</v>
      </c>
      <c r="C513" s="8" t="s">
        <v>869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398</v>
      </c>
      <c r="B514" s="8" t="s">
        <v>18</v>
      </c>
      <c r="C514" s="8" t="s">
        <v>870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398</v>
      </c>
      <c r="B515" s="8" t="s">
        <v>241</v>
      </c>
      <c r="C515" s="8" t="s">
        <v>871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398</v>
      </c>
      <c r="B516" s="8" t="s">
        <v>234</v>
      </c>
      <c r="C516" s="8" t="s">
        <v>871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398</v>
      </c>
      <c r="B517" s="8" t="s">
        <v>242</v>
      </c>
      <c r="C517" s="8" t="s">
        <v>871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398</v>
      </c>
      <c r="B518" s="8" t="s">
        <v>265</v>
      </c>
      <c r="C518" s="8" t="s">
        <v>871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398</v>
      </c>
      <c r="B519" s="8" t="s">
        <v>236</v>
      </c>
      <c r="C519" s="8" t="s">
        <v>872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398</v>
      </c>
      <c r="B520" s="8" t="s">
        <v>232</v>
      </c>
      <c r="C520" s="8" t="s">
        <v>872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398</v>
      </c>
      <c r="B521" s="8" t="s">
        <v>260</v>
      </c>
      <c r="C521" s="8" t="s">
        <v>872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398</v>
      </c>
      <c r="B522" s="8" t="s">
        <v>250</v>
      </c>
      <c r="C522" s="8" t="s">
        <v>872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398</v>
      </c>
      <c r="B523" s="8" t="s">
        <v>153</v>
      </c>
      <c r="C523" s="8" t="s">
        <v>873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398</v>
      </c>
      <c r="B524" s="8" t="s">
        <v>153</v>
      </c>
      <c r="C524" s="8" t="s">
        <v>874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398</v>
      </c>
      <c r="B525" s="8" t="s">
        <v>271</v>
      </c>
      <c r="C525" s="8" t="s">
        <v>875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398</v>
      </c>
      <c r="B526" s="8" t="s">
        <v>84</v>
      </c>
      <c r="C526" s="8" t="s">
        <v>876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398</v>
      </c>
      <c r="B527" s="8" t="s">
        <v>166</v>
      </c>
      <c r="C527" s="8" t="s">
        <v>877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398</v>
      </c>
      <c r="B528" s="8" t="s">
        <v>84</v>
      </c>
      <c r="C528" s="8" t="s">
        <v>878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398</v>
      </c>
      <c r="B529" s="8" t="s">
        <v>337</v>
      </c>
      <c r="C529" s="8" t="s">
        <v>879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398</v>
      </c>
      <c r="B530" s="8" t="s">
        <v>87</v>
      </c>
      <c r="C530" s="8" t="s">
        <v>880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398</v>
      </c>
      <c r="B531" s="8" t="s">
        <v>87</v>
      </c>
      <c r="C531" s="8" t="s">
        <v>881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398</v>
      </c>
      <c r="B532" s="8" t="s">
        <v>87</v>
      </c>
      <c r="C532" s="8" t="s">
        <v>882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398</v>
      </c>
      <c r="B533" s="8" t="s">
        <v>87</v>
      </c>
      <c r="C533" s="8" t="s">
        <v>883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398</v>
      </c>
      <c r="B534" s="8" t="s">
        <v>87</v>
      </c>
      <c r="C534" s="8" t="s">
        <v>884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398</v>
      </c>
      <c r="B535" s="8" t="s">
        <v>79</v>
      </c>
      <c r="C535" s="8" t="s">
        <v>885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398</v>
      </c>
      <c r="B536" s="8" t="s">
        <v>79</v>
      </c>
      <c r="C536" s="8" t="s">
        <v>886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398</v>
      </c>
      <c r="B537" s="8" t="s">
        <v>79</v>
      </c>
      <c r="C537" s="8" t="s">
        <v>887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398</v>
      </c>
      <c r="B538" s="8" t="s">
        <v>79</v>
      </c>
      <c r="C538" s="8" t="s">
        <v>888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398</v>
      </c>
      <c r="B539" s="8" t="s">
        <v>79</v>
      </c>
      <c r="C539" s="8" t="s">
        <v>889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398</v>
      </c>
      <c r="B540" s="8" t="s">
        <v>131</v>
      </c>
      <c r="C540" s="8" t="s">
        <v>890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398</v>
      </c>
      <c r="B541" s="8" t="s">
        <v>131</v>
      </c>
      <c r="C541" s="8" t="s">
        <v>891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398</v>
      </c>
      <c r="B542" s="8" t="s">
        <v>131</v>
      </c>
      <c r="C542" s="8" t="s">
        <v>892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398</v>
      </c>
      <c r="B543" s="8" t="s">
        <v>131</v>
      </c>
      <c r="C543" s="8" t="s">
        <v>893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398</v>
      </c>
      <c r="B544" s="8" t="s">
        <v>131</v>
      </c>
      <c r="C544" s="8" t="s">
        <v>894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398</v>
      </c>
      <c r="B545" s="8" t="s">
        <v>303</v>
      </c>
      <c r="C545" s="8" t="s">
        <v>895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398</v>
      </c>
      <c r="B546" s="8" t="s">
        <v>335</v>
      </c>
      <c r="C546" s="8" t="s">
        <v>896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398</v>
      </c>
      <c r="B547" s="8" t="s">
        <v>287</v>
      </c>
      <c r="C547" s="8" t="s">
        <v>897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398</v>
      </c>
      <c r="B548" s="8" t="s">
        <v>189</v>
      </c>
      <c r="C548" s="8" t="s">
        <v>898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398</v>
      </c>
      <c r="B549" s="8" t="s">
        <v>273</v>
      </c>
      <c r="C549" s="8" t="s">
        <v>899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398</v>
      </c>
      <c r="B550" s="8" t="s">
        <v>202</v>
      </c>
      <c r="C550" s="8" t="s">
        <v>900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398</v>
      </c>
      <c r="B551" s="8" t="s">
        <v>202</v>
      </c>
      <c r="C551" s="8" t="s">
        <v>901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398</v>
      </c>
      <c r="B552" s="8" t="s">
        <v>202</v>
      </c>
      <c r="C552" s="8" t="s">
        <v>902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398</v>
      </c>
      <c r="B553" s="8" t="s">
        <v>202</v>
      </c>
      <c r="C553" s="8" t="s">
        <v>903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398</v>
      </c>
      <c r="B554" s="8" t="s">
        <v>186</v>
      </c>
      <c r="C554" s="8" t="s">
        <v>904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398</v>
      </c>
      <c r="B555" s="8" t="s">
        <v>163</v>
      </c>
      <c r="C555" s="8" t="s">
        <v>905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398</v>
      </c>
      <c r="B556" s="8" t="s">
        <v>152</v>
      </c>
      <c r="C556" s="8" t="s">
        <v>906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398</v>
      </c>
      <c r="B557" s="8" t="s">
        <v>193</v>
      </c>
      <c r="C557" s="8" t="s">
        <v>907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398</v>
      </c>
      <c r="B558" s="8" t="s">
        <v>322</v>
      </c>
      <c r="C558" s="8" t="s">
        <v>908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398</v>
      </c>
      <c r="B559" s="8" t="s">
        <v>256</v>
      </c>
      <c r="C559" s="8" t="s">
        <v>909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398</v>
      </c>
      <c r="B560" s="8" t="s">
        <v>327</v>
      </c>
      <c r="C560" s="8" t="s">
        <v>910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398</v>
      </c>
      <c r="B561" s="8" t="s">
        <v>92</v>
      </c>
      <c r="C561" s="8" t="s">
        <v>911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398</v>
      </c>
      <c r="B562" s="8" t="s">
        <v>92</v>
      </c>
      <c r="C562" s="8" t="s">
        <v>912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398</v>
      </c>
      <c r="B563" s="8" t="s">
        <v>92</v>
      </c>
      <c r="C563" s="8" t="s">
        <v>913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398</v>
      </c>
      <c r="B564" s="8" t="s">
        <v>92</v>
      </c>
      <c r="C564" s="8" t="s">
        <v>914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398</v>
      </c>
      <c r="B565" s="8" t="s">
        <v>243</v>
      </c>
      <c r="C565" s="8" t="s">
        <v>915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398</v>
      </c>
      <c r="B566" s="8" t="s">
        <v>331</v>
      </c>
      <c r="C566" s="8" t="s">
        <v>915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398</v>
      </c>
      <c r="B567" s="8" t="s">
        <v>243</v>
      </c>
      <c r="C567" s="8" t="s">
        <v>916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398</v>
      </c>
      <c r="B568" s="8" t="s">
        <v>329</v>
      </c>
      <c r="C568" s="8" t="s">
        <v>916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398</v>
      </c>
      <c r="B569" s="8" t="s">
        <v>81</v>
      </c>
      <c r="C569" s="8" t="s">
        <v>917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398</v>
      </c>
      <c r="B570" s="8" t="s">
        <v>138</v>
      </c>
      <c r="C570" s="8" t="s">
        <v>918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398</v>
      </c>
      <c r="B571" s="8" t="s">
        <v>99</v>
      </c>
      <c r="C571" s="8" t="s">
        <v>919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398</v>
      </c>
      <c r="B572" s="8" t="s">
        <v>136</v>
      </c>
      <c r="C572" s="8" t="s">
        <v>524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398</v>
      </c>
      <c r="B573" s="8" t="s">
        <v>205</v>
      </c>
      <c r="C573" s="8" t="s">
        <v>920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398</v>
      </c>
      <c r="B574" s="8" t="s">
        <v>140</v>
      </c>
      <c r="C574" s="8" t="s">
        <v>921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398</v>
      </c>
      <c r="B575" s="8" t="s">
        <v>140</v>
      </c>
      <c r="C575" s="8" t="s">
        <v>922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398</v>
      </c>
      <c r="B576" s="8" t="s">
        <v>140</v>
      </c>
      <c r="C576" s="8" t="s">
        <v>923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398</v>
      </c>
      <c r="B577" s="8" t="s">
        <v>277</v>
      </c>
      <c r="C577" s="8" t="s">
        <v>924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398</v>
      </c>
      <c r="B578" s="8" t="s">
        <v>160</v>
      </c>
      <c r="C578" s="8" t="s">
        <v>924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398</v>
      </c>
      <c r="B579" s="8" t="s">
        <v>168</v>
      </c>
      <c r="C579" s="8" t="s">
        <v>924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398</v>
      </c>
      <c r="B580" s="8" t="s">
        <v>277</v>
      </c>
      <c r="C580" s="8" t="s">
        <v>925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398</v>
      </c>
      <c r="B581" s="8" t="s">
        <v>160</v>
      </c>
      <c r="C581" s="8" t="s">
        <v>925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398</v>
      </c>
      <c r="B582" s="8" t="s">
        <v>168</v>
      </c>
      <c r="C582" s="8" t="s">
        <v>925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398</v>
      </c>
      <c r="B583" s="8" t="s">
        <v>83</v>
      </c>
      <c r="C583" s="8" t="s">
        <v>926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398</v>
      </c>
      <c r="B584" s="8" t="s">
        <v>122</v>
      </c>
      <c r="C584" s="8" t="s">
        <v>927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398</v>
      </c>
      <c r="B585" s="8" t="s">
        <v>122</v>
      </c>
      <c r="C585" s="8" t="s">
        <v>928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398</v>
      </c>
      <c r="B586" s="8" t="s">
        <v>90</v>
      </c>
      <c r="C586" s="8" t="s">
        <v>929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398</v>
      </c>
      <c r="B587" s="8" t="s">
        <v>72</v>
      </c>
      <c r="C587" s="8" t="s">
        <v>930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398</v>
      </c>
      <c r="B588" s="8" t="s">
        <v>72</v>
      </c>
      <c r="C588" s="8" t="s">
        <v>931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398</v>
      </c>
      <c r="B589" s="8" t="s">
        <v>72</v>
      </c>
      <c r="C589" s="8" t="s">
        <v>932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398</v>
      </c>
      <c r="B590" s="8" t="s">
        <v>72</v>
      </c>
      <c r="C590" s="8" t="s">
        <v>933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398</v>
      </c>
      <c r="B591" s="8" t="s">
        <v>72</v>
      </c>
      <c r="C591" s="8" t="s">
        <v>934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935</v>
      </c>
      <c r="B592" s="8" t="s">
        <v>120</v>
      </c>
      <c r="C592" s="8" t="s">
        <v>399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935</v>
      </c>
      <c r="B593" s="8" t="s">
        <v>120</v>
      </c>
      <c r="C593" s="8" t="s">
        <v>400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935</v>
      </c>
      <c r="B594" s="8" t="s">
        <v>224</v>
      </c>
      <c r="C594" s="8" t="s">
        <v>401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935</v>
      </c>
      <c r="B595" s="8" t="s">
        <v>263</v>
      </c>
      <c r="C595" s="8" t="s">
        <v>402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935</v>
      </c>
      <c r="B596" s="8" t="s">
        <v>333</v>
      </c>
      <c r="C596" s="8" t="s">
        <v>403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935</v>
      </c>
      <c r="B597" s="8" t="s">
        <v>344</v>
      </c>
      <c r="C597" s="8" t="s">
        <v>404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935</v>
      </c>
      <c r="B598" s="8" t="s">
        <v>330</v>
      </c>
      <c r="C598" s="8" t="s">
        <v>405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935</v>
      </c>
      <c r="B599" s="8" t="s">
        <v>245</v>
      </c>
      <c r="C599" s="8" t="s">
        <v>406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935</v>
      </c>
      <c r="B600" s="8" t="s">
        <v>156</v>
      </c>
      <c r="C600" s="8" t="s">
        <v>407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935</v>
      </c>
      <c r="B601" s="8" t="s">
        <v>144</v>
      </c>
      <c r="C601" s="8" t="s">
        <v>408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935</v>
      </c>
      <c r="B602" s="8" t="s">
        <v>144</v>
      </c>
      <c r="C602" s="8" t="s">
        <v>409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935</v>
      </c>
      <c r="B603" s="8" t="s">
        <v>144</v>
      </c>
      <c r="C603" s="8" t="s">
        <v>410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935</v>
      </c>
      <c r="B604" s="8" t="s">
        <v>324</v>
      </c>
      <c r="C604" s="8" t="s">
        <v>411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935</v>
      </c>
      <c r="B605" s="8" t="s">
        <v>324</v>
      </c>
      <c r="C605" s="8" t="s">
        <v>412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935</v>
      </c>
      <c r="B606" s="8" t="s">
        <v>252</v>
      </c>
      <c r="C606" s="8" t="s">
        <v>413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935</v>
      </c>
      <c r="B607" s="8" t="s">
        <v>293</v>
      </c>
      <c r="C607" s="8" t="s">
        <v>414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935</v>
      </c>
      <c r="B608" s="8" t="s">
        <v>293</v>
      </c>
      <c r="C608" s="8" t="s">
        <v>415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935</v>
      </c>
      <c r="B609" s="8" t="s">
        <v>293</v>
      </c>
      <c r="C609" s="8" t="s">
        <v>416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935</v>
      </c>
      <c r="B610" s="8" t="s">
        <v>376</v>
      </c>
      <c r="C610" s="8" t="s">
        <v>417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935</v>
      </c>
      <c r="B611" s="8" t="s">
        <v>117</v>
      </c>
      <c r="C611" s="8" t="s">
        <v>408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935</v>
      </c>
      <c r="B612" s="8" t="s">
        <v>117</v>
      </c>
      <c r="C612" s="8" t="s">
        <v>418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935</v>
      </c>
      <c r="B613" s="8" t="s">
        <v>117</v>
      </c>
      <c r="C613" s="8" t="s">
        <v>419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935</v>
      </c>
      <c r="B614" s="8" t="s">
        <v>159</v>
      </c>
      <c r="C614" s="8" t="s">
        <v>420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935</v>
      </c>
      <c r="B615" s="8" t="s">
        <v>159</v>
      </c>
      <c r="C615" s="8" t="s">
        <v>421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935</v>
      </c>
      <c r="B616" s="8" t="s">
        <v>159</v>
      </c>
      <c r="C616" s="8" t="s">
        <v>422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935</v>
      </c>
      <c r="B617" s="8" t="s">
        <v>180</v>
      </c>
      <c r="C617" s="8" t="s">
        <v>423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935</v>
      </c>
      <c r="B618" s="8" t="s">
        <v>180</v>
      </c>
      <c r="C618" s="8" t="s">
        <v>424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935</v>
      </c>
      <c r="B619" s="8" t="s">
        <v>180</v>
      </c>
      <c r="C619" s="8" t="s">
        <v>425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935</v>
      </c>
      <c r="B620" s="8" t="s">
        <v>296</v>
      </c>
      <c r="C620" s="8" t="s">
        <v>426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935</v>
      </c>
      <c r="B621" s="8" t="s">
        <v>356</v>
      </c>
      <c r="C621" s="8" t="s">
        <v>427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935</v>
      </c>
      <c r="B622" s="8" t="s">
        <v>356</v>
      </c>
      <c r="C622" s="8" t="s">
        <v>428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935</v>
      </c>
      <c r="B623" s="8" t="s">
        <v>356</v>
      </c>
      <c r="C623" s="8" t="s">
        <v>429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935</v>
      </c>
      <c r="B624" s="8" t="s">
        <v>356</v>
      </c>
      <c r="C624" s="8" t="s">
        <v>430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935</v>
      </c>
      <c r="B625" s="8" t="s">
        <v>173</v>
      </c>
      <c r="C625" s="8" t="s">
        <v>431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935</v>
      </c>
      <c r="B626" s="8" t="s">
        <v>173</v>
      </c>
      <c r="C626" s="8" t="s">
        <v>432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935</v>
      </c>
      <c r="B627" s="8" t="s">
        <v>173</v>
      </c>
      <c r="C627" s="8" t="s">
        <v>433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935</v>
      </c>
      <c r="B628" s="8" t="s">
        <v>173</v>
      </c>
      <c r="C628" s="8" t="s">
        <v>434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935</v>
      </c>
      <c r="B629" s="8" t="s">
        <v>173</v>
      </c>
      <c r="C629" s="8" t="s">
        <v>435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935</v>
      </c>
      <c r="B630" s="8" t="s">
        <v>142</v>
      </c>
      <c r="C630" s="8" t="s">
        <v>436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935</v>
      </c>
      <c r="B631" s="8" t="s">
        <v>142</v>
      </c>
      <c r="C631" s="8" t="s">
        <v>437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935</v>
      </c>
      <c r="B632" s="8" t="s">
        <v>142</v>
      </c>
      <c r="C632" s="8" t="s">
        <v>438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935</v>
      </c>
      <c r="B633" s="8" t="s">
        <v>142</v>
      </c>
      <c r="C633" s="8" t="s">
        <v>439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935</v>
      </c>
      <c r="B634" s="8" t="s">
        <v>278</v>
      </c>
      <c r="C634" s="8" t="s">
        <v>441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935</v>
      </c>
      <c r="B635" s="8" t="s">
        <v>231</v>
      </c>
      <c r="C635" s="8" t="s">
        <v>442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935</v>
      </c>
      <c r="B636" s="8" t="s">
        <v>231</v>
      </c>
      <c r="C636" s="8" t="s">
        <v>443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935</v>
      </c>
      <c r="B637" s="8" t="s">
        <v>231</v>
      </c>
      <c r="C637" s="8" t="s">
        <v>444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935</v>
      </c>
      <c r="B638" s="8" t="s">
        <v>231</v>
      </c>
      <c r="C638" s="8" t="s">
        <v>445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935</v>
      </c>
      <c r="B639" s="8" t="s">
        <v>231</v>
      </c>
      <c r="C639" s="8" t="s">
        <v>446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935</v>
      </c>
      <c r="B640" s="8" t="s">
        <v>97</v>
      </c>
      <c r="C640" s="8" t="s">
        <v>447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935</v>
      </c>
      <c r="B641" s="8" t="s">
        <v>97</v>
      </c>
      <c r="C641" s="8" t="s">
        <v>448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935</v>
      </c>
      <c r="B642" s="8" t="s">
        <v>97</v>
      </c>
      <c r="C642" s="8" t="s">
        <v>449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935</v>
      </c>
      <c r="B643" s="8" t="s">
        <v>97</v>
      </c>
      <c r="C643" s="8" t="s">
        <v>450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935</v>
      </c>
      <c r="B644" s="8" t="s">
        <v>97</v>
      </c>
      <c r="C644" s="8" t="s">
        <v>451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935</v>
      </c>
      <c r="B645" s="8" t="s">
        <v>378</v>
      </c>
      <c r="C645" s="8" t="s">
        <v>452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935</v>
      </c>
      <c r="B646" s="8" t="s">
        <v>222</v>
      </c>
      <c r="C646" s="8" t="s">
        <v>453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935</v>
      </c>
      <c r="B647" s="8" t="s">
        <v>222</v>
      </c>
      <c r="C647" s="8" t="s">
        <v>454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935</v>
      </c>
      <c r="B648" s="8" t="s">
        <v>93</v>
      </c>
      <c r="C648" s="8" t="s">
        <v>455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935</v>
      </c>
      <c r="B649" s="8" t="s">
        <v>93</v>
      </c>
      <c r="C649" s="8" t="s">
        <v>456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935</v>
      </c>
      <c r="B650" s="8" t="s">
        <v>93</v>
      </c>
      <c r="C650" s="8" t="s">
        <v>457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935</v>
      </c>
      <c r="B651" s="8" t="s">
        <v>93</v>
      </c>
      <c r="C651" s="8" t="s">
        <v>458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935</v>
      </c>
      <c r="B652" s="8" t="s">
        <v>93</v>
      </c>
      <c r="C652" s="8" t="s">
        <v>459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935</v>
      </c>
      <c r="B653" s="8" t="s">
        <v>67</v>
      </c>
      <c r="C653" s="8" t="s">
        <v>460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935</v>
      </c>
      <c r="B654" s="8" t="s">
        <v>67</v>
      </c>
      <c r="C654" s="8" t="s">
        <v>461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935</v>
      </c>
      <c r="B655" s="8" t="s">
        <v>67</v>
      </c>
      <c r="C655" s="8" t="s">
        <v>462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935</v>
      </c>
      <c r="B656" s="8" t="s">
        <v>67</v>
      </c>
      <c r="C656" s="8" t="s">
        <v>463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935</v>
      </c>
      <c r="B657" s="8" t="s">
        <v>269</v>
      </c>
      <c r="C657" s="8" t="s">
        <v>464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935</v>
      </c>
      <c r="B658" s="8" t="s">
        <v>269</v>
      </c>
      <c r="C658" s="8" t="s">
        <v>465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935</v>
      </c>
      <c r="B659" s="8" t="s">
        <v>269</v>
      </c>
      <c r="C659" s="8" t="s">
        <v>466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935</v>
      </c>
      <c r="B660" s="8" t="s">
        <v>269</v>
      </c>
      <c r="C660" s="8" t="s">
        <v>467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935</v>
      </c>
      <c r="B661" s="8" t="s">
        <v>294</v>
      </c>
      <c r="C661" s="8" t="s">
        <v>468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935</v>
      </c>
      <c r="B662" s="8" t="s">
        <v>253</v>
      </c>
      <c r="C662" s="8" t="s">
        <v>469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935</v>
      </c>
      <c r="B663" s="8" t="s">
        <v>253</v>
      </c>
      <c r="C663" s="8" t="s">
        <v>470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935</v>
      </c>
      <c r="B664" s="8" t="s">
        <v>253</v>
      </c>
      <c r="C664" s="8" t="s">
        <v>471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935</v>
      </c>
      <c r="B665" s="8" t="s">
        <v>253</v>
      </c>
      <c r="C665" s="8" t="s">
        <v>472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935</v>
      </c>
      <c r="B666" s="8" t="s">
        <v>291</v>
      </c>
      <c r="C666" s="8" t="s">
        <v>473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935</v>
      </c>
      <c r="B667" s="8" t="s">
        <v>291</v>
      </c>
      <c r="C667" s="8" t="s">
        <v>474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935</v>
      </c>
      <c r="B668" s="8" t="s">
        <v>181</v>
      </c>
      <c r="C668" s="8" t="s">
        <v>475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935</v>
      </c>
      <c r="B669" s="8" t="s">
        <v>181</v>
      </c>
      <c r="C669" s="8" t="s">
        <v>476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935</v>
      </c>
      <c r="B670" s="8" t="s">
        <v>181</v>
      </c>
      <c r="C670" s="8" t="s">
        <v>477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935</v>
      </c>
      <c r="B671" s="8" t="s">
        <v>181</v>
      </c>
      <c r="C671" s="8" t="s">
        <v>478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935</v>
      </c>
      <c r="B672" s="8" t="s">
        <v>306</v>
      </c>
      <c r="C672" s="8" t="s">
        <v>479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935</v>
      </c>
      <c r="B673" s="8" t="s">
        <v>308</v>
      </c>
      <c r="C673" s="8" t="s">
        <v>480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935</v>
      </c>
      <c r="B674" s="8" t="s">
        <v>377</v>
      </c>
      <c r="C674" s="8" t="s">
        <v>479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935</v>
      </c>
      <c r="B675" s="8" t="s">
        <v>197</v>
      </c>
      <c r="C675" s="8" t="s">
        <v>481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935</v>
      </c>
      <c r="B676" s="8" t="s">
        <v>223</v>
      </c>
      <c r="C676" s="8" t="s">
        <v>482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935</v>
      </c>
      <c r="B677" s="8" t="s">
        <v>223</v>
      </c>
      <c r="C677" s="8" t="s">
        <v>483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935</v>
      </c>
      <c r="B678" s="8" t="s">
        <v>223</v>
      </c>
      <c r="C678" s="8" t="s">
        <v>484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935</v>
      </c>
      <c r="B679" s="8" t="s">
        <v>223</v>
      </c>
      <c r="C679" s="8" t="s">
        <v>485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935</v>
      </c>
      <c r="B680" s="8" t="s">
        <v>223</v>
      </c>
      <c r="C680" s="8" t="s">
        <v>486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935</v>
      </c>
      <c r="B681" s="8" t="s">
        <v>203</v>
      </c>
      <c r="C681" s="8" t="s">
        <v>487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935</v>
      </c>
      <c r="B682" s="8" t="s">
        <v>203</v>
      </c>
      <c r="C682" s="8" t="s">
        <v>488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935</v>
      </c>
      <c r="B683" s="8" t="s">
        <v>127</v>
      </c>
      <c r="C683" s="8" t="s">
        <v>489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935</v>
      </c>
      <c r="B684" s="8" t="s">
        <v>127</v>
      </c>
      <c r="C684" s="8" t="s">
        <v>490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935</v>
      </c>
      <c r="B685" s="8" t="s">
        <v>85</v>
      </c>
      <c r="C685" s="8" t="s">
        <v>491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935</v>
      </c>
      <c r="B686" s="8" t="s">
        <v>114</v>
      </c>
      <c r="C686" s="8" t="s">
        <v>491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935</v>
      </c>
      <c r="B687" s="8" t="s">
        <v>321</v>
      </c>
      <c r="C687" s="8" t="s">
        <v>492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935</v>
      </c>
      <c r="B688" s="8" t="s">
        <v>285</v>
      </c>
      <c r="C688" s="8" t="s">
        <v>493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935</v>
      </c>
      <c r="B689" s="8" t="s">
        <v>126</v>
      </c>
      <c r="C689" s="8" t="s">
        <v>494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935</v>
      </c>
      <c r="B690" s="8" t="s">
        <v>126</v>
      </c>
      <c r="C690" s="8" t="s">
        <v>495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935</v>
      </c>
      <c r="B691" s="8" t="s">
        <v>126</v>
      </c>
      <c r="C691" s="8" t="s">
        <v>496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935</v>
      </c>
      <c r="B692" s="8" t="s">
        <v>126</v>
      </c>
      <c r="C692" s="8" t="s">
        <v>497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935</v>
      </c>
      <c r="B693" s="8" t="s">
        <v>262</v>
      </c>
      <c r="C693" s="8" t="s">
        <v>498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935</v>
      </c>
      <c r="B694" s="8" t="s">
        <v>262</v>
      </c>
      <c r="C694" s="8" t="s">
        <v>499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935</v>
      </c>
      <c r="B695" s="8" t="s">
        <v>249</v>
      </c>
      <c r="C695" s="8" t="s">
        <v>500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935</v>
      </c>
      <c r="B696" s="8" t="s">
        <v>309</v>
      </c>
      <c r="C696" s="8" t="s">
        <v>501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935</v>
      </c>
      <c r="B697" s="8" t="s">
        <v>249</v>
      </c>
      <c r="C697" s="8" t="s">
        <v>502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935</v>
      </c>
      <c r="B698" s="8" t="s">
        <v>126</v>
      </c>
      <c r="C698" s="8" t="s">
        <v>503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935</v>
      </c>
      <c r="B699" s="8" t="s">
        <v>161</v>
      </c>
      <c r="C699" s="8" t="s">
        <v>504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935</v>
      </c>
      <c r="B700" s="8" t="s">
        <v>161</v>
      </c>
      <c r="C700" s="8" t="s">
        <v>505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935</v>
      </c>
      <c r="B701" s="8" t="s">
        <v>304</v>
      </c>
      <c r="C701" s="8" t="s">
        <v>506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935</v>
      </c>
      <c r="B702" s="8" t="s">
        <v>209</v>
      </c>
      <c r="C702" s="8" t="s">
        <v>507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935</v>
      </c>
      <c r="B703" s="8" t="s">
        <v>209</v>
      </c>
      <c r="C703" s="8" t="s">
        <v>508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935</v>
      </c>
      <c r="B704" s="8" t="s">
        <v>255</v>
      </c>
      <c r="C704" s="8" t="s">
        <v>509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935</v>
      </c>
      <c r="B705" s="8" t="s">
        <v>255</v>
      </c>
      <c r="C705" s="8" t="s">
        <v>510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935</v>
      </c>
      <c r="B706" s="8" t="s">
        <v>255</v>
      </c>
      <c r="C706" s="8" t="s">
        <v>511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935</v>
      </c>
      <c r="B707" s="8" t="s">
        <v>255</v>
      </c>
      <c r="C707" s="8" t="s">
        <v>512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935</v>
      </c>
      <c r="B708" s="8" t="s">
        <v>255</v>
      </c>
      <c r="C708" s="8" t="s">
        <v>513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935</v>
      </c>
      <c r="B709" s="8" t="s">
        <v>215</v>
      </c>
      <c r="C709" s="8" t="s">
        <v>514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935</v>
      </c>
      <c r="B710" s="8" t="s">
        <v>215</v>
      </c>
      <c r="C710" s="8" t="s">
        <v>515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935</v>
      </c>
      <c r="B711" s="8" t="s">
        <v>215</v>
      </c>
      <c r="C711" s="8" t="s">
        <v>516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935</v>
      </c>
      <c r="B712" s="8" t="s">
        <v>215</v>
      </c>
      <c r="C712" s="8" t="s">
        <v>517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935</v>
      </c>
      <c r="B713" s="8" t="s">
        <v>215</v>
      </c>
      <c r="C713" s="8" t="s">
        <v>518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935</v>
      </c>
      <c r="B714" s="8" t="s">
        <v>97</v>
      </c>
      <c r="C714" s="8" t="s">
        <v>519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935</v>
      </c>
      <c r="B715" s="8" t="s">
        <v>210</v>
      </c>
      <c r="C715" s="8" t="s">
        <v>520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935</v>
      </c>
      <c r="B716" s="8" t="s">
        <v>210</v>
      </c>
      <c r="C716" s="8" t="s">
        <v>521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935</v>
      </c>
      <c r="B717" s="8" t="s">
        <v>210</v>
      </c>
      <c r="C717" s="8" t="s">
        <v>522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935</v>
      </c>
      <c r="B718" s="8" t="s">
        <v>210</v>
      </c>
      <c r="C718" s="8" t="s">
        <v>523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935</v>
      </c>
      <c r="B719" s="8" t="s">
        <v>110</v>
      </c>
      <c r="C719" s="8" t="s">
        <v>524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935</v>
      </c>
      <c r="B720" s="8" t="s">
        <v>94</v>
      </c>
      <c r="C720" s="8" t="s">
        <v>525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935</v>
      </c>
      <c r="B721" s="8" t="s">
        <v>221</v>
      </c>
      <c r="C721" s="8" t="s">
        <v>526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935</v>
      </c>
      <c r="B722" s="8" t="s">
        <v>71</v>
      </c>
      <c r="C722" s="8" t="s">
        <v>527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935</v>
      </c>
      <c r="B723" s="8" t="s">
        <v>129</v>
      </c>
      <c r="C723" s="8" t="s">
        <v>528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935</v>
      </c>
      <c r="B724" s="8" t="s">
        <v>91</v>
      </c>
      <c r="C724" s="8" t="s">
        <v>529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935</v>
      </c>
      <c r="B725" s="8" t="s">
        <v>151</v>
      </c>
      <c r="C725" s="8" t="s">
        <v>530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935</v>
      </c>
      <c r="B726" s="8" t="s">
        <v>178</v>
      </c>
      <c r="C726" s="8" t="s">
        <v>524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935</v>
      </c>
      <c r="B727" s="8" t="s">
        <v>101</v>
      </c>
      <c r="C727" s="8" t="s">
        <v>524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935</v>
      </c>
      <c r="B728" s="8" t="s">
        <v>148</v>
      </c>
      <c r="C728" s="8" t="s">
        <v>531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935</v>
      </c>
      <c r="B729" s="8" t="s">
        <v>148</v>
      </c>
      <c r="C729" s="8" t="s">
        <v>532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935</v>
      </c>
      <c r="B730" s="8" t="s">
        <v>219</v>
      </c>
      <c r="C730" s="8" t="s">
        <v>533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935</v>
      </c>
      <c r="B731" s="8" t="s">
        <v>358</v>
      </c>
      <c r="C731" s="8" t="s">
        <v>534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935</v>
      </c>
      <c r="B732" s="8" t="s">
        <v>95</v>
      </c>
      <c r="C732" s="8" t="s">
        <v>535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935</v>
      </c>
      <c r="B733" s="8" t="s">
        <v>130</v>
      </c>
      <c r="C733" s="8" t="s">
        <v>536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935</v>
      </c>
      <c r="B734" s="8" t="s">
        <v>158</v>
      </c>
      <c r="C734" s="8" t="s">
        <v>537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935</v>
      </c>
      <c r="B735" s="8" t="s">
        <v>364</v>
      </c>
      <c r="C735" s="8" t="s">
        <v>538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935</v>
      </c>
      <c r="B736" s="8" t="s">
        <v>233</v>
      </c>
      <c r="C736" s="8" t="s">
        <v>539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935</v>
      </c>
      <c r="B737" s="8" t="s">
        <v>147</v>
      </c>
      <c r="C737" s="8" t="s">
        <v>540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935</v>
      </c>
      <c r="B738" s="8" t="s">
        <v>147</v>
      </c>
      <c r="C738" s="8" t="s">
        <v>541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935</v>
      </c>
      <c r="B739" s="8" t="s">
        <v>147</v>
      </c>
      <c r="C739" s="8" t="s">
        <v>542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935</v>
      </c>
      <c r="B740" s="8" t="s">
        <v>147</v>
      </c>
      <c r="C740" s="8" t="s">
        <v>543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935</v>
      </c>
      <c r="B741" s="8" t="s">
        <v>147</v>
      </c>
      <c r="C741" s="8" t="s">
        <v>544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935</v>
      </c>
      <c r="B742" s="8" t="s">
        <v>355</v>
      </c>
      <c r="C742" s="8" t="s">
        <v>545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935</v>
      </c>
      <c r="B743" s="8" t="s">
        <v>355</v>
      </c>
      <c r="C743" s="8" t="s">
        <v>546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935</v>
      </c>
      <c r="B744" s="8" t="s">
        <v>170</v>
      </c>
      <c r="C744" s="8" t="s">
        <v>547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935</v>
      </c>
      <c r="B745" s="8" t="s">
        <v>170</v>
      </c>
      <c r="C745" s="8" t="s">
        <v>548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935</v>
      </c>
      <c r="B746" s="8" t="s">
        <v>170</v>
      </c>
      <c r="C746" s="8" t="s">
        <v>549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935</v>
      </c>
      <c r="B747" s="8" t="s">
        <v>170</v>
      </c>
      <c r="C747" s="8" t="s">
        <v>550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935</v>
      </c>
      <c r="B748" s="8" t="s">
        <v>170</v>
      </c>
      <c r="C748" s="8" t="s">
        <v>551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935</v>
      </c>
      <c r="B749" s="8" t="s">
        <v>121</v>
      </c>
      <c r="C749" s="8" t="s">
        <v>552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935</v>
      </c>
      <c r="B750" s="8" t="s">
        <v>190</v>
      </c>
      <c r="C750" s="8" t="s">
        <v>553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935</v>
      </c>
      <c r="B751" s="8" t="s">
        <v>82</v>
      </c>
      <c r="C751" s="8" t="s">
        <v>554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935</v>
      </c>
      <c r="B752" s="8" t="s">
        <v>82</v>
      </c>
      <c r="C752" s="8" t="s">
        <v>555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935</v>
      </c>
      <c r="B753" s="8" t="s">
        <v>82</v>
      </c>
      <c r="C753" s="8" t="s">
        <v>556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935</v>
      </c>
      <c r="B754" s="8" t="s">
        <v>82</v>
      </c>
      <c r="C754" s="8" t="s">
        <v>557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935</v>
      </c>
      <c r="B755" s="8" t="s">
        <v>82</v>
      </c>
      <c r="C755" s="8" t="s">
        <v>558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935</v>
      </c>
      <c r="B756" s="8" t="s">
        <v>82</v>
      </c>
      <c r="C756" s="8" t="s">
        <v>559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935</v>
      </c>
      <c r="B757" s="8" t="s">
        <v>88</v>
      </c>
      <c r="C757" s="8" t="s">
        <v>560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935</v>
      </c>
      <c r="B758" s="8" t="s">
        <v>88</v>
      </c>
      <c r="C758" s="8" t="s">
        <v>561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935</v>
      </c>
      <c r="B759" s="8" t="s">
        <v>88</v>
      </c>
      <c r="C759" s="8" t="s">
        <v>562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935</v>
      </c>
      <c r="B760" s="8" t="s">
        <v>88</v>
      </c>
      <c r="C760" s="8" t="s">
        <v>563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935</v>
      </c>
      <c r="B761" s="8" t="s">
        <v>88</v>
      </c>
      <c r="C761" s="8" t="s">
        <v>564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935</v>
      </c>
      <c r="B762" s="8" t="s">
        <v>83</v>
      </c>
      <c r="C762" s="8" t="s">
        <v>565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935</v>
      </c>
      <c r="B763" s="8" t="s">
        <v>83</v>
      </c>
      <c r="C763" s="8" t="s">
        <v>566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935</v>
      </c>
      <c r="B764" s="8" t="s">
        <v>83</v>
      </c>
      <c r="C764" s="8" t="s">
        <v>567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935</v>
      </c>
      <c r="B765" s="8" t="s">
        <v>83</v>
      </c>
      <c r="C765" s="8" t="s">
        <v>568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935</v>
      </c>
      <c r="B766" s="8" t="s">
        <v>207</v>
      </c>
      <c r="C766" s="8" t="s">
        <v>569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935</v>
      </c>
      <c r="B767" s="8" t="s">
        <v>208</v>
      </c>
      <c r="C767" s="8" t="s">
        <v>570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935</v>
      </c>
      <c r="B768" s="8" t="s">
        <v>119</v>
      </c>
      <c r="C768" s="8" t="s">
        <v>571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935</v>
      </c>
      <c r="B769" s="8" t="s">
        <v>195</v>
      </c>
      <c r="C769" s="8" t="s">
        <v>572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935</v>
      </c>
      <c r="B770" s="8" t="s">
        <v>150</v>
      </c>
      <c r="C770" s="8" t="s">
        <v>573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935</v>
      </c>
      <c r="B771" s="8" t="s">
        <v>187</v>
      </c>
      <c r="C771" s="8" t="s">
        <v>574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935</v>
      </c>
      <c r="B772" s="8" t="s">
        <v>179</v>
      </c>
      <c r="C772" s="8" t="s">
        <v>575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935</v>
      </c>
      <c r="B773" s="8" t="s">
        <v>305</v>
      </c>
      <c r="C773" s="8" t="s">
        <v>576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935</v>
      </c>
      <c r="B774" s="8" t="s">
        <v>328</v>
      </c>
      <c r="C774" s="8" t="s">
        <v>576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935</v>
      </c>
      <c r="B775" s="8" t="s">
        <v>194</v>
      </c>
      <c r="C775" s="8" t="s">
        <v>577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935</v>
      </c>
      <c r="B776" s="8" t="s">
        <v>194</v>
      </c>
      <c r="C776" s="8" t="s">
        <v>578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935</v>
      </c>
      <c r="B777" s="8" t="s">
        <v>194</v>
      </c>
      <c r="C777" s="8" t="s">
        <v>579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935</v>
      </c>
      <c r="B778" s="8" t="s">
        <v>194</v>
      </c>
      <c r="C778" s="8" t="s">
        <v>580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935</v>
      </c>
      <c r="B779" s="8" t="s">
        <v>268</v>
      </c>
      <c r="C779" s="8" t="s">
        <v>581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935</v>
      </c>
      <c r="B780" s="8" t="s">
        <v>268</v>
      </c>
      <c r="C780" s="8" t="s">
        <v>582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935</v>
      </c>
      <c r="B781" s="8" t="s">
        <v>268</v>
      </c>
      <c r="C781" s="8" t="s">
        <v>583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935</v>
      </c>
      <c r="B782" s="8" t="s">
        <v>141</v>
      </c>
      <c r="C782" s="8" t="s">
        <v>584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935</v>
      </c>
      <c r="B783" s="8" t="s">
        <v>141</v>
      </c>
      <c r="C783" s="8" t="s">
        <v>585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935</v>
      </c>
      <c r="B784" s="8" t="s">
        <v>141</v>
      </c>
      <c r="C784" s="8" t="s">
        <v>586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935</v>
      </c>
      <c r="B785" s="8" t="s">
        <v>141</v>
      </c>
      <c r="C785" s="8" t="s">
        <v>587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935</v>
      </c>
      <c r="B786" s="8" t="s">
        <v>141</v>
      </c>
      <c r="C786" s="8" t="s">
        <v>588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935</v>
      </c>
      <c r="B787" s="8" t="s">
        <v>89</v>
      </c>
      <c r="C787" s="8" t="s">
        <v>589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935</v>
      </c>
      <c r="B788" s="8" t="s">
        <v>89</v>
      </c>
      <c r="C788" s="8" t="s">
        <v>590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935</v>
      </c>
      <c r="B789" s="8" t="s">
        <v>89</v>
      </c>
      <c r="C789" s="8" t="s">
        <v>591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935</v>
      </c>
      <c r="B790" s="8" t="s">
        <v>89</v>
      </c>
      <c r="C790" s="8" t="s">
        <v>592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935</v>
      </c>
      <c r="B791" s="8" t="s">
        <v>89</v>
      </c>
      <c r="C791" s="8" t="s">
        <v>593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935</v>
      </c>
      <c r="B792" s="8" t="s">
        <v>76</v>
      </c>
      <c r="C792" s="8" t="s">
        <v>594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935</v>
      </c>
      <c r="B793" s="8" t="s">
        <v>76</v>
      </c>
      <c r="C793" s="8" t="s">
        <v>595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935</v>
      </c>
      <c r="B794" s="8" t="s">
        <v>76</v>
      </c>
      <c r="C794" s="8" t="s">
        <v>596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935</v>
      </c>
      <c r="B795" s="8" t="s">
        <v>76</v>
      </c>
      <c r="C795" s="8" t="s">
        <v>597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935</v>
      </c>
      <c r="B796" s="8" t="s">
        <v>103</v>
      </c>
      <c r="C796" s="8" t="s">
        <v>598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935</v>
      </c>
      <c r="B797" s="8" t="s">
        <v>103</v>
      </c>
      <c r="C797" s="8" t="s">
        <v>599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935</v>
      </c>
      <c r="B798" s="8" t="s">
        <v>103</v>
      </c>
      <c r="C798" s="8" t="s">
        <v>600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935</v>
      </c>
      <c r="B799" s="8" t="s">
        <v>103</v>
      </c>
      <c r="C799" s="8" t="s">
        <v>601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935</v>
      </c>
      <c r="B800" s="8" t="s">
        <v>103</v>
      </c>
      <c r="C800" s="8" t="s">
        <v>602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935</v>
      </c>
      <c r="B801" s="8" t="s">
        <v>176</v>
      </c>
      <c r="C801" s="8" t="s">
        <v>603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935</v>
      </c>
      <c r="B802" s="8" t="s">
        <v>176</v>
      </c>
      <c r="C802" s="8" t="s">
        <v>604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935</v>
      </c>
      <c r="B803" s="8" t="s">
        <v>176</v>
      </c>
      <c r="C803" s="8" t="s">
        <v>605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935</v>
      </c>
      <c r="B804" s="8" t="s">
        <v>176</v>
      </c>
      <c r="C804" s="8" t="s">
        <v>606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935</v>
      </c>
      <c r="B805" s="8" t="s">
        <v>176</v>
      </c>
      <c r="C805" s="8" t="s">
        <v>607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935</v>
      </c>
      <c r="B806" s="8" t="s">
        <v>157</v>
      </c>
      <c r="C806" s="8" t="s">
        <v>608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935</v>
      </c>
      <c r="B807" s="8" t="s">
        <v>157</v>
      </c>
      <c r="C807" s="8" t="s">
        <v>609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935</v>
      </c>
      <c r="B808" s="8" t="s">
        <v>157</v>
      </c>
      <c r="C808" s="8" t="s">
        <v>610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935</v>
      </c>
      <c r="B809" s="8" t="s">
        <v>157</v>
      </c>
      <c r="C809" s="8" t="s">
        <v>611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935</v>
      </c>
      <c r="B810" s="8" t="s">
        <v>157</v>
      </c>
      <c r="C810" s="8" t="s">
        <v>612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935</v>
      </c>
      <c r="B811" s="8" t="s">
        <v>192</v>
      </c>
      <c r="C811" s="8" t="s">
        <v>613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935</v>
      </c>
      <c r="B812" s="8" t="s">
        <v>192</v>
      </c>
      <c r="C812" s="8" t="s">
        <v>614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935</v>
      </c>
      <c r="B813" s="8" t="s">
        <v>192</v>
      </c>
      <c r="C813" s="8" t="s">
        <v>615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935</v>
      </c>
      <c r="B814" s="8" t="s">
        <v>192</v>
      </c>
      <c r="C814" s="8" t="s">
        <v>616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935</v>
      </c>
      <c r="B815" s="8" t="s">
        <v>302</v>
      </c>
      <c r="C815" s="8" t="s">
        <v>617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935</v>
      </c>
      <c r="B816" s="8" t="s">
        <v>302</v>
      </c>
      <c r="C816" s="8" t="s">
        <v>618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935</v>
      </c>
      <c r="B817" s="8" t="s">
        <v>111</v>
      </c>
      <c r="C817" s="8" t="s">
        <v>619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935</v>
      </c>
      <c r="B818" s="8" t="s">
        <v>111</v>
      </c>
      <c r="C818" s="8" t="s">
        <v>620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935</v>
      </c>
      <c r="B819" s="8" t="s">
        <v>111</v>
      </c>
      <c r="C819" s="8" t="s">
        <v>621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935</v>
      </c>
      <c r="B820" s="8" t="s">
        <v>111</v>
      </c>
      <c r="C820" s="8" t="s">
        <v>622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935</v>
      </c>
      <c r="B821" s="8" t="s">
        <v>111</v>
      </c>
      <c r="C821" s="8" t="s">
        <v>623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935</v>
      </c>
      <c r="B822" s="8" t="s">
        <v>113</v>
      </c>
      <c r="C822" s="8" t="s">
        <v>624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935</v>
      </c>
      <c r="B823" s="8" t="s">
        <v>113</v>
      </c>
      <c r="C823" s="8" t="s">
        <v>625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935</v>
      </c>
      <c r="B824" s="8" t="s">
        <v>113</v>
      </c>
      <c r="C824" s="8" t="s">
        <v>626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935</v>
      </c>
      <c r="B825" s="8" t="s">
        <v>113</v>
      </c>
      <c r="C825" s="8" t="s">
        <v>627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935</v>
      </c>
      <c r="B826" s="8" t="s">
        <v>80</v>
      </c>
      <c r="C826" s="8" t="s">
        <v>628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935</v>
      </c>
      <c r="B827" s="8" t="s">
        <v>80</v>
      </c>
      <c r="C827" s="8" t="s">
        <v>629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935</v>
      </c>
      <c r="B828" s="8" t="s">
        <v>80</v>
      </c>
      <c r="C828" s="8" t="s">
        <v>630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935</v>
      </c>
      <c r="B829" s="8" t="s">
        <v>80</v>
      </c>
      <c r="C829" s="8" t="s">
        <v>631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935</v>
      </c>
      <c r="B830" s="8" t="s">
        <v>125</v>
      </c>
      <c r="C830" s="8" t="s">
        <v>632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935</v>
      </c>
      <c r="B831" s="8" t="s">
        <v>125</v>
      </c>
      <c r="C831" s="8" t="s">
        <v>633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935</v>
      </c>
      <c r="B832" s="8" t="s">
        <v>125</v>
      </c>
      <c r="C832" s="8" t="s">
        <v>634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935</v>
      </c>
      <c r="B833" s="8" t="s">
        <v>125</v>
      </c>
      <c r="C833" s="8" t="s">
        <v>635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935</v>
      </c>
      <c r="B834" s="8" t="s">
        <v>125</v>
      </c>
      <c r="C834" s="8" t="s">
        <v>636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935</v>
      </c>
      <c r="B835" s="8" t="s">
        <v>125</v>
      </c>
      <c r="C835" s="8" t="s">
        <v>637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935</v>
      </c>
      <c r="B836" s="8" t="s">
        <v>380</v>
      </c>
      <c r="C836" s="8" t="s">
        <v>936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935</v>
      </c>
      <c r="B837" s="8" t="s">
        <v>132</v>
      </c>
      <c r="C837" s="8" t="s">
        <v>638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935</v>
      </c>
      <c r="B838" s="8" t="s">
        <v>216</v>
      </c>
      <c r="C838" s="8" t="s">
        <v>639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935</v>
      </c>
      <c r="B839" s="8" t="s">
        <v>100</v>
      </c>
      <c r="C839" s="8" t="s">
        <v>640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935</v>
      </c>
      <c r="B840" s="8" t="s">
        <v>100</v>
      </c>
      <c r="C840" s="8" t="s">
        <v>641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935</v>
      </c>
      <c r="B841" s="8" t="s">
        <v>100</v>
      </c>
      <c r="C841" s="8" t="s">
        <v>642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935</v>
      </c>
      <c r="B842" s="8" t="s">
        <v>100</v>
      </c>
      <c r="C842" s="8" t="s">
        <v>643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935</v>
      </c>
      <c r="B843" s="8" t="s">
        <v>100</v>
      </c>
      <c r="C843" s="8" t="s">
        <v>644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935</v>
      </c>
      <c r="B844" s="8" t="s">
        <v>100</v>
      </c>
      <c r="C844" s="8" t="s">
        <v>645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935</v>
      </c>
      <c r="B845" s="8" t="s">
        <v>128</v>
      </c>
      <c r="C845" s="8" t="s">
        <v>646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935</v>
      </c>
      <c r="B846" s="8" t="s">
        <v>128</v>
      </c>
      <c r="C846" s="8" t="s">
        <v>647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935</v>
      </c>
      <c r="B847" s="8" t="s">
        <v>128</v>
      </c>
      <c r="C847" s="8" t="s">
        <v>648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935</v>
      </c>
      <c r="B848" s="8" t="s">
        <v>177</v>
      </c>
      <c r="C848" s="8" t="s">
        <v>649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935</v>
      </c>
      <c r="B849" s="8" t="s">
        <v>334</v>
      </c>
      <c r="C849" s="8" t="s">
        <v>650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935</v>
      </c>
      <c r="B850" s="8" t="s">
        <v>334</v>
      </c>
      <c r="C850" s="8" t="s">
        <v>651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935</v>
      </c>
      <c r="B851" s="8" t="s">
        <v>211</v>
      </c>
      <c r="C851" s="8" t="s">
        <v>652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935</v>
      </c>
      <c r="B852" s="8" t="s">
        <v>211</v>
      </c>
      <c r="C852" s="8" t="s">
        <v>653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935</v>
      </c>
      <c r="B853" s="8" t="s">
        <v>211</v>
      </c>
      <c r="C853" s="8" t="s">
        <v>654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935</v>
      </c>
      <c r="B854" s="8" t="s">
        <v>211</v>
      </c>
      <c r="C854" s="8" t="s">
        <v>655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935</v>
      </c>
      <c r="B855" s="8" t="s">
        <v>211</v>
      </c>
      <c r="C855" s="8" t="s">
        <v>656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935</v>
      </c>
      <c r="B856" s="8" t="s">
        <v>266</v>
      </c>
      <c r="C856" s="8" t="s">
        <v>657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935</v>
      </c>
      <c r="B857" s="8" t="s">
        <v>266</v>
      </c>
      <c r="C857" s="8" t="s">
        <v>658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935</v>
      </c>
      <c r="B858" s="8" t="s">
        <v>266</v>
      </c>
      <c r="C858" s="8" t="s">
        <v>659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935</v>
      </c>
      <c r="B859" s="8" t="s">
        <v>266</v>
      </c>
      <c r="C859" s="8" t="s">
        <v>660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935</v>
      </c>
      <c r="B860" s="8" t="s">
        <v>213</v>
      </c>
      <c r="C860" s="8" t="s">
        <v>661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935</v>
      </c>
      <c r="B861" s="8" t="s">
        <v>213</v>
      </c>
      <c r="C861" s="8" t="s">
        <v>662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935</v>
      </c>
      <c r="B862" s="8" t="s">
        <v>213</v>
      </c>
      <c r="C862" s="8" t="s">
        <v>663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935</v>
      </c>
      <c r="B863" s="8" t="s">
        <v>213</v>
      </c>
      <c r="C863" s="8" t="s">
        <v>664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935</v>
      </c>
      <c r="B864" s="8" t="s">
        <v>261</v>
      </c>
      <c r="C864" s="8" t="s">
        <v>665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935</v>
      </c>
      <c r="B865" s="8" t="s">
        <v>240</v>
      </c>
      <c r="C865" s="8" t="s">
        <v>666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935</v>
      </c>
      <c r="B866" s="8" t="s">
        <v>240</v>
      </c>
      <c r="C866" s="8" t="s">
        <v>667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935</v>
      </c>
      <c r="B867" s="8" t="s">
        <v>240</v>
      </c>
      <c r="C867" s="8" t="s">
        <v>668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935</v>
      </c>
      <c r="B868" s="8" t="s">
        <v>259</v>
      </c>
      <c r="C868" s="8" t="s">
        <v>669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935</v>
      </c>
      <c r="B869" s="8" t="s">
        <v>259</v>
      </c>
      <c r="C869" s="8" t="s">
        <v>670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935</v>
      </c>
      <c r="B870" s="8" t="s">
        <v>259</v>
      </c>
      <c r="C870" s="8" t="s">
        <v>671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935</v>
      </c>
      <c r="B871" s="8" t="s">
        <v>259</v>
      </c>
      <c r="C871" s="8" t="s">
        <v>672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935</v>
      </c>
      <c r="B872" s="8" t="s">
        <v>259</v>
      </c>
      <c r="C872" s="8" t="s">
        <v>673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935</v>
      </c>
      <c r="B873" s="8" t="s">
        <v>320</v>
      </c>
      <c r="C873" s="8" t="s">
        <v>674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935</v>
      </c>
      <c r="B874" s="8" t="s">
        <v>320</v>
      </c>
      <c r="C874" s="8" t="s">
        <v>675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935</v>
      </c>
      <c r="B875" s="8" t="s">
        <v>353</v>
      </c>
      <c r="C875" s="8" t="s">
        <v>676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935</v>
      </c>
      <c r="B876" s="8" t="s">
        <v>353</v>
      </c>
      <c r="C876" s="8" t="s">
        <v>677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935</v>
      </c>
      <c r="B877" s="8" t="s">
        <v>353</v>
      </c>
      <c r="C877" s="8" t="s">
        <v>678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935</v>
      </c>
      <c r="B878" s="8" t="s">
        <v>244</v>
      </c>
      <c r="C878" s="8" t="s">
        <v>679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935</v>
      </c>
      <c r="B879" s="8" t="s">
        <v>244</v>
      </c>
      <c r="C879" s="8" t="s">
        <v>680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935</v>
      </c>
      <c r="B880" s="8" t="s">
        <v>244</v>
      </c>
      <c r="C880" s="8" t="s">
        <v>681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935</v>
      </c>
      <c r="B881" s="8" t="s">
        <v>113</v>
      </c>
      <c r="C881" s="8" t="s">
        <v>682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935</v>
      </c>
      <c r="B882" s="8" t="s">
        <v>301</v>
      </c>
      <c r="C882" s="8" t="s">
        <v>683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935</v>
      </c>
      <c r="B883" s="8" t="s">
        <v>301</v>
      </c>
      <c r="C883" s="8" t="s">
        <v>684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935</v>
      </c>
      <c r="B884" s="8" t="s">
        <v>301</v>
      </c>
      <c r="C884" s="8" t="s">
        <v>685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935</v>
      </c>
      <c r="B885" s="8" t="s">
        <v>341</v>
      </c>
      <c r="C885" s="8" t="s">
        <v>686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935</v>
      </c>
      <c r="B886" s="8" t="s">
        <v>341</v>
      </c>
      <c r="C886" s="8" t="s">
        <v>687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935</v>
      </c>
      <c r="B887" s="8" t="s">
        <v>341</v>
      </c>
      <c r="C887" s="8" t="s">
        <v>688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935</v>
      </c>
      <c r="B888" s="8" t="s">
        <v>341</v>
      </c>
      <c r="C888" s="8" t="s">
        <v>689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935</v>
      </c>
      <c r="B889" s="8" t="s">
        <v>341</v>
      </c>
      <c r="C889" s="8" t="s">
        <v>690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935</v>
      </c>
      <c r="B890" s="8" t="s">
        <v>100</v>
      </c>
      <c r="C890" s="8" t="s">
        <v>691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935</v>
      </c>
      <c r="B891" s="8" t="s">
        <v>261</v>
      </c>
      <c r="C891" s="8" t="s">
        <v>692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935</v>
      </c>
      <c r="B892" s="8" t="s">
        <v>257</v>
      </c>
      <c r="C892" s="8" t="s">
        <v>693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935</v>
      </c>
      <c r="B893" s="8" t="s">
        <v>171</v>
      </c>
      <c r="C893" s="8" t="s">
        <v>694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935</v>
      </c>
      <c r="B894" s="8" t="s">
        <v>88</v>
      </c>
      <c r="C894" s="8" t="s">
        <v>695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935</v>
      </c>
      <c r="B895" s="8" t="s">
        <v>218</v>
      </c>
      <c r="C895" s="8" t="s">
        <v>696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935</v>
      </c>
      <c r="B896" s="8" t="s">
        <v>143</v>
      </c>
      <c r="C896" s="8" t="s">
        <v>697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935</v>
      </c>
      <c r="B897" s="8" t="s">
        <v>135</v>
      </c>
      <c r="C897" s="8" t="s">
        <v>698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935</v>
      </c>
      <c r="B898" s="8" t="s">
        <v>310</v>
      </c>
      <c r="C898" s="8" t="s">
        <v>699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935</v>
      </c>
      <c r="B899" s="8" t="s">
        <v>149</v>
      </c>
      <c r="C899" s="8" t="s">
        <v>700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935</v>
      </c>
      <c r="B900" s="8" t="s">
        <v>89</v>
      </c>
      <c r="C900" s="8" t="s">
        <v>701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935</v>
      </c>
      <c r="B901" s="8" t="s">
        <v>238</v>
      </c>
      <c r="C901" s="8" t="s">
        <v>702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935</v>
      </c>
      <c r="B902" s="8" t="s">
        <v>167</v>
      </c>
      <c r="C902" s="8" t="s">
        <v>703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935</v>
      </c>
      <c r="B903" s="8" t="s">
        <v>167</v>
      </c>
      <c r="C903" s="8" t="s">
        <v>704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935</v>
      </c>
      <c r="B904" s="8" t="s">
        <v>167</v>
      </c>
      <c r="C904" s="8" t="s">
        <v>705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935</v>
      </c>
      <c r="B905" s="8" t="s">
        <v>167</v>
      </c>
      <c r="C905" s="8" t="s">
        <v>706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935</v>
      </c>
      <c r="B906" s="8" t="s">
        <v>98</v>
      </c>
      <c r="C906" s="8" t="s">
        <v>707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935</v>
      </c>
      <c r="B907" s="8" t="s">
        <v>74</v>
      </c>
      <c r="C907" s="8" t="s">
        <v>708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935</v>
      </c>
      <c r="B908" s="8" t="s">
        <v>74</v>
      </c>
      <c r="C908" s="8" t="s">
        <v>709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935</v>
      </c>
      <c r="B909" s="8" t="s">
        <v>74</v>
      </c>
      <c r="C909" s="8" t="s">
        <v>710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935</v>
      </c>
      <c r="B910" s="8" t="s">
        <v>74</v>
      </c>
      <c r="C910" s="8" t="s">
        <v>711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935</v>
      </c>
      <c r="B911" s="8" t="s">
        <v>74</v>
      </c>
      <c r="C911" s="8" t="s">
        <v>712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935</v>
      </c>
      <c r="B912" s="8" t="s">
        <v>78</v>
      </c>
      <c r="C912" s="8" t="s">
        <v>713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935</v>
      </c>
      <c r="B913" s="8" t="s">
        <v>78</v>
      </c>
      <c r="C913" s="8" t="s">
        <v>714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935</v>
      </c>
      <c r="B914" s="8" t="s">
        <v>78</v>
      </c>
      <c r="C914" s="8" t="s">
        <v>715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935</v>
      </c>
      <c r="B915" s="8" t="s">
        <v>78</v>
      </c>
      <c r="C915" s="8" t="s">
        <v>716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935</v>
      </c>
      <c r="B916" s="8" t="s">
        <v>279</v>
      </c>
      <c r="C916" s="8" t="s">
        <v>717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935</v>
      </c>
      <c r="B917" s="8" t="s">
        <v>270</v>
      </c>
      <c r="C917" s="8" t="s">
        <v>718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935</v>
      </c>
      <c r="B918" s="8" t="s">
        <v>290</v>
      </c>
      <c r="C918" s="8" t="s">
        <v>719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935</v>
      </c>
      <c r="B919" s="8" t="s">
        <v>105</v>
      </c>
      <c r="C919" s="8" t="s">
        <v>720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935</v>
      </c>
      <c r="B920" s="8" t="s">
        <v>124</v>
      </c>
      <c r="C920" s="8" t="s">
        <v>721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935</v>
      </c>
      <c r="B921" s="8" t="s">
        <v>108</v>
      </c>
      <c r="C921" s="8" t="s">
        <v>722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935</v>
      </c>
      <c r="B922" s="8" t="s">
        <v>280</v>
      </c>
      <c r="C922" s="8" t="s">
        <v>723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935</v>
      </c>
      <c r="B923" s="8" t="s">
        <v>280</v>
      </c>
      <c r="C923" s="8" t="s">
        <v>724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935</v>
      </c>
      <c r="B924" s="8" t="s">
        <v>251</v>
      </c>
      <c r="C924" s="8" t="s">
        <v>725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935</v>
      </c>
      <c r="B925" s="8" t="s">
        <v>251</v>
      </c>
      <c r="C925" s="8" t="s">
        <v>726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935</v>
      </c>
      <c r="B926" s="8" t="s">
        <v>251</v>
      </c>
      <c r="C926" s="8" t="s">
        <v>724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935</v>
      </c>
      <c r="B927" s="8" t="s">
        <v>184</v>
      </c>
      <c r="C927" s="8" t="s">
        <v>727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935</v>
      </c>
      <c r="B928" s="8" t="s">
        <v>184</v>
      </c>
      <c r="C928" s="8" t="s">
        <v>728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935</v>
      </c>
      <c r="B929" s="8" t="s">
        <v>155</v>
      </c>
      <c r="C929" s="8" t="s">
        <v>727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935</v>
      </c>
      <c r="B930" s="8" t="s">
        <v>155</v>
      </c>
      <c r="C930" s="8" t="s">
        <v>728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935</v>
      </c>
      <c r="B931" s="8" t="s">
        <v>217</v>
      </c>
      <c r="C931" s="8" t="s">
        <v>729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935</v>
      </c>
      <c r="B932" s="8" t="s">
        <v>201</v>
      </c>
      <c r="C932" s="8" t="s">
        <v>730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935</v>
      </c>
      <c r="B933" s="8" t="s">
        <v>201</v>
      </c>
      <c r="C933" s="8" t="s">
        <v>731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935</v>
      </c>
      <c r="B934" s="8" t="s">
        <v>254</v>
      </c>
      <c r="C934" s="8" t="s">
        <v>732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935</v>
      </c>
      <c r="B935" s="8" t="s">
        <v>254</v>
      </c>
      <c r="C935" s="8" t="s">
        <v>733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935</v>
      </c>
      <c r="B936" s="8" t="s">
        <v>201</v>
      </c>
      <c r="C936" s="8" t="s">
        <v>734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935</v>
      </c>
      <c r="B937" s="8" t="s">
        <v>319</v>
      </c>
      <c r="C937" s="8" t="s">
        <v>732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935</v>
      </c>
      <c r="B938" s="8" t="s">
        <v>74</v>
      </c>
      <c r="C938" s="8" t="s">
        <v>735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935</v>
      </c>
      <c r="B939" s="8" t="s">
        <v>73</v>
      </c>
      <c r="C939" s="8" t="s">
        <v>736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935</v>
      </c>
      <c r="B940" s="8" t="s">
        <v>73</v>
      </c>
      <c r="C940" s="8" t="s">
        <v>737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935</v>
      </c>
      <c r="B941" s="8" t="s">
        <v>73</v>
      </c>
      <c r="C941" s="8" t="s">
        <v>738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935</v>
      </c>
      <c r="B942" s="8" t="s">
        <v>112</v>
      </c>
      <c r="C942" s="8" t="s">
        <v>739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935</v>
      </c>
      <c r="B943" s="8" t="s">
        <v>112</v>
      </c>
      <c r="C943" s="8" t="s">
        <v>740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935</v>
      </c>
      <c r="B944" s="8" t="s">
        <v>112</v>
      </c>
      <c r="C944" s="8" t="s">
        <v>741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935</v>
      </c>
      <c r="B945" s="8" t="s">
        <v>365</v>
      </c>
      <c r="C945" s="8" t="s">
        <v>742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935</v>
      </c>
      <c r="B946" s="8" t="s">
        <v>169</v>
      </c>
      <c r="C946" s="8" t="s">
        <v>639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935</v>
      </c>
      <c r="B947" s="8" t="s">
        <v>346</v>
      </c>
      <c r="C947" s="8" t="s">
        <v>743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935</v>
      </c>
      <c r="B948" s="8" t="s">
        <v>75</v>
      </c>
      <c r="C948" s="8" t="s">
        <v>744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935</v>
      </c>
      <c r="B949" s="8" t="s">
        <v>75</v>
      </c>
      <c r="C949" s="8" t="s">
        <v>745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935</v>
      </c>
      <c r="B950" s="8" t="s">
        <v>75</v>
      </c>
      <c r="C950" s="8" t="s">
        <v>746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935</v>
      </c>
      <c r="B951" s="8" t="s">
        <v>75</v>
      </c>
      <c r="C951" s="8" t="s">
        <v>747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935</v>
      </c>
      <c r="B952" s="8" t="s">
        <v>75</v>
      </c>
      <c r="C952" s="8" t="s">
        <v>748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935</v>
      </c>
      <c r="B953" s="8" t="s">
        <v>349</v>
      </c>
      <c r="C953" s="8" t="s">
        <v>749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935</v>
      </c>
      <c r="B954" s="8" t="s">
        <v>373</v>
      </c>
      <c r="C954" s="8" t="s">
        <v>750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935</v>
      </c>
      <c r="B955" s="8" t="s">
        <v>339</v>
      </c>
      <c r="C955" s="8" t="s">
        <v>751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935</v>
      </c>
      <c r="B956" s="8" t="s">
        <v>298</v>
      </c>
      <c r="C956" s="8" t="s">
        <v>752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935</v>
      </c>
      <c r="B957" s="8" t="s">
        <v>340</v>
      </c>
      <c r="C957" s="8" t="s">
        <v>753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935</v>
      </c>
      <c r="B958" s="8" t="s">
        <v>104</v>
      </c>
      <c r="C958" s="8" t="s">
        <v>754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935</v>
      </c>
      <c r="B959" s="8" t="s">
        <v>230</v>
      </c>
      <c r="C959" s="8" t="s">
        <v>755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935</v>
      </c>
      <c r="B960" s="8" t="s">
        <v>196</v>
      </c>
      <c r="C960" s="8" t="s">
        <v>756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935</v>
      </c>
      <c r="B961" s="8" t="s">
        <v>226</v>
      </c>
      <c r="C961" s="8" t="s">
        <v>757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935</v>
      </c>
      <c r="B962" s="8" t="s">
        <v>137</v>
      </c>
      <c r="C962" s="8" t="s">
        <v>758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935</v>
      </c>
      <c r="B963" s="8" t="s">
        <v>191</v>
      </c>
      <c r="C963" s="8" t="s">
        <v>759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935</v>
      </c>
      <c r="B964" s="8" t="s">
        <v>225</v>
      </c>
      <c r="C964" s="8" t="s">
        <v>760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935</v>
      </c>
      <c r="B965" s="8" t="s">
        <v>225</v>
      </c>
      <c r="C965" s="8" t="s">
        <v>761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935</v>
      </c>
      <c r="B966" s="8" t="s">
        <v>225</v>
      </c>
      <c r="C966" s="8" t="s">
        <v>762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935</v>
      </c>
      <c r="B967" s="8" t="s">
        <v>225</v>
      </c>
      <c r="C967" s="8" t="s">
        <v>763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935</v>
      </c>
      <c r="B968" s="8" t="s">
        <v>225</v>
      </c>
      <c r="C968" s="8" t="s">
        <v>764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935</v>
      </c>
      <c r="B969" s="8" t="s">
        <v>225</v>
      </c>
      <c r="C969" s="8" t="s">
        <v>765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935</v>
      </c>
      <c r="B970" s="8" t="s">
        <v>225</v>
      </c>
      <c r="C970" s="8" t="s">
        <v>766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935</v>
      </c>
      <c r="B971" s="8" t="s">
        <v>225</v>
      </c>
      <c r="C971" s="8" t="s">
        <v>767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935</v>
      </c>
      <c r="B972" s="8" t="s">
        <v>225</v>
      </c>
      <c r="C972" s="8" t="s">
        <v>768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935</v>
      </c>
      <c r="B973" s="8" t="s">
        <v>225</v>
      </c>
      <c r="C973" s="8" t="s">
        <v>769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935</v>
      </c>
      <c r="B974" s="8" t="s">
        <v>225</v>
      </c>
      <c r="C974" s="8" t="s">
        <v>770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935</v>
      </c>
      <c r="B975" s="8" t="s">
        <v>276</v>
      </c>
      <c r="C975" s="8" t="s">
        <v>771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935</v>
      </c>
      <c r="B976" s="8" t="s">
        <v>198</v>
      </c>
      <c r="C976" s="8" t="s">
        <v>772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935</v>
      </c>
      <c r="B977" s="8" t="s">
        <v>318</v>
      </c>
      <c r="C977" s="8" t="s">
        <v>773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935</v>
      </c>
      <c r="B978" s="8" t="s">
        <v>354</v>
      </c>
      <c r="C978" s="8" t="s">
        <v>774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935</v>
      </c>
      <c r="B979" s="8" t="s">
        <v>354</v>
      </c>
      <c r="C979" s="8" t="s">
        <v>775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935</v>
      </c>
      <c r="B980" s="8" t="s">
        <v>375</v>
      </c>
      <c r="C980" s="8" t="s">
        <v>776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935</v>
      </c>
      <c r="B981" s="8" t="s">
        <v>347</v>
      </c>
      <c r="C981" s="8" t="s">
        <v>777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935</v>
      </c>
      <c r="B982" s="8" t="s">
        <v>289</v>
      </c>
      <c r="C982" s="8" t="s">
        <v>778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935</v>
      </c>
      <c r="B983" s="8" t="s">
        <v>248</v>
      </c>
      <c r="C983" s="8" t="s">
        <v>779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935</v>
      </c>
      <c r="B984" s="8" t="s">
        <v>214</v>
      </c>
      <c r="C984" s="8" t="s">
        <v>780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935</v>
      </c>
      <c r="B985" s="8" t="s">
        <v>86</v>
      </c>
      <c r="C985" s="8" t="s">
        <v>781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935</v>
      </c>
      <c r="B986" s="8" t="s">
        <v>133</v>
      </c>
      <c r="C986" s="8" t="s">
        <v>782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935</v>
      </c>
      <c r="B987" s="8" t="s">
        <v>332</v>
      </c>
      <c r="C987" s="8" t="s">
        <v>783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935</v>
      </c>
      <c r="B988" s="8" t="s">
        <v>336</v>
      </c>
      <c r="C988" s="8" t="s">
        <v>784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935</v>
      </c>
      <c r="B989" s="8" t="s">
        <v>109</v>
      </c>
      <c r="C989" s="8" t="s">
        <v>785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935</v>
      </c>
      <c r="B990" s="8" t="s">
        <v>109</v>
      </c>
      <c r="C990" s="8" t="s">
        <v>786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935</v>
      </c>
      <c r="B991" s="8" t="s">
        <v>109</v>
      </c>
      <c r="C991" s="8" t="s">
        <v>787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935</v>
      </c>
      <c r="B992" s="8" t="s">
        <v>109</v>
      </c>
      <c r="C992" s="8" t="s">
        <v>788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935</v>
      </c>
      <c r="B993" s="8" t="s">
        <v>109</v>
      </c>
      <c r="C993" s="8" t="s">
        <v>789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935</v>
      </c>
      <c r="B994" s="8" t="s">
        <v>77</v>
      </c>
      <c r="C994" s="8" t="s">
        <v>790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935</v>
      </c>
      <c r="B995" s="8" t="s">
        <v>174</v>
      </c>
      <c r="C995" s="8" t="s">
        <v>722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935</v>
      </c>
      <c r="B996" s="8" t="s">
        <v>68</v>
      </c>
      <c r="C996" s="8" t="s">
        <v>791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935</v>
      </c>
      <c r="B997" s="8" t="s">
        <v>68</v>
      </c>
      <c r="C997" s="8" t="s">
        <v>792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935</v>
      </c>
      <c r="B998" s="8" t="s">
        <v>68</v>
      </c>
      <c r="C998" s="8" t="s">
        <v>793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935</v>
      </c>
      <c r="B999" s="8" t="s">
        <v>326</v>
      </c>
      <c r="C999" s="8" t="s">
        <v>794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935</v>
      </c>
      <c r="B1000" s="8" t="s">
        <v>342</v>
      </c>
      <c r="C1000" s="8" t="s">
        <v>795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935</v>
      </c>
      <c r="B1001" s="8" t="s">
        <v>338</v>
      </c>
      <c r="C1001" s="8" t="s">
        <v>795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935</v>
      </c>
      <c r="B1002" s="8" t="s">
        <v>220</v>
      </c>
      <c r="C1002" s="8" t="s">
        <v>795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935</v>
      </c>
      <c r="B1003" s="8" t="s">
        <v>162</v>
      </c>
      <c r="C1003" s="8" t="s">
        <v>796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935</v>
      </c>
      <c r="B1004" s="8" t="s">
        <v>164</v>
      </c>
      <c r="C1004" s="8" t="s">
        <v>796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935</v>
      </c>
      <c r="B1005" s="8" t="s">
        <v>363</v>
      </c>
      <c r="C1005" s="8" t="s">
        <v>797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935</v>
      </c>
      <c r="B1006" s="8" t="s">
        <v>264</v>
      </c>
      <c r="C1006" s="8" t="s">
        <v>798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935</v>
      </c>
      <c r="B1007" s="8" t="s">
        <v>288</v>
      </c>
      <c r="C1007" s="8" t="s">
        <v>798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935</v>
      </c>
      <c r="B1008" s="8" t="s">
        <v>316</v>
      </c>
      <c r="C1008" s="8" t="s">
        <v>798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935</v>
      </c>
      <c r="B1009" s="8" t="s">
        <v>292</v>
      </c>
      <c r="C1009" s="8" t="s">
        <v>799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935</v>
      </c>
      <c r="B1010" s="8" t="s">
        <v>272</v>
      </c>
      <c r="C1010" s="8" t="s">
        <v>800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935</v>
      </c>
      <c r="B1011" s="8" t="s">
        <v>311</v>
      </c>
      <c r="C1011" s="8" t="s">
        <v>800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935</v>
      </c>
      <c r="B1012" s="8" t="s">
        <v>229</v>
      </c>
      <c r="C1012" s="8" t="s">
        <v>800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935</v>
      </c>
      <c r="B1013" s="8" t="s">
        <v>313</v>
      </c>
      <c r="C1013" s="8" t="s">
        <v>801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935</v>
      </c>
      <c r="B1014" s="8" t="s">
        <v>312</v>
      </c>
      <c r="C1014" s="8" t="s">
        <v>800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935</v>
      </c>
      <c r="B1015" s="8" t="s">
        <v>165</v>
      </c>
      <c r="C1015" s="8" t="s">
        <v>802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935</v>
      </c>
      <c r="B1016" s="8" t="s">
        <v>165</v>
      </c>
      <c r="C1016" s="8" t="s">
        <v>803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935</v>
      </c>
      <c r="B1017" s="8" t="s">
        <v>165</v>
      </c>
      <c r="C1017" s="8" t="s">
        <v>804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935</v>
      </c>
      <c r="B1018" s="8" t="s">
        <v>286</v>
      </c>
      <c r="C1018" s="8" t="s">
        <v>805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935</v>
      </c>
      <c r="B1019" s="8" t="s">
        <v>286</v>
      </c>
      <c r="C1019" s="8" t="s">
        <v>806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935</v>
      </c>
      <c r="B1020" s="8" t="s">
        <v>286</v>
      </c>
      <c r="C1020" s="8" t="s">
        <v>807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935</v>
      </c>
      <c r="B1021" s="8" t="s">
        <v>286</v>
      </c>
      <c r="C1021" s="8" t="s">
        <v>808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935</v>
      </c>
      <c r="B1022" s="8" t="s">
        <v>161</v>
      </c>
      <c r="C1022" s="8" t="s">
        <v>809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935</v>
      </c>
      <c r="B1023" s="8" t="s">
        <v>343</v>
      </c>
      <c r="C1023" s="8" t="s">
        <v>810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935</v>
      </c>
      <c r="B1024" s="8" t="s">
        <v>237</v>
      </c>
      <c r="C1024" s="8" t="s">
        <v>810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935</v>
      </c>
      <c r="B1025" s="8" t="s">
        <v>345</v>
      </c>
      <c r="C1025" s="8" t="s">
        <v>810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935</v>
      </c>
      <c r="B1026" s="8" t="s">
        <v>258</v>
      </c>
      <c r="C1026" s="8" t="s">
        <v>810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935</v>
      </c>
      <c r="B1027" s="8" t="s">
        <v>106</v>
      </c>
      <c r="C1027" s="8" t="s">
        <v>811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935</v>
      </c>
      <c r="B1028" s="8" t="s">
        <v>96</v>
      </c>
      <c r="C1028" s="8" t="s">
        <v>811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935</v>
      </c>
      <c r="B1029" s="8" t="s">
        <v>107</v>
      </c>
      <c r="C1029" s="8" t="s">
        <v>811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935</v>
      </c>
      <c r="B1030" s="8" t="s">
        <v>115</v>
      </c>
      <c r="C1030" s="8" t="s">
        <v>811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935</v>
      </c>
      <c r="B1031" s="8" t="s">
        <v>73</v>
      </c>
      <c r="C1031" s="8" t="s">
        <v>812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935</v>
      </c>
      <c r="B1032" s="8" t="s">
        <v>70</v>
      </c>
      <c r="C1032" s="8" t="s">
        <v>813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935</v>
      </c>
      <c r="B1033" s="8" t="s">
        <v>102</v>
      </c>
      <c r="C1033" s="8" t="s">
        <v>814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935</v>
      </c>
      <c r="B1034" s="8" t="s">
        <v>102</v>
      </c>
      <c r="C1034" s="8" t="s">
        <v>815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935</v>
      </c>
      <c r="B1035" s="8" t="s">
        <v>102</v>
      </c>
      <c r="C1035" s="8" t="s">
        <v>816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935</v>
      </c>
      <c r="B1036" s="8" t="s">
        <v>102</v>
      </c>
      <c r="C1036" s="8" t="s">
        <v>817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935</v>
      </c>
      <c r="B1037" s="8" t="s">
        <v>102</v>
      </c>
      <c r="C1037" s="8" t="s">
        <v>818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935</v>
      </c>
      <c r="B1038" s="8" t="s">
        <v>102</v>
      </c>
      <c r="C1038" s="8" t="s">
        <v>819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935</v>
      </c>
      <c r="B1039" s="8" t="s">
        <v>116</v>
      </c>
      <c r="C1039" s="8" t="s">
        <v>820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935</v>
      </c>
      <c r="B1040" s="8" t="s">
        <v>295</v>
      </c>
      <c r="C1040" s="8" t="s">
        <v>821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935</v>
      </c>
      <c r="B1041" s="8" t="s">
        <v>70</v>
      </c>
      <c r="C1041" s="8" t="s">
        <v>822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935</v>
      </c>
      <c r="B1042" s="8" t="s">
        <v>183</v>
      </c>
      <c r="C1042" s="8" t="s">
        <v>823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935</v>
      </c>
      <c r="B1043" s="8" t="s">
        <v>183</v>
      </c>
      <c r="C1043" s="8" t="s">
        <v>824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935</v>
      </c>
      <c r="B1044" s="8" t="s">
        <v>183</v>
      </c>
      <c r="C1044" s="8" t="s">
        <v>825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935</v>
      </c>
      <c r="B1045" s="8" t="s">
        <v>183</v>
      </c>
      <c r="C1045" s="8" t="s">
        <v>826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935</v>
      </c>
      <c r="B1046" s="8" t="s">
        <v>183</v>
      </c>
      <c r="C1046" s="8" t="s">
        <v>827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935</v>
      </c>
      <c r="B1047" s="8" t="s">
        <v>67</v>
      </c>
      <c r="C1047" s="8" t="s">
        <v>828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935</v>
      </c>
      <c r="B1048" s="8" t="s">
        <v>299</v>
      </c>
      <c r="C1048" s="8" t="s">
        <v>829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935</v>
      </c>
      <c r="B1049" s="8" t="s">
        <v>206</v>
      </c>
      <c r="C1049" s="8" t="s">
        <v>830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935</v>
      </c>
      <c r="B1050" s="8" t="s">
        <v>239</v>
      </c>
      <c r="C1050" s="8" t="s">
        <v>830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935</v>
      </c>
      <c r="B1051" s="8" t="s">
        <v>182</v>
      </c>
      <c r="C1051" s="8" t="s">
        <v>830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935</v>
      </c>
      <c r="B1052" s="8" t="s">
        <v>188</v>
      </c>
      <c r="C1052" s="8" t="s">
        <v>830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935</v>
      </c>
      <c r="B1053" s="8" t="s">
        <v>123</v>
      </c>
      <c r="C1053" s="8" t="s">
        <v>831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935</v>
      </c>
      <c r="B1054" s="8" t="s">
        <v>235</v>
      </c>
      <c r="C1054" s="8" t="s">
        <v>832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935</v>
      </c>
      <c r="B1055" s="8" t="s">
        <v>325</v>
      </c>
      <c r="C1055" s="8" t="s">
        <v>833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935</v>
      </c>
      <c r="B1056" s="8" t="s">
        <v>348</v>
      </c>
      <c r="C1056" s="8" t="s">
        <v>833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935</v>
      </c>
      <c r="B1057" s="8" t="s">
        <v>317</v>
      </c>
      <c r="C1057" s="8" t="s">
        <v>833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935</v>
      </c>
      <c r="B1058" s="8" t="s">
        <v>175</v>
      </c>
      <c r="C1058" s="8" t="s">
        <v>834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935</v>
      </c>
      <c r="B1059" s="8" t="s">
        <v>118</v>
      </c>
      <c r="C1059" s="8" t="s">
        <v>835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935</v>
      </c>
      <c r="B1060" s="8" t="s">
        <v>134</v>
      </c>
      <c r="C1060" s="8" t="s">
        <v>835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935</v>
      </c>
      <c r="B1061" s="8" t="s">
        <v>146</v>
      </c>
      <c r="C1061" s="8" t="s">
        <v>835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935</v>
      </c>
      <c r="B1062" s="8" t="s">
        <v>145</v>
      </c>
      <c r="C1062" s="8" t="s">
        <v>835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935</v>
      </c>
      <c r="B1063" s="8" t="s">
        <v>154</v>
      </c>
      <c r="C1063" s="8" t="s">
        <v>836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935</v>
      </c>
      <c r="B1064" s="8" t="s">
        <v>154</v>
      </c>
      <c r="C1064" s="8" t="s">
        <v>837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935</v>
      </c>
      <c r="B1065" s="8" t="s">
        <v>154</v>
      </c>
      <c r="C1065" s="8" t="s">
        <v>838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935</v>
      </c>
      <c r="B1066" s="8" t="s">
        <v>154</v>
      </c>
      <c r="C1066" s="8" t="s">
        <v>839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935</v>
      </c>
      <c r="B1067" s="8" t="s">
        <v>247</v>
      </c>
      <c r="C1067" s="8" t="s">
        <v>840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935</v>
      </c>
      <c r="B1068" s="8" t="s">
        <v>247</v>
      </c>
      <c r="C1068" s="8" t="s">
        <v>841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935</v>
      </c>
      <c r="B1069" s="8" t="s">
        <v>247</v>
      </c>
      <c r="C1069" s="8" t="s">
        <v>842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935</v>
      </c>
      <c r="B1070" s="8" t="s">
        <v>247</v>
      </c>
      <c r="C1070" s="8" t="s">
        <v>843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935</v>
      </c>
      <c r="B1071" s="8" t="s">
        <v>172</v>
      </c>
      <c r="C1071" s="8" t="s">
        <v>663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935</v>
      </c>
      <c r="B1072" s="8" t="s">
        <v>172</v>
      </c>
      <c r="C1072" s="8" t="s">
        <v>662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935</v>
      </c>
      <c r="B1073" s="8" t="s">
        <v>172</v>
      </c>
      <c r="C1073" s="8" t="s">
        <v>664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935</v>
      </c>
      <c r="B1074" s="8" t="s">
        <v>172</v>
      </c>
      <c r="C1074" s="8" t="s">
        <v>661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935</v>
      </c>
      <c r="B1075" s="8" t="s">
        <v>172</v>
      </c>
      <c r="C1075" s="8" t="s">
        <v>844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935</v>
      </c>
      <c r="B1076" s="8" t="s">
        <v>300</v>
      </c>
      <c r="C1076" s="8" t="s">
        <v>845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935</v>
      </c>
      <c r="B1077" s="8" t="s">
        <v>300</v>
      </c>
      <c r="C1077" s="8" t="s">
        <v>846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935</v>
      </c>
      <c r="B1078" s="8" t="s">
        <v>300</v>
      </c>
      <c r="C1078" s="8" t="s">
        <v>847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935</v>
      </c>
      <c r="B1079" s="8" t="s">
        <v>300</v>
      </c>
      <c r="C1079" s="8" t="s">
        <v>848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935</v>
      </c>
      <c r="B1080" s="8" t="s">
        <v>228</v>
      </c>
      <c r="C1080" s="8" t="s">
        <v>849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935</v>
      </c>
      <c r="B1081" s="8" t="s">
        <v>228</v>
      </c>
      <c r="C1081" s="8" t="s">
        <v>850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935</v>
      </c>
      <c r="B1082" s="8" t="s">
        <v>228</v>
      </c>
      <c r="C1082" s="8" t="s">
        <v>851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935</v>
      </c>
      <c r="B1083" s="8" t="s">
        <v>228</v>
      </c>
      <c r="C1083" s="8" t="s">
        <v>852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935</v>
      </c>
      <c r="B1084" s="8" t="s">
        <v>366</v>
      </c>
      <c r="C1084" s="8" t="s">
        <v>853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935</v>
      </c>
      <c r="B1085" s="8" t="s">
        <v>370</v>
      </c>
      <c r="C1085" s="8" t="s">
        <v>853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935</v>
      </c>
      <c r="B1086" s="8" t="s">
        <v>369</v>
      </c>
      <c r="C1086" s="8" t="s">
        <v>853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935</v>
      </c>
      <c r="B1087" s="8" t="s">
        <v>371</v>
      </c>
      <c r="C1087" s="8" t="s">
        <v>853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935</v>
      </c>
      <c r="B1088" s="8" t="s">
        <v>139</v>
      </c>
      <c r="C1088" s="8" t="s">
        <v>854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935</v>
      </c>
      <c r="B1089" s="8" t="s">
        <v>139</v>
      </c>
      <c r="C1089" s="8" t="s">
        <v>855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935</v>
      </c>
      <c r="B1090" s="8" t="s">
        <v>139</v>
      </c>
      <c r="C1090" s="8" t="s">
        <v>856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935</v>
      </c>
      <c r="B1091" s="8" t="s">
        <v>139</v>
      </c>
      <c r="C1091" s="8" t="s">
        <v>857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935</v>
      </c>
      <c r="B1092" s="8" t="s">
        <v>139</v>
      </c>
      <c r="C1092" s="8" t="s">
        <v>858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935</v>
      </c>
      <c r="B1093" s="8" t="s">
        <v>299</v>
      </c>
      <c r="C1093" s="8" t="s">
        <v>859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935</v>
      </c>
      <c r="B1094" s="8" t="s">
        <v>283</v>
      </c>
      <c r="C1094" s="8" t="s">
        <v>860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935</v>
      </c>
      <c r="B1095" s="8" t="s">
        <v>283</v>
      </c>
      <c r="C1095" s="8" t="s">
        <v>861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935</v>
      </c>
      <c r="B1096" s="8" t="s">
        <v>282</v>
      </c>
      <c r="C1096" s="8" t="s">
        <v>862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935</v>
      </c>
      <c r="B1097" s="8" t="s">
        <v>282</v>
      </c>
      <c r="C1097" s="8" t="s">
        <v>863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935</v>
      </c>
      <c r="B1098" s="8" t="s">
        <v>281</v>
      </c>
      <c r="C1098" s="8" t="s">
        <v>864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935</v>
      </c>
      <c r="B1099" s="8" t="s">
        <v>281</v>
      </c>
      <c r="C1099" s="8" t="s">
        <v>865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935</v>
      </c>
      <c r="B1100" s="8" t="s">
        <v>284</v>
      </c>
      <c r="C1100" s="8" t="s">
        <v>866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935</v>
      </c>
      <c r="B1101" s="8" t="s">
        <v>284</v>
      </c>
      <c r="C1101" s="8" t="s">
        <v>867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935</v>
      </c>
      <c r="B1102" s="8" t="s">
        <v>18</v>
      </c>
      <c r="C1102" s="8" t="s">
        <v>868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935</v>
      </c>
      <c r="B1103" s="8" t="s">
        <v>18</v>
      </c>
      <c r="C1103" s="8" t="s">
        <v>869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935</v>
      </c>
      <c r="B1104" s="8" t="s">
        <v>18</v>
      </c>
      <c r="C1104" s="8" t="s">
        <v>870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935</v>
      </c>
      <c r="B1105" s="8" t="s">
        <v>241</v>
      </c>
      <c r="C1105" s="8" t="s">
        <v>871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935</v>
      </c>
      <c r="B1106" s="8" t="s">
        <v>234</v>
      </c>
      <c r="C1106" s="8" t="s">
        <v>871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935</v>
      </c>
      <c r="B1107" s="8" t="s">
        <v>242</v>
      </c>
      <c r="C1107" s="8" t="s">
        <v>871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935</v>
      </c>
      <c r="B1108" s="8" t="s">
        <v>265</v>
      </c>
      <c r="C1108" s="8" t="s">
        <v>871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935</v>
      </c>
      <c r="B1109" s="8" t="s">
        <v>236</v>
      </c>
      <c r="C1109" s="8" t="s">
        <v>872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935</v>
      </c>
      <c r="B1110" s="8" t="s">
        <v>232</v>
      </c>
      <c r="C1110" s="8" t="s">
        <v>872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935</v>
      </c>
      <c r="B1111" s="8" t="s">
        <v>260</v>
      </c>
      <c r="C1111" s="8" t="s">
        <v>872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935</v>
      </c>
      <c r="B1112" s="8" t="s">
        <v>250</v>
      </c>
      <c r="C1112" s="8" t="s">
        <v>872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935</v>
      </c>
      <c r="B1113" s="8" t="s">
        <v>153</v>
      </c>
      <c r="C1113" s="8" t="s">
        <v>873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935</v>
      </c>
      <c r="B1114" s="8" t="s">
        <v>153</v>
      </c>
      <c r="C1114" s="8" t="s">
        <v>874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935</v>
      </c>
      <c r="B1115" s="8" t="s">
        <v>271</v>
      </c>
      <c r="C1115" s="8" t="s">
        <v>875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935</v>
      </c>
      <c r="B1116" s="8" t="s">
        <v>84</v>
      </c>
      <c r="C1116" s="8" t="s">
        <v>876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935</v>
      </c>
      <c r="B1117" s="8" t="s">
        <v>166</v>
      </c>
      <c r="C1117" s="8" t="s">
        <v>877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935</v>
      </c>
      <c r="B1118" s="8" t="s">
        <v>84</v>
      </c>
      <c r="C1118" s="8" t="s">
        <v>878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935</v>
      </c>
      <c r="B1119" s="8" t="s">
        <v>337</v>
      </c>
      <c r="C1119" s="8" t="s">
        <v>879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935</v>
      </c>
      <c r="B1120" s="8" t="s">
        <v>87</v>
      </c>
      <c r="C1120" s="8" t="s">
        <v>880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935</v>
      </c>
      <c r="B1121" s="8" t="s">
        <v>87</v>
      </c>
      <c r="C1121" s="8" t="s">
        <v>881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935</v>
      </c>
      <c r="B1122" s="8" t="s">
        <v>87</v>
      </c>
      <c r="C1122" s="8" t="s">
        <v>882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935</v>
      </c>
      <c r="B1123" s="8" t="s">
        <v>87</v>
      </c>
      <c r="C1123" s="8" t="s">
        <v>883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935</v>
      </c>
      <c r="B1124" s="8" t="s">
        <v>87</v>
      </c>
      <c r="C1124" s="8" t="s">
        <v>884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935</v>
      </c>
      <c r="B1125" s="8" t="s">
        <v>79</v>
      </c>
      <c r="C1125" s="8" t="s">
        <v>885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935</v>
      </c>
      <c r="B1126" s="8" t="s">
        <v>79</v>
      </c>
      <c r="C1126" s="8" t="s">
        <v>886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935</v>
      </c>
      <c r="B1127" s="8" t="s">
        <v>79</v>
      </c>
      <c r="C1127" s="8" t="s">
        <v>887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935</v>
      </c>
      <c r="B1128" s="8" t="s">
        <v>79</v>
      </c>
      <c r="C1128" s="8" t="s">
        <v>888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935</v>
      </c>
      <c r="B1129" s="8" t="s">
        <v>79</v>
      </c>
      <c r="C1129" s="8" t="s">
        <v>889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935</v>
      </c>
      <c r="B1130" s="8" t="s">
        <v>131</v>
      </c>
      <c r="C1130" s="8" t="s">
        <v>890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935</v>
      </c>
      <c r="B1131" s="8" t="s">
        <v>131</v>
      </c>
      <c r="C1131" s="8" t="s">
        <v>891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935</v>
      </c>
      <c r="B1132" s="8" t="s">
        <v>131</v>
      </c>
      <c r="C1132" s="8" t="s">
        <v>892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935</v>
      </c>
      <c r="B1133" s="8" t="s">
        <v>131</v>
      </c>
      <c r="C1133" s="8" t="s">
        <v>893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935</v>
      </c>
      <c r="B1134" s="8" t="s">
        <v>131</v>
      </c>
      <c r="C1134" s="8" t="s">
        <v>894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935</v>
      </c>
      <c r="B1135" s="8" t="s">
        <v>303</v>
      </c>
      <c r="C1135" s="8" t="s">
        <v>895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935</v>
      </c>
      <c r="B1136" s="8" t="s">
        <v>335</v>
      </c>
      <c r="C1136" s="8" t="s">
        <v>896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935</v>
      </c>
      <c r="B1137" s="8" t="s">
        <v>287</v>
      </c>
      <c r="C1137" s="8" t="s">
        <v>897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935</v>
      </c>
      <c r="B1138" s="8" t="s">
        <v>189</v>
      </c>
      <c r="C1138" s="8" t="s">
        <v>898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935</v>
      </c>
      <c r="B1139" s="8" t="s">
        <v>273</v>
      </c>
      <c r="C1139" s="8" t="s">
        <v>899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935</v>
      </c>
      <c r="B1140" s="8" t="s">
        <v>202</v>
      </c>
      <c r="C1140" s="8" t="s">
        <v>900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935</v>
      </c>
      <c r="B1141" s="8" t="s">
        <v>202</v>
      </c>
      <c r="C1141" s="8" t="s">
        <v>901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935</v>
      </c>
      <c r="B1142" s="8" t="s">
        <v>202</v>
      </c>
      <c r="C1142" s="8" t="s">
        <v>902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935</v>
      </c>
      <c r="B1143" s="8" t="s">
        <v>202</v>
      </c>
      <c r="C1143" s="8" t="s">
        <v>903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935</v>
      </c>
      <c r="B1144" s="8" t="s">
        <v>186</v>
      </c>
      <c r="C1144" s="8" t="s">
        <v>904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935</v>
      </c>
      <c r="B1145" s="8" t="s">
        <v>163</v>
      </c>
      <c r="C1145" s="8" t="s">
        <v>905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935</v>
      </c>
      <c r="B1146" s="8" t="s">
        <v>152</v>
      </c>
      <c r="C1146" s="8" t="s">
        <v>906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935</v>
      </c>
      <c r="B1147" s="8" t="s">
        <v>193</v>
      </c>
      <c r="C1147" s="8" t="s">
        <v>907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935</v>
      </c>
      <c r="B1148" s="8" t="s">
        <v>322</v>
      </c>
      <c r="C1148" s="8" t="s">
        <v>908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935</v>
      </c>
      <c r="B1149" s="8" t="s">
        <v>256</v>
      </c>
      <c r="C1149" s="8" t="s">
        <v>909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935</v>
      </c>
      <c r="B1150" s="8" t="s">
        <v>327</v>
      </c>
      <c r="C1150" s="8" t="s">
        <v>910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935</v>
      </c>
      <c r="B1151" s="8" t="s">
        <v>92</v>
      </c>
      <c r="C1151" s="8" t="s">
        <v>911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935</v>
      </c>
      <c r="B1152" s="8" t="s">
        <v>92</v>
      </c>
      <c r="C1152" s="8" t="s">
        <v>912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935</v>
      </c>
      <c r="B1153" s="8" t="s">
        <v>92</v>
      </c>
      <c r="C1153" s="8" t="s">
        <v>913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935</v>
      </c>
      <c r="B1154" s="8" t="s">
        <v>92</v>
      </c>
      <c r="C1154" s="8" t="s">
        <v>914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935</v>
      </c>
      <c r="B1155" s="8" t="s">
        <v>243</v>
      </c>
      <c r="C1155" s="8" t="s">
        <v>915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935</v>
      </c>
      <c r="B1156" s="8" t="s">
        <v>331</v>
      </c>
      <c r="C1156" s="8" t="s">
        <v>915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935</v>
      </c>
      <c r="B1157" s="8" t="s">
        <v>243</v>
      </c>
      <c r="C1157" s="8" t="s">
        <v>916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935</v>
      </c>
      <c r="B1158" s="8" t="s">
        <v>329</v>
      </c>
      <c r="C1158" s="8" t="s">
        <v>916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935</v>
      </c>
      <c r="B1159" s="8" t="s">
        <v>81</v>
      </c>
      <c r="C1159" s="8" t="s">
        <v>917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935</v>
      </c>
      <c r="B1160" s="8" t="s">
        <v>138</v>
      </c>
      <c r="C1160" s="8" t="s">
        <v>918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935</v>
      </c>
      <c r="B1161" s="8" t="s">
        <v>99</v>
      </c>
      <c r="C1161" s="8" t="s">
        <v>919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935</v>
      </c>
      <c r="B1162" s="8" t="s">
        <v>136</v>
      </c>
      <c r="C1162" s="8" t="s">
        <v>524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935</v>
      </c>
      <c r="B1163" s="8" t="s">
        <v>205</v>
      </c>
      <c r="C1163" s="8" t="s">
        <v>920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935</v>
      </c>
      <c r="B1164" s="8" t="s">
        <v>140</v>
      </c>
      <c r="C1164" s="8" t="s">
        <v>921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935</v>
      </c>
      <c r="B1165" s="8" t="s">
        <v>140</v>
      </c>
      <c r="C1165" s="8" t="s">
        <v>922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935</v>
      </c>
      <c r="B1166" s="8" t="s">
        <v>140</v>
      </c>
      <c r="C1166" s="8" t="s">
        <v>923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935</v>
      </c>
      <c r="B1167" s="8" t="s">
        <v>277</v>
      </c>
      <c r="C1167" s="8" t="s">
        <v>924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935</v>
      </c>
      <c r="B1168" s="8" t="s">
        <v>160</v>
      </c>
      <c r="C1168" s="8" t="s">
        <v>924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935</v>
      </c>
      <c r="B1169" s="8" t="s">
        <v>168</v>
      </c>
      <c r="C1169" s="8" t="s">
        <v>924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935</v>
      </c>
      <c r="B1170" s="8" t="s">
        <v>277</v>
      </c>
      <c r="C1170" s="8" t="s">
        <v>925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935</v>
      </c>
      <c r="B1171" s="8" t="s">
        <v>160</v>
      </c>
      <c r="C1171" s="8" t="s">
        <v>925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935</v>
      </c>
      <c r="B1172" s="8" t="s">
        <v>168</v>
      </c>
      <c r="C1172" s="8" t="s">
        <v>925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935</v>
      </c>
      <c r="B1173" s="8" t="s">
        <v>83</v>
      </c>
      <c r="C1173" s="8" t="s">
        <v>926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935</v>
      </c>
      <c r="B1174" s="8" t="s">
        <v>122</v>
      </c>
      <c r="C1174" s="8" t="s">
        <v>927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935</v>
      </c>
      <c r="B1175" s="8" t="s">
        <v>122</v>
      </c>
      <c r="C1175" s="8" t="s">
        <v>928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935</v>
      </c>
      <c r="B1176" s="8" t="s">
        <v>90</v>
      </c>
      <c r="C1176" s="8" t="s">
        <v>929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935</v>
      </c>
      <c r="B1177" s="8" t="s">
        <v>72</v>
      </c>
      <c r="C1177" s="8" t="s">
        <v>930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935</v>
      </c>
      <c r="B1178" s="8" t="s">
        <v>72</v>
      </c>
      <c r="C1178" s="8" t="s">
        <v>931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935</v>
      </c>
      <c r="B1179" s="8" t="s">
        <v>72</v>
      </c>
      <c r="C1179" s="8" t="s">
        <v>932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935</v>
      </c>
      <c r="B1180" s="8" t="s">
        <v>72</v>
      </c>
      <c r="C1180" s="8" t="s">
        <v>933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935</v>
      </c>
      <c r="B1181" s="8" t="s">
        <v>72</v>
      </c>
      <c r="C1181" s="8" t="s">
        <v>934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937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395</v>
      </c>
      <c r="B2" s="31" t="s">
        <v>396</v>
      </c>
      <c r="C2" s="31" t="s">
        <v>397</v>
      </c>
      <c r="D2" s="31" t="s">
        <v>27</v>
      </c>
      <c r="E2" s="31" t="s">
        <v>30</v>
      </c>
      <c r="F2" s="31" t="s">
        <v>31</v>
      </c>
      <c r="G2" s="31" t="s">
        <v>33</v>
      </c>
      <c r="H2" s="31" t="s">
        <v>34</v>
      </c>
      <c r="I2" s="31" t="s">
        <v>21</v>
      </c>
      <c r="J2" s="31" t="s">
        <v>18</v>
      </c>
      <c r="K2" s="31" t="s">
        <v>40</v>
      </c>
      <c r="L2" s="31" t="s">
        <v>41</v>
      </c>
      <c r="M2" s="31" t="s">
        <v>37</v>
      </c>
      <c r="N2" s="31" t="s">
        <v>38</v>
      </c>
      <c r="O2" s="31" t="s">
        <v>42</v>
      </c>
      <c r="P2" s="31" t="s">
        <v>43</v>
      </c>
      <c r="Q2" s="31" t="s">
        <v>45</v>
      </c>
      <c r="R2" s="31" t="s">
        <v>44</v>
      </c>
      <c r="S2" s="31" t="s">
        <v>35</v>
      </c>
      <c r="T2" s="31" t="s">
        <v>47</v>
      </c>
      <c r="U2" s="31" t="s">
        <v>36</v>
      </c>
    </row>
    <row r="3" customFormat="false" ht="15" hidden="false" customHeight="true" outlineLevel="0" collapsed="false">
      <c r="A3" s="8" t="s">
        <v>398</v>
      </c>
      <c r="B3" s="8" t="s">
        <v>120</v>
      </c>
      <c r="C3" s="8" t="s">
        <v>399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398</v>
      </c>
      <c r="B4" s="8" t="s">
        <v>120</v>
      </c>
      <c r="C4" s="8" t="s">
        <v>400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398</v>
      </c>
      <c r="B5" s="8" t="s">
        <v>224</v>
      </c>
      <c r="C5" s="8" t="s">
        <v>401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398</v>
      </c>
      <c r="B6" s="8" t="s">
        <v>263</v>
      </c>
      <c r="C6" s="8" t="s">
        <v>402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398</v>
      </c>
      <c r="B7" s="8" t="s">
        <v>333</v>
      </c>
      <c r="C7" s="8" t="s">
        <v>403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398</v>
      </c>
      <c r="B8" s="8" t="s">
        <v>344</v>
      </c>
      <c r="C8" s="8" t="s">
        <v>404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398</v>
      </c>
      <c r="B9" s="8" t="s">
        <v>330</v>
      </c>
      <c r="C9" s="8" t="s">
        <v>405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398</v>
      </c>
      <c r="B10" s="8" t="s">
        <v>245</v>
      </c>
      <c r="C10" s="8" t="s">
        <v>406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398</v>
      </c>
      <c r="B11" s="8" t="s">
        <v>156</v>
      </c>
      <c r="C11" s="8" t="s">
        <v>407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398</v>
      </c>
      <c r="B12" s="8" t="s">
        <v>384</v>
      </c>
      <c r="C12" s="8" t="s">
        <v>938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398</v>
      </c>
      <c r="B13" s="8" t="s">
        <v>144</v>
      </c>
      <c r="C13" s="8" t="s">
        <v>408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398</v>
      </c>
      <c r="B14" s="8" t="s">
        <v>144</v>
      </c>
      <c r="C14" s="8" t="s">
        <v>409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398</v>
      </c>
      <c r="B15" s="8" t="s">
        <v>144</v>
      </c>
      <c r="C15" s="8" t="s">
        <v>410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398</v>
      </c>
      <c r="B16" s="8" t="s">
        <v>324</v>
      </c>
      <c r="C16" s="8" t="s">
        <v>411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398</v>
      </c>
      <c r="B17" s="8" t="s">
        <v>324</v>
      </c>
      <c r="C17" s="8" t="s">
        <v>412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398</v>
      </c>
      <c r="B18" s="8" t="s">
        <v>252</v>
      </c>
      <c r="C18" s="8" t="s">
        <v>413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398</v>
      </c>
      <c r="B19" s="8" t="s">
        <v>293</v>
      </c>
      <c r="C19" s="8" t="s">
        <v>414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398</v>
      </c>
      <c r="B20" s="8" t="s">
        <v>293</v>
      </c>
      <c r="C20" s="8" t="s">
        <v>415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398</v>
      </c>
      <c r="B21" s="8" t="s">
        <v>293</v>
      </c>
      <c r="C21" s="8" t="s">
        <v>416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398</v>
      </c>
      <c r="B22" s="8" t="s">
        <v>376</v>
      </c>
      <c r="C22" s="8" t="s">
        <v>417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398</v>
      </c>
      <c r="B23" s="8" t="s">
        <v>117</v>
      </c>
      <c r="C23" s="8" t="s">
        <v>408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398</v>
      </c>
      <c r="B24" s="8" t="s">
        <v>117</v>
      </c>
      <c r="C24" s="8" t="s">
        <v>418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398</v>
      </c>
      <c r="B25" s="8" t="s">
        <v>117</v>
      </c>
      <c r="C25" s="8" t="s">
        <v>419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398</v>
      </c>
      <c r="B26" s="8" t="s">
        <v>159</v>
      </c>
      <c r="C26" s="8" t="s">
        <v>420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398</v>
      </c>
      <c r="B27" s="8" t="s">
        <v>159</v>
      </c>
      <c r="C27" s="8" t="s">
        <v>421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398</v>
      </c>
      <c r="B28" s="8" t="s">
        <v>159</v>
      </c>
      <c r="C28" s="8" t="s">
        <v>422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398</v>
      </c>
      <c r="B29" s="8" t="s">
        <v>180</v>
      </c>
      <c r="C29" s="8" t="s">
        <v>423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398</v>
      </c>
      <c r="B30" s="8" t="s">
        <v>180</v>
      </c>
      <c r="C30" s="8" t="s">
        <v>424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398</v>
      </c>
      <c r="B31" s="8" t="s">
        <v>180</v>
      </c>
      <c r="C31" s="8" t="s">
        <v>425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398</v>
      </c>
      <c r="B32" s="8" t="s">
        <v>173</v>
      </c>
      <c r="C32" s="8" t="s">
        <v>431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398</v>
      </c>
      <c r="B33" s="8" t="s">
        <v>173</v>
      </c>
      <c r="C33" s="8" t="s">
        <v>432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398</v>
      </c>
      <c r="B34" s="8" t="s">
        <v>173</v>
      </c>
      <c r="C34" s="8" t="s">
        <v>433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398</v>
      </c>
      <c r="B35" s="8" t="s">
        <v>173</v>
      </c>
      <c r="C35" s="8" t="s">
        <v>434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398</v>
      </c>
      <c r="B36" s="8" t="s">
        <v>142</v>
      </c>
      <c r="C36" s="8" t="s">
        <v>436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398</v>
      </c>
      <c r="B37" s="8" t="s">
        <v>142</v>
      </c>
      <c r="C37" s="8" t="s">
        <v>437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398</v>
      </c>
      <c r="B38" s="8" t="s">
        <v>142</v>
      </c>
      <c r="C38" s="8" t="s">
        <v>438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398</v>
      </c>
      <c r="B39" s="8" t="s">
        <v>142</v>
      </c>
      <c r="C39" s="8" t="s">
        <v>439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398</v>
      </c>
      <c r="B40" s="8" t="s">
        <v>142</v>
      </c>
      <c r="C40" s="8" t="s">
        <v>440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398</v>
      </c>
      <c r="B41" s="8" t="s">
        <v>231</v>
      </c>
      <c r="C41" s="8" t="s">
        <v>442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398</v>
      </c>
      <c r="B42" s="8" t="s">
        <v>231</v>
      </c>
      <c r="C42" s="8" t="s">
        <v>443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398</v>
      </c>
      <c r="B43" s="8" t="s">
        <v>231</v>
      </c>
      <c r="C43" s="8" t="s">
        <v>444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398</v>
      </c>
      <c r="B44" s="8" t="s">
        <v>231</v>
      </c>
      <c r="C44" s="8" t="s">
        <v>445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398</v>
      </c>
      <c r="B45" s="8" t="s">
        <v>231</v>
      </c>
      <c r="C45" s="8" t="s">
        <v>446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398</v>
      </c>
      <c r="B46" s="8" t="s">
        <v>97</v>
      </c>
      <c r="C46" s="8" t="s">
        <v>447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398</v>
      </c>
      <c r="B47" s="8" t="s">
        <v>97</v>
      </c>
      <c r="C47" s="8" t="s">
        <v>448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398</v>
      </c>
      <c r="B48" s="8" t="s">
        <v>97</v>
      </c>
      <c r="C48" s="8" t="s">
        <v>449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398</v>
      </c>
      <c r="B49" s="8" t="s">
        <v>97</v>
      </c>
      <c r="C49" s="8" t="s">
        <v>450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398</v>
      </c>
      <c r="B50" s="8" t="s">
        <v>97</v>
      </c>
      <c r="C50" s="8" t="s">
        <v>451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398</v>
      </c>
      <c r="B51" s="8" t="s">
        <v>378</v>
      </c>
      <c r="C51" s="8" t="s">
        <v>939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398</v>
      </c>
      <c r="B52" s="8" t="s">
        <v>222</v>
      </c>
      <c r="C52" s="8" t="s">
        <v>940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398</v>
      </c>
      <c r="B53" s="8" t="s">
        <v>222</v>
      </c>
      <c r="C53" s="8" t="s">
        <v>453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398</v>
      </c>
      <c r="B54" s="8" t="s">
        <v>222</v>
      </c>
      <c r="C54" s="8" t="s">
        <v>941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398</v>
      </c>
      <c r="B55" s="8" t="s">
        <v>222</v>
      </c>
      <c r="C55" s="8" t="s">
        <v>454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398</v>
      </c>
      <c r="B56" s="8" t="s">
        <v>93</v>
      </c>
      <c r="C56" s="8" t="s">
        <v>455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398</v>
      </c>
      <c r="B57" s="8" t="s">
        <v>93</v>
      </c>
      <c r="C57" s="8" t="s">
        <v>456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398</v>
      </c>
      <c r="B58" s="8" t="s">
        <v>93</v>
      </c>
      <c r="C58" s="8" t="s">
        <v>457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398</v>
      </c>
      <c r="B59" s="8" t="s">
        <v>93</v>
      </c>
      <c r="C59" s="8" t="s">
        <v>458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398</v>
      </c>
      <c r="B60" s="8" t="s">
        <v>93</v>
      </c>
      <c r="C60" s="8" t="s">
        <v>459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398</v>
      </c>
      <c r="B61" s="8" t="s">
        <v>67</v>
      </c>
      <c r="C61" s="8" t="s">
        <v>460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398</v>
      </c>
      <c r="B62" s="8" t="s">
        <v>67</v>
      </c>
      <c r="C62" s="8" t="s">
        <v>461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398</v>
      </c>
      <c r="B63" s="8" t="s">
        <v>67</v>
      </c>
      <c r="C63" s="8" t="s">
        <v>462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398</v>
      </c>
      <c r="B64" s="8" t="s">
        <v>67</v>
      </c>
      <c r="C64" s="8" t="s">
        <v>463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398</v>
      </c>
      <c r="B65" s="8" t="s">
        <v>269</v>
      </c>
      <c r="C65" s="8" t="s">
        <v>465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398</v>
      </c>
      <c r="B66" s="8" t="s">
        <v>269</v>
      </c>
      <c r="C66" s="8" t="s">
        <v>467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398</v>
      </c>
      <c r="B67" s="8" t="s">
        <v>294</v>
      </c>
      <c r="C67" s="8" t="s">
        <v>468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398</v>
      </c>
      <c r="B68" s="8" t="s">
        <v>253</v>
      </c>
      <c r="C68" s="8" t="s">
        <v>469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398</v>
      </c>
      <c r="B69" s="8" t="s">
        <v>253</v>
      </c>
      <c r="C69" s="8" t="s">
        <v>470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398</v>
      </c>
      <c r="B70" s="8" t="s">
        <v>253</v>
      </c>
      <c r="C70" s="8" t="s">
        <v>471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398</v>
      </c>
      <c r="B71" s="8" t="s">
        <v>253</v>
      </c>
      <c r="C71" s="8" t="s">
        <v>472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398</v>
      </c>
      <c r="B72" s="8" t="s">
        <v>291</v>
      </c>
      <c r="C72" s="8" t="s">
        <v>942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398</v>
      </c>
      <c r="B73" s="8" t="s">
        <v>291</v>
      </c>
      <c r="C73" s="8" t="s">
        <v>473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398</v>
      </c>
      <c r="B74" s="8" t="s">
        <v>291</v>
      </c>
      <c r="C74" s="8" t="s">
        <v>474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398</v>
      </c>
      <c r="B75" s="8" t="s">
        <v>291</v>
      </c>
      <c r="C75" s="8" t="s">
        <v>943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398</v>
      </c>
      <c r="B76" s="8" t="s">
        <v>181</v>
      </c>
      <c r="C76" s="8" t="s">
        <v>475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398</v>
      </c>
      <c r="B77" s="8" t="s">
        <v>181</v>
      </c>
      <c r="C77" s="8" t="s">
        <v>476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398</v>
      </c>
      <c r="B78" s="8" t="s">
        <v>181</v>
      </c>
      <c r="C78" s="8" t="s">
        <v>477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398</v>
      </c>
      <c r="B79" s="8" t="s">
        <v>181</v>
      </c>
      <c r="C79" s="8" t="s">
        <v>478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398</v>
      </c>
      <c r="B80" s="8" t="s">
        <v>306</v>
      </c>
      <c r="C80" s="8" t="s">
        <v>479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398</v>
      </c>
      <c r="B81" s="8" t="s">
        <v>307</v>
      </c>
      <c r="C81" s="8" t="s">
        <v>479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398</v>
      </c>
      <c r="B82" s="8" t="s">
        <v>197</v>
      </c>
      <c r="C82" s="8" t="s">
        <v>481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398</v>
      </c>
      <c r="B83" s="8" t="s">
        <v>223</v>
      </c>
      <c r="C83" s="8" t="s">
        <v>482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398</v>
      </c>
      <c r="B84" s="8" t="s">
        <v>223</v>
      </c>
      <c r="C84" s="8" t="s">
        <v>483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398</v>
      </c>
      <c r="B85" s="8" t="s">
        <v>223</v>
      </c>
      <c r="C85" s="8" t="s">
        <v>484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398</v>
      </c>
      <c r="B86" s="8" t="s">
        <v>223</v>
      </c>
      <c r="C86" s="8" t="s">
        <v>485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398</v>
      </c>
      <c r="B87" s="8" t="s">
        <v>223</v>
      </c>
      <c r="C87" s="8" t="s">
        <v>486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398</v>
      </c>
      <c r="B88" s="8" t="s">
        <v>203</v>
      </c>
      <c r="C88" s="8" t="s">
        <v>487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398</v>
      </c>
      <c r="B89" s="8" t="s">
        <v>203</v>
      </c>
      <c r="C89" s="8" t="s">
        <v>488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398</v>
      </c>
      <c r="B90" s="8" t="s">
        <v>127</v>
      </c>
      <c r="C90" s="8" t="s">
        <v>489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398</v>
      </c>
      <c r="B91" s="8" t="s">
        <v>127</v>
      </c>
      <c r="C91" s="8" t="s">
        <v>490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398</v>
      </c>
      <c r="B92" s="8" t="s">
        <v>85</v>
      </c>
      <c r="C92" s="8" t="s">
        <v>491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398</v>
      </c>
      <c r="B93" s="8" t="s">
        <v>114</v>
      </c>
      <c r="C93" s="8" t="s">
        <v>491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398</v>
      </c>
      <c r="B94" s="8" t="s">
        <v>285</v>
      </c>
      <c r="C94" s="8" t="s">
        <v>944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398</v>
      </c>
      <c r="B95" s="8" t="s">
        <v>126</v>
      </c>
      <c r="C95" s="8" t="s">
        <v>494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398</v>
      </c>
      <c r="B96" s="8" t="s">
        <v>126</v>
      </c>
      <c r="C96" s="8" t="s">
        <v>495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398</v>
      </c>
      <c r="B97" s="8" t="s">
        <v>126</v>
      </c>
      <c r="C97" s="8" t="s">
        <v>496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398</v>
      </c>
      <c r="B98" s="8" t="s">
        <v>126</v>
      </c>
      <c r="C98" s="8" t="s">
        <v>497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398</v>
      </c>
      <c r="B99" s="8" t="s">
        <v>262</v>
      </c>
      <c r="C99" s="8" t="s">
        <v>498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398</v>
      </c>
      <c r="B100" s="8" t="s">
        <v>262</v>
      </c>
      <c r="C100" s="8" t="s">
        <v>499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398</v>
      </c>
      <c r="B101" s="8" t="s">
        <v>309</v>
      </c>
      <c r="C101" s="8" t="s">
        <v>945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398</v>
      </c>
      <c r="B102" s="8" t="s">
        <v>309</v>
      </c>
      <c r="C102" s="8" t="s">
        <v>946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398</v>
      </c>
      <c r="B103" s="8" t="s">
        <v>126</v>
      </c>
      <c r="C103" s="8" t="s">
        <v>503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398</v>
      </c>
      <c r="B104" s="8" t="s">
        <v>161</v>
      </c>
      <c r="C104" s="8" t="s">
        <v>504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398</v>
      </c>
      <c r="B105" s="8" t="s">
        <v>161</v>
      </c>
      <c r="C105" s="8" t="s">
        <v>505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398</v>
      </c>
      <c r="B106" s="8" t="s">
        <v>255</v>
      </c>
      <c r="C106" s="8" t="s">
        <v>509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398</v>
      </c>
      <c r="B107" s="8" t="s">
        <v>255</v>
      </c>
      <c r="C107" s="8" t="s">
        <v>511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398</v>
      </c>
      <c r="B108" s="8" t="s">
        <v>255</v>
      </c>
      <c r="C108" s="8" t="s">
        <v>512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398</v>
      </c>
      <c r="B109" s="8" t="s">
        <v>255</v>
      </c>
      <c r="C109" s="8" t="s">
        <v>513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398</v>
      </c>
      <c r="B110" s="8" t="s">
        <v>215</v>
      </c>
      <c r="C110" s="8" t="s">
        <v>514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398</v>
      </c>
      <c r="B111" s="8" t="s">
        <v>215</v>
      </c>
      <c r="C111" s="8" t="s">
        <v>515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398</v>
      </c>
      <c r="B112" s="8" t="s">
        <v>215</v>
      </c>
      <c r="C112" s="8" t="s">
        <v>516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398</v>
      </c>
      <c r="B113" s="8" t="s">
        <v>215</v>
      </c>
      <c r="C113" s="8" t="s">
        <v>517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398</v>
      </c>
      <c r="B114" s="8" t="s">
        <v>215</v>
      </c>
      <c r="C114" s="8" t="s">
        <v>518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398</v>
      </c>
      <c r="B115" s="8" t="s">
        <v>210</v>
      </c>
      <c r="C115" s="8" t="s">
        <v>521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398</v>
      </c>
      <c r="B116" s="8" t="s">
        <v>210</v>
      </c>
      <c r="C116" s="8" t="s">
        <v>522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398</v>
      </c>
      <c r="B117" s="8" t="s">
        <v>210</v>
      </c>
      <c r="C117" s="8" t="s">
        <v>523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398</v>
      </c>
      <c r="B118" s="8" t="s">
        <v>110</v>
      </c>
      <c r="C118" s="8" t="s">
        <v>524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398</v>
      </c>
      <c r="B119" s="8" t="s">
        <v>94</v>
      </c>
      <c r="C119" s="8" t="s">
        <v>525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398</v>
      </c>
      <c r="B120" s="8" t="s">
        <v>221</v>
      </c>
      <c r="C120" s="8" t="s">
        <v>526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398</v>
      </c>
      <c r="B121" s="8" t="s">
        <v>71</v>
      </c>
      <c r="C121" s="8" t="s">
        <v>527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398</v>
      </c>
      <c r="B122" s="8" t="s">
        <v>129</v>
      </c>
      <c r="C122" s="8" t="s">
        <v>528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398</v>
      </c>
      <c r="B123" s="8" t="s">
        <v>91</v>
      </c>
      <c r="C123" s="8" t="s">
        <v>529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398</v>
      </c>
      <c r="B124" s="8" t="s">
        <v>151</v>
      </c>
      <c r="C124" s="8" t="s">
        <v>530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398</v>
      </c>
      <c r="B125" s="8" t="s">
        <v>178</v>
      </c>
      <c r="C125" s="8" t="s">
        <v>524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398</v>
      </c>
      <c r="B126" s="8" t="s">
        <v>101</v>
      </c>
      <c r="C126" s="8" t="s">
        <v>524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398</v>
      </c>
      <c r="B127" s="8" t="s">
        <v>148</v>
      </c>
      <c r="C127" s="8" t="s">
        <v>531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398</v>
      </c>
      <c r="B128" s="8" t="s">
        <v>148</v>
      </c>
      <c r="C128" s="8" t="s">
        <v>532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398</v>
      </c>
      <c r="B129" s="8" t="s">
        <v>219</v>
      </c>
      <c r="C129" s="8" t="s">
        <v>533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398</v>
      </c>
      <c r="B130" s="8" t="s">
        <v>95</v>
      </c>
      <c r="C130" s="8" t="s">
        <v>535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398</v>
      </c>
      <c r="B131" s="8" t="s">
        <v>130</v>
      </c>
      <c r="C131" s="8" t="s">
        <v>536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398</v>
      </c>
      <c r="B132" s="8" t="s">
        <v>158</v>
      </c>
      <c r="C132" s="8" t="s">
        <v>537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398</v>
      </c>
      <c r="B133" s="8" t="s">
        <v>233</v>
      </c>
      <c r="C133" s="8" t="s">
        <v>539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398</v>
      </c>
      <c r="B134" s="8" t="s">
        <v>147</v>
      </c>
      <c r="C134" s="8" t="s">
        <v>540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398</v>
      </c>
      <c r="B135" s="8" t="s">
        <v>147</v>
      </c>
      <c r="C135" s="8" t="s">
        <v>541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398</v>
      </c>
      <c r="B136" s="8" t="s">
        <v>147</v>
      </c>
      <c r="C136" s="8" t="s">
        <v>542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398</v>
      </c>
      <c r="B137" s="8" t="s">
        <v>147</v>
      </c>
      <c r="C137" s="8" t="s">
        <v>543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398</v>
      </c>
      <c r="B138" s="8" t="s">
        <v>147</v>
      </c>
      <c r="C138" s="8" t="s">
        <v>544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398</v>
      </c>
      <c r="B139" s="8" t="s">
        <v>355</v>
      </c>
      <c r="C139" s="8" t="s">
        <v>545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398</v>
      </c>
      <c r="B140" s="8" t="s">
        <v>170</v>
      </c>
      <c r="C140" s="8" t="s">
        <v>547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398</v>
      </c>
      <c r="B141" s="8" t="s">
        <v>170</v>
      </c>
      <c r="C141" s="8" t="s">
        <v>548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398</v>
      </c>
      <c r="B142" s="8" t="s">
        <v>170</v>
      </c>
      <c r="C142" s="8" t="s">
        <v>549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398</v>
      </c>
      <c r="B143" s="8" t="s">
        <v>170</v>
      </c>
      <c r="C143" s="8" t="s">
        <v>550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398</v>
      </c>
      <c r="B144" s="8" t="s">
        <v>170</v>
      </c>
      <c r="C144" s="8" t="s">
        <v>551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398</v>
      </c>
      <c r="B145" s="8" t="s">
        <v>121</v>
      </c>
      <c r="C145" s="8" t="s">
        <v>552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398</v>
      </c>
      <c r="B146" s="8" t="s">
        <v>190</v>
      </c>
      <c r="C146" s="8" t="s">
        <v>553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398</v>
      </c>
      <c r="B147" s="8" t="s">
        <v>82</v>
      </c>
      <c r="C147" s="8" t="s">
        <v>554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398</v>
      </c>
      <c r="B148" s="8" t="s">
        <v>82</v>
      </c>
      <c r="C148" s="8" t="s">
        <v>555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398</v>
      </c>
      <c r="B149" s="8" t="s">
        <v>82</v>
      </c>
      <c r="C149" s="8" t="s">
        <v>556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398</v>
      </c>
      <c r="B150" s="8" t="s">
        <v>82</v>
      </c>
      <c r="C150" s="8" t="s">
        <v>557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398</v>
      </c>
      <c r="B151" s="8" t="s">
        <v>82</v>
      </c>
      <c r="C151" s="8" t="s">
        <v>559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398</v>
      </c>
      <c r="B152" s="8" t="s">
        <v>88</v>
      </c>
      <c r="C152" s="8" t="s">
        <v>560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398</v>
      </c>
      <c r="B153" s="8" t="s">
        <v>88</v>
      </c>
      <c r="C153" s="8" t="s">
        <v>561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398</v>
      </c>
      <c r="B154" s="8" t="s">
        <v>88</v>
      </c>
      <c r="C154" s="8" t="s">
        <v>562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398</v>
      </c>
      <c r="B155" s="8" t="s">
        <v>88</v>
      </c>
      <c r="C155" s="8" t="s">
        <v>563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398</v>
      </c>
      <c r="B156" s="8" t="s">
        <v>88</v>
      </c>
      <c r="C156" s="8" t="s">
        <v>564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398</v>
      </c>
      <c r="B157" s="8" t="s">
        <v>83</v>
      </c>
      <c r="C157" s="8" t="s">
        <v>565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398</v>
      </c>
      <c r="B158" s="8" t="s">
        <v>83</v>
      </c>
      <c r="C158" s="8" t="s">
        <v>566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398</v>
      </c>
      <c r="B159" s="8" t="s">
        <v>83</v>
      </c>
      <c r="C159" s="8" t="s">
        <v>567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398</v>
      </c>
      <c r="B160" s="8" t="s">
        <v>83</v>
      </c>
      <c r="C160" s="8" t="s">
        <v>568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398</v>
      </c>
      <c r="B161" s="8" t="s">
        <v>207</v>
      </c>
      <c r="C161" s="8" t="s">
        <v>569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398</v>
      </c>
      <c r="B162" s="8" t="s">
        <v>208</v>
      </c>
      <c r="C162" s="8" t="s">
        <v>570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398</v>
      </c>
      <c r="B163" s="8" t="s">
        <v>119</v>
      </c>
      <c r="C163" s="8" t="s">
        <v>571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398</v>
      </c>
      <c r="B164" s="8" t="s">
        <v>195</v>
      </c>
      <c r="C164" s="8" t="s">
        <v>572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398</v>
      </c>
      <c r="B165" s="8" t="s">
        <v>150</v>
      </c>
      <c r="C165" s="8" t="s">
        <v>573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398</v>
      </c>
      <c r="B166" s="8" t="s">
        <v>187</v>
      </c>
      <c r="C166" s="8" t="s">
        <v>574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398</v>
      </c>
      <c r="B167" s="8" t="s">
        <v>179</v>
      </c>
      <c r="C167" s="8" t="s">
        <v>575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398</v>
      </c>
      <c r="B168" s="8" t="s">
        <v>305</v>
      </c>
      <c r="C168" s="8" t="s">
        <v>576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398</v>
      </c>
      <c r="B169" s="8" t="s">
        <v>328</v>
      </c>
      <c r="C169" s="8" t="s">
        <v>576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398</v>
      </c>
      <c r="B170" s="8" t="s">
        <v>194</v>
      </c>
      <c r="C170" s="8" t="s">
        <v>577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398</v>
      </c>
      <c r="B171" s="8" t="s">
        <v>194</v>
      </c>
      <c r="C171" s="8" t="s">
        <v>578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398</v>
      </c>
      <c r="B172" s="8" t="s">
        <v>194</v>
      </c>
      <c r="C172" s="8" t="s">
        <v>579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398</v>
      </c>
      <c r="B173" s="8" t="s">
        <v>194</v>
      </c>
      <c r="C173" s="8" t="s">
        <v>580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398</v>
      </c>
      <c r="B174" s="8" t="s">
        <v>268</v>
      </c>
      <c r="C174" s="8" t="s">
        <v>581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398</v>
      </c>
      <c r="B175" s="8" t="s">
        <v>268</v>
      </c>
      <c r="C175" s="8" t="s">
        <v>947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398</v>
      </c>
      <c r="B176" s="8" t="s">
        <v>268</v>
      </c>
      <c r="C176" s="8" t="s">
        <v>582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398</v>
      </c>
      <c r="B177" s="8" t="s">
        <v>268</v>
      </c>
      <c r="C177" s="8" t="s">
        <v>583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398</v>
      </c>
      <c r="B178" s="8" t="s">
        <v>141</v>
      </c>
      <c r="C178" s="8" t="s">
        <v>584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398</v>
      </c>
      <c r="B179" s="8" t="s">
        <v>141</v>
      </c>
      <c r="C179" s="8" t="s">
        <v>585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398</v>
      </c>
      <c r="B180" s="8" t="s">
        <v>141</v>
      </c>
      <c r="C180" s="8" t="s">
        <v>586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398</v>
      </c>
      <c r="B181" s="8" t="s">
        <v>141</v>
      </c>
      <c r="C181" s="8" t="s">
        <v>587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398</v>
      </c>
      <c r="B182" s="8" t="s">
        <v>141</v>
      </c>
      <c r="C182" s="8" t="s">
        <v>588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398</v>
      </c>
      <c r="B183" s="8" t="s">
        <v>89</v>
      </c>
      <c r="C183" s="8" t="s">
        <v>589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398</v>
      </c>
      <c r="B184" s="8" t="s">
        <v>89</v>
      </c>
      <c r="C184" s="8" t="s">
        <v>590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398</v>
      </c>
      <c r="B185" s="8" t="s">
        <v>89</v>
      </c>
      <c r="C185" s="8" t="s">
        <v>591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398</v>
      </c>
      <c r="B186" s="8" t="s">
        <v>89</v>
      </c>
      <c r="C186" s="8" t="s">
        <v>592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398</v>
      </c>
      <c r="B187" s="8" t="s">
        <v>89</v>
      </c>
      <c r="C187" s="8" t="s">
        <v>593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398</v>
      </c>
      <c r="B188" s="8" t="s">
        <v>76</v>
      </c>
      <c r="C188" s="8" t="s">
        <v>594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398</v>
      </c>
      <c r="B189" s="8" t="s">
        <v>76</v>
      </c>
      <c r="C189" s="8" t="s">
        <v>595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398</v>
      </c>
      <c r="B190" s="8" t="s">
        <v>76</v>
      </c>
      <c r="C190" s="8" t="s">
        <v>596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398</v>
      </c>
      <c r="B191" s="8" t="s">
        <v>76</v>
      </c>
      <c r="C191" s="8" t="s">
        <v>597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398</v>
      </c>
      <c r="B192" s="8" t="s">
        <v>103</v>
      </c>
      <c r="C192" s="8" t="s">
        <v>598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398</v>
      </c>
      <c r="B193" s="8" t="s">
        <v>103</v>
      </c>
      <c r="C193" s="8" t="s">
        <v>599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398</v>
      </c>
      <c r="B194" s="8" t="s">
        <v>103</v>
      </c>
      <c r="C194" s="8" t="s">
        <v>600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398</v>
      </c>
      <c r="B195" s="8" t="s">
        <v>103</v>
      </c>
      <c r="C195" s="8" t="s">
        <v>601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398</v>
      </c>
      <c r="B196" s="8" t="s">
        <v>103</v>
      </c>
      <c r="C196" s="8" t="s">
        <v>602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398</v>
      </c>
      <c r="B197" s="8" t="s">
        <v>176</v>
      </c>
      <c r="C197" s="8" t="s">
        <v>603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398</v>
      </c>
      <c r="B198" s="8" t="s">
        <v>176</v>
      </c>
      <c r="C198" s="8" t="s">
        <v>604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398</v>
      </c>
      <c r="B199" s="8" t="s">
        <v>176</v>
      </c>
      <c r="C199" s="8" t="s">
        <v>605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398</v>
      </c>
      <c r="B200" s="8" t="s">
        <v>176</v>
      </c>
      <c r="C200" s="8" t="s">
        <v>606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398</v>
      </c>
      <c r="B201" s="8" t="s">
        <v>157</v>
      </c>
      <c r="C201" s="8" t="s">
        <v>608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398</v>
      </c>
      <c r="B202" s="8" t="s">
        <v>157</v>
      </c>
      <c r="C202" s="8" t="s">
        <v>609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398</v>
      </c>
      <c r="B203" s="8" t="s">
        <v>157</v>
      </c>
      <c r="C203" s="8" t="s">
        <v>610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398</v>
      </c>
      <c r="B204" s="8" t="s">
        <v>157</v>
      </c>
      <c r="C204" s="8" t="s">
        <v>611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398</v>
      </c>
      <c r="B205" s="8" t="s">
        <v>157</v>
      </c>
      <c r="C205" s="8" t="s">
        <v>612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398</v>
      </c>
      <c r="B206" s="8" t="s">
        <v>192</v>
      </c>
      <c r="C206" s="8" t="s">
        <v>948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398</v>
      </c>
      <c r="B207" s="8" t="s">
        <v>192</v>
      </c>
      <c r="C207" s="8" t="s">
        <v>613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398</v>
      </c>
      <c r="B208" s="8" t="s">
        <v>192</v>
      </c>
      <c r="C208" s="8" t="s">
        <v>614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398</v>
      </c>
      <c r="B209" s="8" t="s">
        <v>192</v>
      </c>
      <c r="C209" s="8" t="s">
        <v>615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398</v>
      </c>
      <c r="B210" s="8" t="s">
        <v>302</v>
      </c>
      <c r="C210" s="8" t="s">
        <v>617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398</v>
      </c>
      <c r="B211" s="8" t="s">
        <v>302</v>
      </c>
      <c r="C211" s="8" t="s">
        <v>618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398</v>
      </c>
      <c r="B212" s="8" t="s">
        <v>302</v>
      </c>
      <c r="C212" s="8" t="s">
        <v>949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398</v>
      </c>
      <c r="B213" s="8" t="s">
        <v>111</v>
      </c>
      <c r="C213" s="8" t="s">
        <v>619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398</v>
      </c>
      <c r="B214" s="8" t="s">
        <v>111</v>
      </c>
      <c r="C214" s="8" t="s">
        <v>620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398</v>
      </c>
      <c r="B215" s="8" t="s">
        <v>111</v>
      </c>
      <c r="C215" s="8" t="s">
        <v>621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398</v>
      </c>
      <c r="B216" s="8" t="s">
        <v>111</v>
      </c>
      <c r="C216" s="8" t="s">
        <v>622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398</v>
      </c>
      <c r="B217" s="8" t="s">
        <v>111</v>
      </c>
      <c r="C217" s="8" t="s">
        <v>623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398</v>
      </c>
      <c r="B218" s="8" t="s">
        <v>113</v>
      </c>
      <c r="C218" s="8" t="s">
        <v>624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398</v>
      </c>
      <c r="B219" s="8" t="s">
        <v>113</v>
      </c>
      <c r="C219" s="8" t="s">
        <v>625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398</v>
      </c>
      <c r="B220" s="8" t="s">
        <v>113</v>
      </c>
      <c r="C220" s="8" t="s">
        <v>626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398</v>
      </c>
      <c r="B221" s="8" t="s">
        <v>113</v>
      </c>
      <c r="C221" s="8" t="s">
        <v>627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398</v>
      </c>
      <c r="B222" s="8" t="s">
        <v>80</v>
      </c>
      <c r="C222" s="8" t="s">
        <v>628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398</v>
      </c>
      <c r="B223" s="8" t="s">
        <v>80</v>
      </c>
      <c r="C223" s="8" t="s">
        <v>629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398</v>
      </c>
      <c r="B224" s="8" t="s">
        <v>80</v>
      </c>
      <c r="C224" s="8" t="s">
        <v>630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398</v>
      </c>
      <c r="B225" s="8" t="s">
        <v>80</v>
      </c>
      <c r="C225" s="8" t="s">
        <v>631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398</v>
      </c>
      <c r="B226" s="8" t="s">
        <v>125</v>
      </c>
      <c r="C226" s="8" t="s">
        <v>632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398</v>
      </c>
      <c r="B227" s="8" t="s">
        <v>125</v>
      </c>
      <c r="C227" s="8" t="s">
        <v>633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398</v>
      </c>
      <c r="B228" s="8" t="s">
        <v>125</v>
      </c>
      <c r="C228" s="8" t="s">
        <v>634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398</v>
      </c>
      <c r="B229" s="8" t="s">
        <v>125</v>
      </c>
      <c r="C229" s="8" t="s">
        <v>635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398</v>
      </c>
      <c r="B230" s="8" t="s">
        <v>125</v>
      </c>
      <c r="C230" s="8" t="s">
        <v>636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398</v>
      </c>
      <c r="B231" s="8" t="s">
        <v>125</v>
      </c>
      <c r="C231" s="8" t="s">
        <v>637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398</v>
      </c>
      <c r="B232" s="8" t="s">
        <v>132</v>
      </c>
      <c r="C232" s="8" t="s">
        <v>638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398</v>
      </c>
      <c r="B233" s="8" t="s">
        <v>216</v>
      </c>
      <c r="C233" s="8" t="s">
        <v>639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398</v>
      </c>
      <c r="B234" s="8" t="s">
        <v>100</v>
      </c>
      <c r="C234" s="8" t="s">
        <v>640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398</v>
      </c>
      <c r="B235" s="8" t="s">
        <v>100</v>
      </c>
      <c r="C235" s="8" t="s">
        <v>641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398</v>
      </c>
      <c r="B236" s="8" t="s">
        <v>100</v>
      </c>
      <c r="C236" s="8" t="s">
        <v>642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398</v>
      </c>
      <c r="B237" s="8" t="s">
        <v>100</v>
      </c>
      <c r="C237" s="8" t="s">
        <v>643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398</v>
      </c>
      <c r="B238" s="8" t="s">
        <v>100</v>
      </c>
      <c r="C238" s="8" t="s">
        <v>644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398</v>
      </c>
      <c r="B239" s="8" t="s">
        <v>100</v>
      </c>
      <c r="C239" s="8" t="s">
        <v>645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398</v>
      </c>
      <c r="B240" s="8" t="s">
        <v>128</v>
      </c>
      <c r="C240" s="8" t="s">
        <v>646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398</v>
      </c>
      <c r="B241" s="8" t="s">
        <v>128</v>
      </c>
      <c r="C241" s="8" t="s">
        <v>647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398</v>
      </c>
      <c r="B242" s="8" t="s">
        <v>128</v>
      </c>
      <c r="C242" s="8" t="s">
        <v>648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398</v>
      </c>
      <c r="B243" s="8" t="s">
        <v>177</v>
      </c>
      <c r="C243" s="8" t="s">
        <v>649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398</v>
      </c>
      <c r="B244" s="8" t="s">
        <v>297</v>
      </c>
      <c r="C244" s="8" t="s">
        <v>950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398</v>
      </c>
      <c r="B245" s="8" t="s">
        <v>211</v>
      </c>
      <c r="C245" s="8" t="s">
        <v>654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398</v>
      </c>
      <c r="B246" s="8" t="s">
        <v>266</v>
      </c>
      <c r="C246" s="8" t="s">
        <v>658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398</v>
      </c>
      <c r="B247" s="8" t="s">
        <v>266</v>
      </c>
      <c r="C247" s="8" t="s">
        <v>659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398</v>
      </c>
      <c r="B248" s="8" t="s">
        <v>266</v>
      </c>
      <c r="C248" s="8" t="s">
        <v>660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398</v>
      </c>
      <c r="B249" s="8" t="s">
        <v>213</v>
      </c>
      <c r="C249" s="8" t="s">
        <v>663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398</v>
      </c>
      <c r="B250" s="8" t="s">
        <v>261</v>
      </c>
      <c r="C250" s="8" t="s">
        <v>665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398</v>
      </c>
      <c r="B251" s="8" t="s">
        <v>240</v>
      </c>
      <c r="C251" s="8" t="s">
        <v>666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398</v>
      </c>
      <c r="B252" s="8" t="s">
        <v>240</v>
      </c>
      <c r="C252" s="8" t="s">
        <v>667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398</v>
      </c>
      <c r="B253" s="8" t="s">
        <v>240</v>
      </c>
      <c r="C253" s="8" t="s">
        <v>668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398</v>
      </c>
      <c r="B254" s="8" t="s">
        <v>367</v>
      </c>
      <c r="C254" s="8" t="s">
        <v>951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398</v>
      </c>
      <c r="B255" s="8" t="s">
        <v>259</v>
      </c>
      <c r="C255" s="8" t="s">
        <v>669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398</v>
      </c>
      <c r="B256" s="8" t="s">
        <v>259</v>
      </c>
      <c r="C256" s="8" t="s">
        <v>670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398</v>
      </c>
      <c r="B257" s="8" t="s">
        <v>259</v>
      </c>
      <c r="C257" s="8" t="s">
        <v>671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398</v>
      </c>
      <c r="B258" s="8" t="s">
        <v>259</v>
      </c>
      <c r="C258" s="8" t="s">
        <v>672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398</v>
      </c>
      <c r="B259" s="8" t="s">
        <v>259</v>
      </c>
      <c r="C259" s="8" t="s">
        <v>673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398</v>
      </c>
      <c r="B260" s="8" t="s">
        <v>320</v>
      </c>
      <c r="C260" s="8" t="s">
        <v>674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398</v>
      </c>
      <c r="B261" s="8" t="s">
        <v>244</v>
      </c>
      <c r="C261" s="8" t="s">
        <v>679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398</v>
      </c>
      <c r="B262" s="8" t="s">
        <v>314</v>
      </c>
      <c r="C262" s="8" t="s">
        <v>952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398</v>
      </c>
      <c r="B263" s="8" t="s">
        <v>301</v>
      </c>
      <c r="C263" s="8" t="s">
        <v>683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398</v>
      </c>
      <c r="B264" s="8" t="s">
        <v>301</v>
      </c>
      <c r="C264" s="8" t="s">
        <v>684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398</v>
      </c>
      <c r="B265" s="8" t="s">
        <v>301</v>
      </c>
      <c r="C265" s="8" t="s">
        <v>685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398</v>
      </c>
      <c r="B266" s="8" t="s">
        <v>341</v>
      </c>
      <c r="C266" s="8" t="s">
        <v>689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398</v>
      </c>
      <c r="B267" s="8" t="s">
        <v>341</v>
      </c>
      <c r="C267" s="8" t="s">
        <v>690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398</v>
      </c>
      <c r="B268" s="8" t="s">
        <v>100</v>
      </c>
      <c r="C268" s="8" t="s">
        <v>691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398</v>
      </c>
      <c r="B269" s="8" t="s">
        <v>261</v>
      </c>
      <c r="C269" s="8" t="s">
        <v>692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398</v>
      </c>
      <c r="B270" s="8" t="s">
        <v>257</v>
      </c>
      <c r="C270" s="8" t="s">
        <v>693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398</v>
      </c>
      <c r="B271" s="8" t="s">
        <v>171</v>
      </c>
      <c r="C271" s="8" t="s">
        <v>694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398</v>
      </c>
      <c r="B272" s="8" t="s">
        <v>218</v>
      </c>
      <c r="C272" s="8" t="s">
        <v>696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398</v>
      </c>
      <c r="B273" s="8" t="s">
        <v>143</v>
      </c>
      <c r="C273" s="8" t="s">
        <v>697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398</v>
      </c>
      <c r="B274" s="8" t="s">
        <v>135</v>
      </c>
      <c r="C274" s="8" t="s">
        <v>698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398</v>
      </c>
      <c r="B275" s="8" t="s">
        <v>310</v>
      </c>
      <c r="C275" s="8" t="s">
        <v>699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398</v>
      </c>
      <c r="B276" s="8" t="s">
        <v>149</v>
      </c>
      <c r="C276" s="8" t="s">
        <v>700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398</v>
      </c>
      <c r="B277" s="8" t="s">
        <v>89</v>
      </c>
      <c r="C277" s="8" t="s">
        <v>701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398</v>
      </c>
      <c r="B278" s="8" t="s">
        <v>238</v>
      </c>
      <c r="C278" s="8" t="s">
        <v>702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398</v>
      </c>
      <c r="B279" s="8" t="s">
        <v>98</v>
      </c>
      <c r="C279" s="8" t="s">
        <v>707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398</v>
      </c>
      <c r="B280" s="8" t="s">
        <v>74</v>
      </c>
      <c r="C280" s="8" t="s">
        <v>708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398</v>
      </c>
      <c r="B281" s="8" t="s">
        <v>74</v>
      </c>
      <c r="C281" s="8" t="s">
        <v>709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398</v>
      </c>
      <c r="B282" s="8" t="s">
        <v>74</v>
      </c>
      <c r="C282" s="8" t="s">
        <v>710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398</v>
      </c>
      <c r="B283" s="8" t="s">
        <v>74</v>
      </c>
      <c r="C283" s="8" t="s">
        <v>711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398</v>
      </c>
      <c r="B284" s="8" t="s">
        <v>74</v>
      </c>
      <c r="C284" s="8" t="s">
        <v>712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398</v>
      </c>
      <c r="B285" s="8" t="s">
        <v>78</v>
      </c>
      <c r="C285" s="8" t="s">
        <v>713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398</v>
      </c>
      <c r="B286" s="8" t="s">
        <v>78</v>
      </c>
      <c r="C286" s="8" t="s">
        <v>714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398</v>
      </c>
      <c r="B287" s="8" t="s">
        <v>78</v>
      </c>
      <c r="C287" s="8" t="s">
        <v>715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398</v>
      </c>
      <c r="B288" s="8" t="s">
        <v>78</v>
      </c>
      <c r="C288" s="8" t="s">
        <v>716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398</v>
      </c>
      <c r="B289" s="8" t="s">
        <v>279</v>
      </c>
      <c r="C289" s="8" t="s">
        <v>953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398</v>
      </c>
      <c r="B290" s="8" t="s">
        <v>270</v>
      </c>
      <c r="C290" s="8" t="s">
        <v>718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398</v>
      </c>
      <c r="B291" s="8" t="s">
        <v>290</v>
      </c>
      <c r="C291" s="8" t="s">
        <v>719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398</v>
      </c>
      <c r="B292" s="8" t="s">
        <v>105</v>
      </c>
      <c r="C292" s="8" t="s">
        <v>720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398</v>
      </c>
      <c r="B293" s="8" t="s">
        <v>124</v>
      </c>
      <c r="C293" s="8" t="s">
        <v>721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398</v>
      </c>
      <c r="B294" s="8" t="s">
        <v>108</v>
      </c>
      <c r="C294" s="8" t="s">
        <v>722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398</v>
      </c>
      <c r="B295" s="8" t="s">
        <v>280</v>
      </c>
      <c r="C295" s="8" t="s">
        <v>724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398</v>
      </c>
      <c r="B296" s="8" t="s">
        <v>251</v>
      </c>
      <c r="C296" s="8" t="s">
        <v>725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398</v>
      </c>
      <c r="B297" s="8" t="s">
        <v>251</v>
      </c>
      <c r="C297" s="8" t="s">
        <v>726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398</v>
      </c>
      <c r="B298" s="8" t="s">
        <v>251</v>
      </c>
      <c r="C298" s="8" t="s">
        <v>724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398</v>
      </c>
      <c r="B299" s="8" t="s">
        <v>184</v>
      </c>
      <c r="C299" s="8" t="s">
        <v>727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398</v>
      </c>
      <c r="B300" s="8" t="s">
        <v>184</v>
      </c>
      <c r="C300" s="8" t="s">
        <v>728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398</v>
      </c>
      <c r="B301" s="8" t="s">
        <v>155</v>
      </c>
      <c r="C301" s="8" t="s">
        <v>727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398</v>
      </c>
      <c r="B302" s="8" t="s">
        <v>155</v>
      </c>
      <c r="C302" s="8" t="s">
        <v>728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398</v>
      </c>
      <c r="B303" s="8" t="s">
        <v>217</v>
      </c>
      <c r="C303" s="8" t="s">
        <v>729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398</v>
      </c>
      <c r="B304" s="8" t="s">
        <v>254</v>
      </c>
      <c r="C304" s="8" t="s">
        <v>954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398</v>
      </c>
      <c r="B305" s="8" t="s">
        <v>372</v>
      </c>
      <c r="C305" s="8" t="s">
        <v>955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398</v>
      </c>
      <c r="B306" s="8" t="s">
        <v>73</v>
      </c>
      <c r="C306" s="8" t="s">
        <v>736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398</v>
      </c>
      <c r="B307" s="8" t="s">
        <v>73</v>
      </c>
      <c r="C307" s="8" t="s">
        <v>737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398</v>
      </c>
      <c r="B308" s="8" t="s">
        <v>73</v>
      </c>
      <c r="C308" s="8" t="s">
        <v>738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398</v>
      </c>
      <c r="B309" s="8" t="s">
        <v>112</v>
      </c>
      <c r="C309" s="8" t="s">
        <v>739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398</v>
      </c>
      <c r="B310" s="8" t="s">
        <v>112</v>
      </c>
      <c r="C310" s="8" t="s">
        <v>740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398</v>
      </c>
      <c r="B311" s="8" t="s">
        <v>112</v>
      </c>
      <c r="C311" s="8" t="s">
        <v>741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398</v>
      </c>
      <c r="B312" s="8" t="s">
        <v>169</v>
      </c>
      <c r="C312" s="8" t="s">
        <v>639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398</v>
      </c>
      <c r="B313" s="8" t="s">
        <v>75</v>
      </c>
      <c r="C313" s="8" t="s">
        <v>744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398</v>
      </c>
      <c r="B314" s="8" t="s">
        <v>75</v>
      </c>
      <c r="C314" s="8" t="s">
        <v>745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398</v>
      </c>
      <c r="B315" s="8" t="s">
        <v>75</v>
      </c>
      <c r="C315" s="8" t="s">
        <v>746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398</v>
      </c>
      <c r="B316" s="8" t="s">
        <v>75</v>
      </c>
      <c r="C316" s="8" t="s">
        <v>747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398</v>
      </c>
      <c r="B317" s="8" t="s">
        <v>349</v>
      </c>
      <c r="C317" s="8" t="s">
        <v>749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398</v>
      </c>
      <c r="B318" s="8" t="s">
        <v>104</v>
      </c>
      <c r="C318" s="8" t="s">
        <v>754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398</v>
      </c>
      <c r="B319" s="8" t="s">
        <v>230</v>
      </c>
      <c r="C319" s="8" t="s">
        <v>755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398</v>
      </c>
      <c r="B320" s="8" t="s">
        <v>196</v>
      </c>
      <c r="C320" s="8" t="s">
        <v>756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398</v>
      </c>
      <c r="B321" s="8" t="s">
        <v>226</v>
      </c>
      <c r="C321" s="8" t="s">
        <v>757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398</v>
      </c>
      <c r="B322" s="8" t="s">
        <v>137</v>
      </c>
      <c r="C322" s="8" t="s">
        <v>758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398</v>
      </c>
      <c r="B323" s="8" t="s">
        <v>191</v>
      </c>
      <c r="C323" s="8" t="s">
        <v>759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398</v>
      </c>
      <c r="B324" s="8" t="s">
        <v>225</v>
      </c>
      <c r="C324" s="8" t="s">
        <v>760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398</v>
      </c>
      <c r="B325" s="8" t="s">
        <v>225</v>
      </c>
      <c r="C325" s="8" t="s">
        <v>761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398</v>
      </c>
      <c r="B326" s="8" t="s">
        <v>225</v>
      </c>
      <c r="C326" s="8" t="s">
        <v>762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398</v>
      </c>
      <c r="B327" s="8" t="s">
        <v>225</v>
      </c>
      <c r="C327" s="8" t="s">
        <v>764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398</v>
      </c>
      <c r="B328" s="8" t="s">
        <v>225</v>
      </c>
      <c r="C328" s="8" t="s">
        <v>956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398</v>
      </c>
      <c r="B329" s="8" t="s">
        <v>225</v>
      </c>
      <c r="C329" s="8" t="s">
        <v>765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398</v>
      </c>
      <c r="B330" s="8" t="s">
        <v>225</v>
      </c>
      <c r="C330" s="8" t="s">
        <v>767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398</v>
      </c>
      <c r="B331" s="8" t="s">
        <v>225</v>
      </c>
      <c r="C331" s="8" t="s">
        <v>770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398</v>
      </c>
      <c r="B332" s="8" t="s">
        <v>276</v>
      </c>
      <c r="C332" s="8" t="s">
        <v>771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398</v>
      </c>
      <c r="B333" s="8" t="s">
        <v>198</v>
      </c>
      <c r="C333" s="8" t="s">
        <v>772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398</v>
      </c>
      <c r="B334" s="8" t="s">
        <v>318</v>
      </c>
      <c r="C334" s="8" t="s">
        <v>773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398</v>
      </c>
      <c r="B335" s="8" t="s">
        <v>354</v>
      </c>
      <c r="C335" s="8" t="s">
        <v>774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398</v>
      </c>
      <c r="B336" s="8" t="s">
        <v>375</v>
      </c>
      <c r="C336" s="8" t="s">
        <v>776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398</v>
      </c>
      <c r="B337" s="8" t="s">
        <v>347</v>
      </c>
      <c r="C337" s="8" t="s">
        <v>777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398</v>
      </c>
      <c r="B338" s="8" t="s">
        <v>289</v>
      </c>
      <c r="C338" s="8" t="s">
        <v>778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398</v>
      </c>
      <c r="B339" s="8" t="s">
        <v>248</v>
      </c>
      <c r="C339" s="8" t="s">
        <v>779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398</v>
      </c>
      <c r="B340" s="8" t="s">
        <v>214</v>
      </c>
      <c r="C340" s="8" t="s">
        <v>780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398</v>
      </c>
      <c r="B341" s="8" t="s">
        <v>86</v>
      </c>
      <c r="C341" s="8" t="s">
        <v>781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398</v>
      </c>
      <c r="B342" s="8" t="s">
        <v>133</v>
      </c>
      <c r="C342" s="8" t="s">
        <v>782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398</v>
      </c>
      <c r="B343" s="8" t="s">
        <v>332</v>
      </c>
      <c r="C343" s="8" t="s">
        <v>783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398</v>
      </c>
      <c r="B344" s="8" t="s">
        <v>109</v>
      </c>
      <c r="C344" s="8" t="s">
        <v>785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398</v>
      </c>
      <c r="B345" s="8" t="s">
        <v>109</v>
      </c>
      <c r="C345" s="8" t="s">
        <v>786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398</v>
      </c>
      <c r="B346" s="8" t="s">
        <v>109</v>
      </c>
      <c r="C346" s="8" t="s">
        <v>787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398</v>
      </c>
      <c r="B347" s="8" t="s">
        <v>109</v>
      </c>
      <c r="C347" s="8" t="s">
        <v>788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398</v>
      </c>
      <c r="B348" s="8" t="s">
        <v>109</v>
      </c>
      <c r="C348" s="8" t="s">
        <v>789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398</v>
      </c>
      <c r="B349" s="8" t="s">
        <v>77</v>
      </c>
      <c r="C349" s="8" t="s">
        <v>790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398</v>
      </c>
      <c r="B350" s="8" t="s">
        <v>174</v>
      </c>
      <c r="C350" s="8" t="s">
        <v>722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398</v>
      </c>
      <c r="B351" s="8" t="s">
        <v>68</v>
      </c>
      <c r="C351" s="8" t="s">
        <v>791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398</v>
      </c>
      <c r="B352" s="8" t="s">
        <v>68</v>
      </c>
      <c r="C352" s="8" t="s">
        <v>792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398</v>
      </c>
      <c r="B353" s="8" t="s">
        <v>68</v>
      </c>
      <c r="C353" s="8" t="s">
        <v>793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398</v>
      </c>
      <c r="B354" s="8" t="s">
        <v>326</v>
      </c>
      <c r="C354" s="8" t="s">
        <v>794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398</v>
      </c>
      <c r="B355" s="8" t="s">
        <v>342</v>
      </c>
      <c r="C355" s="8" t="s">
        <v>795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398</v>
      </c>
      <c r="B356" s="8" t="s">
        <v>338</v>
      </c>
      <c r="C356" s="8" t="s">
        <v>795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398</v>
      </c>
      <c r="B357" s="8" t="s">
        <v>220</v>
      </c>
      <c r="C357" s="8" t="s">
        <v>795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398</v>
      </c>
      <c r="B358" s="8" t="s">
        <v>162</v>
      </c>
      <c r="C358" s="8" t="s">
        <v>796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398</v>
      </c>
      <c r="B359" s="8" t="s">
        <v>164</v>
      </c>
      <c r="C359" s="8" t="s">
        <v>796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398</v>
      </c>
      <c r="B360" s="8" t="s">
        <v>363</v>
      </c>
      <c r="C360" s="8" t="s">
        <v>797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398</v>
      </c>
      <c r="B361" s="8" t="s">
        <v>264</v>
      </c>
      <c r="C361" s="8" t="s">
        <v>798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398</v>
      </c>
      <c r="B362" s="8" t="s">
        <v>288</v>
      </c>
      <c r="C362" s="8" t="s">
        <v>798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398</v>
      </c>
      <c r="B363" s="8" t="s">
        <v>316</v>
      </c>
      <c r="C363" s="8" t="s">
        <v>798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398</v>
      </c>
      <c r="B364" s="8" t="s">
        <v>292</v>
      </c>
      <c r="C364" s="8" t="s">
        <v>799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398</v>
      </c>
      <c r="B365" s="8" t="s">
        <v>229</v>
      </c>
      <c r="C365" s="8" t="s">
        <v>800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398</v>
      </c>
      <c r="B366" s="8" t="s">
        <v>313</v>
      </c>
      <c r="C366" s="8" t="s">
        <v>801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398</v>
      </c>
      <c r="B367" s="8" t="s">
        <v>267</v>
      </c>
      <c r="C367" s="8" t="s">
        <v>957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398</v>
      </c>
      <c r="B368" s="8" t="s">
        <v>312</v>
      </c>
      <c r="C368" s="8" t="s">
        <v>800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398</v>
      </c>
      <c r="B369" s="8" t="s">
        <v>165</v>
      </c>
      <c r="C369" s="8" t="s">
        <v>802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398</v>
      </c>
      <c r="B370" s="8" t="s">
        <v>165</v>
      </c>
      <c r="C370" s="8" t="s">
        <v>803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398</v>
      </c>
      <c r="B371" s="8" t="s">
        <v>165</v>
      </c>
      <c r="C371" s="8" t="s">
        <v>804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398</v>
      </c>
      <c r="B372" s="8" t="s">
        <v>286</v>
      </c>
      <c r="C372" s="8" t="s">
        <v>806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398</v>
      </c>
      <c r="B373" s="8" t="s">
        <v>286</v>
      </c>
      <c r="C373" s="8" t="s">
        <v>807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398</v>
      </c>
      <c r="B374" s="8" t="s">
        <v>286</v>
      </c>
      <c r="C374" s="8" t="s">
        <v>808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398</v>
      </c>
      <c r="B375" s="8" t="s">
        <v>374</v>
      </c>
      <c r="C375" s="8" t="s">
        <v>958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398</v>
      </c>
      <c r="B376" s="8" t="s">
        <v>161</v>
      </c>
      <c r="C376" s="8" t="s">
        <v>809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398</v>
      </c>
      <c r="B377" s="8" t="s">
        <v>343</v>
      </c>
      <c r="C377" s="8" t="s">
        <v>810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398</v>
      </c>
      <c r="B378" s="8" t="s">
        <v>237</v>
      </c>
      <c r="C378" s="8" t="s">
        <v>810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398</v>
      </c>
      <c r="B379" s="8" t="s">
        <v>345</v>
      </c>
      <c r="C379" s="8" t="s">
        <v>810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398</v>
      </c>
      <c r="B380" s="8" t="s">
        <v>258</v>
      </c>
      <c r="C380" s="8" t="s">
        <v>810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398</v>
      </c>
      <c r="B381" s="8" t="s">
        <v>106</v>
      </c>
      <c r="C381" s="8" t="s">
        <v>811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398</v>
      </c>
      <c r="B382" s="8" t="s">
        <v>96</v>
      </c>
      <c r="C382" s="8" t="s">
        <v>811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398</v>
      </c>
      <c r="B383" s="8" t="s">
        <v>107</v>
      </c>
      <c r="C383" s="8" t="s">
        <v>811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398</v>
      </c>
      <c r="B384" s="8" t="s">
        <v>115</v>
      </c>
      <c r="C384" s="8" t="s">
        <v>811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398</v>
      </c>
      <c r="B385" s="8" t="s">
        <v>73</v>
      </c>
      <c r="C385" s="8" t="s">
        <v>812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398</v>
      </c>
      <c r="B386" s="8" t="s">
        <v>70</v>
      </c>
      <c r="C386" s="8" t="s">
        <v>813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398</v>
      </c>
      <c r="B387" s="8" t="s">
        <v>102</v>
      </c>
      <c r="C387" s="8" t="s">
        <v>814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398</v>
      </c>
      <c r="B388" s="8" t="s">
        <v>102</v>
      </c>
      <c r="C388" s="8" t="s">
        <v>815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398</v>
      </c>
      <c r="B389" s="8" t="s">
        <v>102</v>
      </c>
      <c r="C389" s="8" t="s">
        <v>816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398</v>
      </c>
      <c r="B390" s="8" t="s">
        <v>102</v>
      </c>
      <c r="C390" s="8" t="s">
        <v>817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398</v>
      </c>
      <c r="B391" s="8" t="s">
        <v>102</v>
      </c>
      <c r="C391" s="8" t="s">
        <v>818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398</v>
      </c>
      <c r="B392" s="8" t="s">
        <v>102</v>
      </c>
      <c r="C392" s="8" t="s">
        <v>819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398</v>
      </c>
      <c r="B393" s="8" t="s">
        <v>116</v>
      </c>
      <c r="C393" s="8" t="s">
        <v>820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398</v>
      </c>
      <c r="B394" s="8" t="s">
        <v>295</v>
      </c>
      <c r="C394" s="8" t="s">
        <v>821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398</v>
      </c>
      <c r="B395" s="8" t="s">
        <v>70</v>
      </c>
      <c r="C395" s="8" t="s">
        <v>822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398</v>
      </c>
      <c r="B396" s="8" t="s">
        <v>183</v>
      </c>
      <c r="C396" s="8" t="s">
        <v>823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398</v>
      </c>
      <c r="B397" s="8" t="s">
        <v>183</v>
      </c>
      <c r="C397" s="8" t="s">
        <v>824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398</v>
      </c>
      <c r="B398" s="8" t="s">
        <v>183</v>
      </c>
      <c r="C398" s="8" t="s">
        <v>825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398</v>
      </c>
      <c r="B399" s="8" t="s">
        <v>183</v>
      </c>
      <c r="C399" s="8" t="s">
        <v>826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398</v>
      </c>
      <c r="B400" s="8" t="s">
        <v>183</v>
      </c>
      <c r="C400" s="8" t="s">
        <v>827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398</v>
      </c>
      <c r="B401" s="8" t="s">
        <v>67</v>
      </c>
      <c r="C401" s="8" t="s">
        <v>828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398</v>
      </c>
      <c r="B402" s="8" t="s">
        <v>299</v>
      </c>
      <c r="C402" s="8" t="s">
        <v>829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398</v>
      </c>
      <c r="B403" s="8" t="s">
        <v>206</v>
      </c>
      <c r="C403" s="8" t="s">
        <v>830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398</v>
      </c>
      <c r="B404" s="8" t="s">
        <v>239</v>
      </c>
      <c r="C404" s="8" t="s">
        <v>830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398</v>
      </c>
      <c r="B405" s="8" t="s">
        <v>182</v>
      </c>
      <c r="C405" s="8" t="s">
        <v>830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398</v>
      </c>
      <c r="B406" s="8" t="s">
        <v>188</v>
      </c>
      <c r="C406" s="8" t="s">
        <v>830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398</v>
      </c>
      <c r="B407" s="8" t="s">
        <v>123</v>
      </c>
      <c r="C407" s="8" t="s">
        <v>831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398</v>
      </c>
      <c r="B408" s="8" t="s">
        <v>235</v>
      </c>
      <c r="C408" s="8" t="s">
        <v>832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398</v>
      </c>
      <c r="B409" s="8" t="s">
        <v>325</v>
      </c>
      <c r="C409" s="8" t="s">
        <v>833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398</v>
      </c>
      <c r="B410" s="8" t="s">
        <v>348</v>
      </c>
      <c r="C410" s="8" t="s">
        <v>833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398</v>
      </c>
      <c r="B411" s="8" t="s">
        <v>315</v>
      </c>
      <c r="C411" s="8" t="s">
        <v>833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398</v>
      </c>
      <c r="B412" s="8" t="s">
        <v>317</v>
      </c>
      <c r="C412" s="8" t="s">
        <v>833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398</v>
      </c>
      <c r="B413" s="8" t="s">
        <v>175</v>
      </c>
      <c r="C413" s="8" t="s">
        <v>834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398</v>
      </c>
      <c r="B414" s="8" t="s">
        <v>118</v>
      </c>
      <c r="C414" s="8" t="s">
        <v>835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398</v>
      </c>
      <c r="B415" s="8" t="s">
        <v>134</v>
      </c>
      <c r="C415" s="8" t="s">
        <v>835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398</v>
      </c>
      <c r="B416" s="8" t="s">
        <v>146</v>
      </c>
      <c r="C416" s="8" t="s">
        <v>835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398</v>
      </c>
      <c r="B417" s="8" t="s">
        <v>145</v>
      </c>
      <c r="C417" s="8" t="s">
        <v>835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398</v>
      </c>
      <c r="B418" s="8" t="s">
        <v>154</v>
      </c>
      <c r="C418" s="8" t="s">
        <v>836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398</v>
      </c>
      <c r="B419" s="8" t="s">
        <v>154</v>
      </c>
      <c r="C419" s="8" t="s">
        <v>837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398</v>
      </c>
      <c r="B420" s="8" t="s">
        <v>154</v>
      </c>
      <c r="C420" s="8" t="s">
        <v>838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398</v>
      </c>
      <c r="B421" s="8" t="s">
        <v>154</v>
      </c>
      <c r="C421" s="8" t="s">
        <v>839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398</v>
      </c>
      <c r="B422" s="8" t="s">
        <v>247</v>
      </c>
      <c r="C422" s="8" t="s">
        <v>840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398</v>
      </c>
      <c r="B423" s="8" t="s">
        <v>247</v>
      </c>
      <c r="C423" s="8" t="s">
        <v>841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398</v>
      </c>
      <c r="B424" s="8" t="s">
        <v>247</v>
      </c>
      <c r="C424" s="8" t="s">
        <v>842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398</v>
      </c>
      <c r="B425" s="8" t="s">
        <v>247</v>
      </c>
      <c r="C425" s="8" t="s">
        <v>843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398</v>
      </c>
      <c r="B426" s="8" t="s">
        <v>172</v>
      </c>
      <c r="C426" s="8" t="s">
        <v>663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398</v>
      </c>
      <c r="B427" s="8" t="s">
        <v>172</v>
      </c>
      <c r="C427" s="8" t="s">
        <v>662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398</v>
      </c>
      <c r="B428" s="8" t="s">
        <v>172</v>
      </c>
      <c r="C428" s="8" t="s">
        <v>664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398</v>
      </c>
      <c r="B429" s="8" t="s">
        <v>172</v>
      </c>
      <c r="C429" s="8" t="s">
        <v>661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398</v>
      </c>
      <c r="B430" s="8" t="s">
        <v>172</v>
      </c>
      <c r="C430" s="8" t="s">
        <v>844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398</v>
      </c>
      <c r="B431" s="8" t="s">
        <v>300</v>
      </c>
      <c r="C431" s="8" t="s">
        <v>845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398</v>
      </c>
      <c r="B432" s="8" t="s">
        <v>300</v>
      </c>
      <c r="C432" s="8" t="s">
        <v>846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398</v>
      </c>
      <c r="B433" s="8" t="s">
        <v>300</v>
      </c>
      <c r="C433" s="8" t="s">
        <v>847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398</v>
      </c>
      <c r="B434" s="8" t="s">
        <v>300</v>
      </c>
      <c r="C434" s="8" t="s">
        <v>848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398</v>
      </c>
      <c r="B435" s="8" t="s">
        <v>228</v>
      </c>
      <c r="C435" s="8" t="s">
        <v>849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398</v>
      </c>
      <c r="B436" s="8" t="s">
        <v>228</v>
      </c>
      <c r="C436" s="8" t="s">
        <v>850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398</v>
      </c>
      <c r="B437" s="8" t="s">
        <v>228</v>
      </c>
      <c r="C437" s="8" t="s">
        <v>851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398</v>
      </c>
      <c r="B438" s="8" t="s">
        <v>228</v>
      </c>
      <c r="C438" s="8" t="s">
        <v>852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398</v>
      </c>
      <c r="B439" s="8" t="s">
        <v>139</v>
      </c>
      <c r="C439" s="8" t="s">
        <v>854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398</v>
      </c>
      <c r="B440" s="8" t="s">
        <v>139</v>
      </c>
      <c r="C440" s="8" t="s">
        <v>855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398</v>
      </c>
      <c r="B441" s="8" t="s">
        <v>139</v>
      </c>
      <c r="C441" s="8" t="s">
        <v>856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398</v>
      </c>
      <c r="B442" s="8" t="s">
        <v>139</v>
      </c>
      <c r="C442" s="8" t="s">
        <v>857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398</v>
      </c>
      <c r="B443" s="8" t="s">
        <v>139</v>
      </c>
      <c r="C443" s="8" t="s">
        <v>858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398</v>
      </c>
      <c r="B444" s="8" t="s">
        <v>283</v>
      </c>
      <c r="C444" s="8" t="s">
        <v>860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398</v>
      </c>
      <c r="B445" s="8" t="s">
        <v>368</v>
      </c>
      <c r="C445" s="8" t="s">
        <v>959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398</v>
      </c>
      <c r="B446" s="8" t="s">
        <v>357</v>
      </c>
      <c r="C446" s="8" t="s">
        <v>959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398</v>
      </c>
      <c r="B447" s="8" t="s">
        <v>241</v>
      </c>
      <c r="C447" s="8" t="s">
        <v>871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398</v>
      </c>
      <c r="B448" s="8" t="s">
        <v>234</v>
      </c>
      <c r="C448" s="8" t="s">
        <v>871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398</v>
      </c>
      <c r="B449" s="8" t="s">
        <v>242</v>
      </c>
      <c r="C449" s="8" t="s">
        <v>871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398</v>
      </c>
      <c r="B450" s="8" t="s">
        <v>265</v>
      </c>
      <c r="C450" s="8" t="s">
        <v>871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398</v>
      </c>
      <c r="B451" s="8" t="s">
        <v>236</v>
      </c>
      <c r="C451" s="8" t="s">
        <v>872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398</v>
      </c>
      <c r="B452" s="8" t="s">
        <v>232</v>
      </c>
      <c r="C452" s="8" t="s">
        <v>872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398</v>
      </c>
      <c r="B453" s="8" t="s">
        <v>260</v>
      </c>
      <c r="C453" s="8" t="s">
        <v>872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398</v>
      </c>
      <c r="B454" s="8" t="s">
        <v>250</v>
      </c>
      <c r="C454" s="8" t="s">
        <v>872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398</v>
      </c>
      <c r="B455" s="8" t="s">
        <v>153</v>
      </c>
      <c r="C455" s="8" t="s">
        <v>873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398</v>
      </c>
      <c r="B456" s="8" t="s">
        <v>153</v>
      </c>
      <c r="C456" s="8" t="s">
        <v>874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398</v>
      </c>
      <c r="B457" s="8" t="s">
        <v>212</v>
      </c>
      <c r="C457" s="8" t="s">
        <v>960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398</v>
      </c>
      <c r="B458" s="8" t="s">
        <v>212</v>
      </c>
      <c r="C458" s="8" t="s">
        <v>961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398</v>
      </c>
      <c r="B459" s="8" t="s">
        <v>212</v>
      </c>
      <c r="C459" s="8" t="s">
        <v>962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398</v>
      </c>
      <c r="B460" s="8" t="s">
        <v>271</v>
      </c>
      <c r="C460" s="8" t="s">
        <v>875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398</v>
      </c>
      <c r="B461" s="8" t="s">
        <v>84</v>
      </c>
      <c r="C461" s="8" t="s">
        <v>876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398</v>
      </c>
      <c r="B462" s="8" t="s">
        <v>166</v>
      </c>
      <c r="C462" s="8" t="s">
        <v>877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398</v>
      </c>
      <c r="B463" s="8" t="s">
        <v>84</v>
      </c>
      <c r="C463" s="8" t="s">
        <v>878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398</v>
      </c>
      <c r="B464" s="8" t="s">
        <v>87</v>
      </c>
      <c r="C464" s="8" t="s">
        <v>880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398</v>
      </c>
      <c r="B465" s="8" t="s">
        <v>87</v>
      </c>
      <c r="C465" s="8" t="s">
        <v>881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398</v>
      </c>
      <c r="B466" s="8" t="s">
        <v>87</v>
      </c>
      <c r="C466" s="8" t="s">
        <v>882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398</v>
      </c>
      <c r="B467" s="8" t="s">
        <v>87</v>
      </c>
      <c r="C467" s="8" t="s">
        <v>883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398</v>
      </c>
      <c r="B468" s="8" t="s">
        <v>87</v>
      </c>
      <c r="C468" s="8" t="s">
        <v>884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398</v>
      </c>
      <c r="B469" s="8" t="s">
        <v>79</v>
      </c>
      <c r="C469" s="8" t="s">
        <v>885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398</v>
      </c>
      <c r="B470" s="8" t="s">
        <v>79</v>
      </c>
      <c r="C470" s="8" t="s">
        <v>886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398</v>
      </c>
      <c r="B471" s="8" t="s">
        <v>79</v>
      </c>
      <c r="C471" s="8" t="s">
        <v>887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398</v>
      </c>
      <c r="B472" s="8" t="s">
        <v>79</v>
      </c>
      <c r="C472" s="8" t="s">
        <v>888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398</v>
      </c>
      <c r="B473" s="8" t="s">
        <v>79</v>
      </c>
      <c r="C473" s="8" t="s">
        <v>889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398</v>
      </c>
      <c r="B474" s="8" t="s">
        <v>131</v>
      </c>
      <c r="C474" s="8" t="s">
        <v>890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398</v>
      </c>
      <c r="B475" s="8" t="s">
        <v>131</v>
      </c>
      <c r="C475" s="8" t="s">
        <v>891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398</v>
      </c>
      <c r="B476" s="8" t="s">
        <v>131</v>
      </c>
      <c r="C476" s="8" t="s">
        <v>892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398</v>
      </c>
      <c r="B477" s="8" t="s">
        <v>131</v>
      </c>
      <c r="C477" s="8" t="s">
        <v>893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398</v>
      </c>
      <c r="B478" s="8" t="s">
        <v>131</v>
      </c>
      <c r="C478" s="8" t="s">
        <v>894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398</v>
      </c>
      <c r="B479" s="8" t="s">
        <v>303</v>
      </c>
      <c r="C479" s="8" t="s">
        <v>895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398</v>
      </c>
      <c r="B480" s="8" t="s">
        <v>335</v>
      </c>
      <c r="C480" s="8" t="s">
        <v>896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398</v>
      </c>
      <c r="B481" s="8" t="s">
        <v>287</v>
      </c>
      <c r="C481" s="8" t="s">
        <v>897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398</v>
      </c>
      <c r="B482" s="8" t="s">
        <v>189</v>
      </c>
      <c r="C482" s="8" t="s">
        <v>898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398</v>
      </c>
      <c r="B483" s="8" t="s">
        <v>273</v>
      </c>
      <c r="C483" s="8" t="s">
        <v>899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398</v>
      </c>
      <c r="B484" s="8" t="s">
        <v>202</v>
      </c>
      <c r="C484" s="8" t="s">
        <v>900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398</v>
      </c>
      <c r="B485" s="8" t="s">
        <v>202</v>
      </c>
      <c r="C485" s="8" t="s">
        <v>901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398</v>
      </c>
      <c r="B486" s="8" t="s">
        <v>202</v>
      </c>
      <c r="C486" s="8" t="s">
        <v>902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398</v>
      </c>
      <c r="B487" s="8" t="s">
        <v>202</v>
      </c>
      <c r="C487" s="8" t="s">
        <v>903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398</v>
      </c>
      <c r="B488" s="8" t="s">
        <v>186</v>
      </c>
      <c r="C488" s="8" t="s">
        <v>904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398</v>
      </c>
      <c r="B489" s="8" t="s">
        <v>163</v>
      </c>
      <c r="C489" s="8" t="s">
        <v>905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398</v>
      </c>
      <c r="B490" s="8" t="s">
        <v>152</v>
      </c>
      <c r="C490" s="8" t="s">
        <v>906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398</v>
      </c>
      <c r="B491" s="8" t="s">
        <v>193</v>
      </c>
      <c r="C491" s="8" t="s">
        <v>907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398</v>
      </c>
      <c r="B492" s="8" t="s">
        <v>322</v>
      </c>
      <c r="C492" s="8" t="s">
        <v>908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398</v>
      </c>
      <c r="B493" s="8" t="s">
        <v>323</v>
      </c>
      <c r="C493" s="8" t="s">
        <v>963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398</v>
      </c>
      <c r="B494" s="8" t="s">
        <v>256</v>
      </c>
      <c r="C494" s="8" t="s">
        <v>964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398</v>
      </c>
      <c r="B495" s="8" t="s">
        <v>256</v>
      </c>
      <c r="C495" s="8" t="s">
        <v>909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398</v>
      </c>
      <c r="B496" s="8" t="s">
        <v>256</v>
      </c>
      <c r="C496" s="8" t="s">
        <v>965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398</v>
      </c>
      <c r="B497" s="8" t="s">
        <v>256</v>
      </c>
      <c r="C497" s="8" t="s">
        <v>966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398</v>
      </c>
      <c r="B498" s="8" t="s">
        <v>256</v>
      </c>
      <c r="C498" s="8" t="s">
        <v>967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398</v>
      </c>
      <c r="B499" s="8" t="s">
        <v>92</v>
      </c>
      <c r="C499" s="8" t="s">
        <v>911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398</v>
      </c>
      <c r="B500" s="8" t="s">
        <v>92</v>
      </c>
      <c r="C500" s="8" t="s">
        <v>912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398</v>
      </c>
      <c r="B501" s="8" t="s">
        <v>92</v>
      </c>
      <c r="C501" s="8" t="s">
        <v>913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398</v>
      </c>
      <c r="B502" s="8" t="s">
        <v>92</v>
      </c>
      <c r="C502" s="8" t="s">
        <v>914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398</v>
      </c>
      <c r="B503" s="8" t="s">
        <v>243</v>
      </c>
      <c r="C503" s="8" t="s">
        <v>915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398</v>
      </c>
      <c r="B504" s="8" t="s">
        <v>331</v>
      </c>
      <c r="C504" s="8" t="s">
        <v>915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398</v>
      </c>
      <c r="B505" s="8" t="s">
        <v>243</v>
      </c>
      <c r="C505" s="8" t="s">
        <v>916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398</v>
      </c>
      <c r="B506" s="8" t="s">
        <v>329</v>
      </c>
      <c r="C506" s="8" t="s">
        <v>916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398</v>
      </c>
      <c r="B507" s="8" t="s">
        <v>81</v>
      </c>
      <c r="C507" s="8" t="s">
        <v>917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398</v>
      </c>
      <c r="B508" s="8" t="s">
        <v>138</v>
      </c>
      <c r="C508" s="8" t="s">
        <v>918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398</v>
      </c>
      <c r="B509" s="8" t="s">
        <v>69</v>
      </c>
      <c r="C509" s="8" t="s">
        <v>968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398</v>
      </c>
      <c r="B510" s="8" t="s">
        <v>69</v>
      </c>
      <c r="C510" s="8" t="s">
        <v>969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398</v>
      </c>
      <c r="B511" s="8" t="s">
        <v>69</v>
      </c>
      <c r="C511" s="8" t="s">
        <v>970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398</v>
      </c>
      <c r="B512" s="8" t="s">
        <v>199</v>
      </c>
      <c r="C512" s="8" t="s">
        <v>971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398</v>
      </c>
      <c r="B513" s="8" t="s">
        <v>199</v>
      </c>
      <c r="C513" s="8" t="s">
        <v>972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398</v>
      </c>
      <c r="B514" s="8" t="s">
        <v>99</v>
      </c>
      <c r="C514" s="8" t="s">
        <v>919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398</v>
      </c>
      <c r="B515" s="8" t="s">
        <v>136</v>
      </c>
      <c r="C515" s="8" t="s">
        <v>524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398</v>
      </c>
      <c r="B516" s="8" t="s">
        <v>205</v>
      </c>
      <c r="C516" s="8" t="s">
        <v>920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398</v>
      </c>
      <c r="B517" s="8" t="s">
        <v>383</v>
      </c>
      <c r="C517" s="8" t="s">
        <v>973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398</v>
      </c>
      <c r="B518" s="8" t="s">
        <v>388</v>
      </c>
      <c r="C518" s="8" t="s">
        <v>974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398</v>
      </c>
      <c r="B519" s="8" t="s">
        <v>386</v>
      </c>
      <c r="C519" s="8" t="s">
        <v>975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398</v>
      </c>
      <c r="B520" s="8" t="s">
        <v>390</v>
      </c>
      <c r="C520" s="8" t="s">
        <v>976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398</v>
      </c>
      <c r="B521" s="8" t="s">
        <v>204</v>
      </c>
      <c r="C521" s="8" t="s">
        <v>977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398</v>
      </c>
      <c r="B522" s="8" t="s">
        <v>204</v>
      </c>
      <c r="C522" s="8" t="s">
        <v>978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398</v>
      </c>
      <c r="B523" s="8" t="s">
        <v>204</v>
      </c>
      <c r="C523" s="8" t="s">
        <v>979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398</v>
      </c>
      <c r="B524" s="8" t="s">
        <v>204</v>
      </c>
      <c r="C524" s="8" t="s">
        <v>980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398</v>
      </c>
      <c r="B525" s="8" t="s">
        <v>200</v>
      </c>
      <c r="C525" s="8" t="s">
        <v>981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398</v>
      </c>
      <c r="B526" s="8" t="s">
        <v>246</v>
      </c>
      <c r="C526" s="8" t="s">
        <v>982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398</v>
      </c>
      <c r="B527" s="8" t="s">
        <v>246</v>
      </c>
      <c r="C527" s="8" t="s">
        <v>983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398</v>
      </c>
      <c r="B528" s="8" t="s">
        <v>246</v>
      </c>
      <c r="C528" s="8" t="s">
        <v>984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398</v>
      </c>
      <c r="B529" s="8" t="s">
        <v>275</v>
      </c>
      <c r="C529" s="8" t="s">
        <v>985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398</v>
      </c>
      <c r="B530" s="8" t="s">
        <v>275</v>
      </c>
      <c r="C530" s="8" t="s">
        <v>986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398</v>
      </c>
      <c r="B531" s="8" t="s">
        <v>274</v>
      </c>
      <c r="C531" s="8" t="s">
        <v>987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398</v>
      </c>
      <c r="B532" s="8" t="s">
        <v>140</v>
      </c>
      <c r="C532" s="8" t="s">
        <v>921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398</v>
      </c>
      <c r="B533" s="8" t="s">
        <v>140</v>
      </c>
      <c r="C533" s="8" t="s">
        <v>922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398</v>
      </c>
      <c r="B534" s="8" t="s">
        <v>140</v>
      </c>
      <c r="C534" s="8" t="s">
        <v>923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398</v>
      </c>
      <c r="B535" s="8" t="s">
        <v>277</v>
      </c>
      <c r="C535" s="8" t="s">
        <v>924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398</v>
      </c>
      <c r="B536" s="8" t="s">
        <v>160</v>
      </c>
      <c r="C536" s="8" t="s">
        <v>924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398</v>
      </c>
      <c r="B537" s="8" t="s">
        <v>168</v>
      </c>
      <c r="C537" s="8" t="s">
        <v>924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398</v>
      </c>
      <c r="B538" s="8" t="s">
        <v>277</v>
      </c>
      <c r="C538" s="8" t="s">
        <v>925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398</v>
      </c>
      <c r="B539" s="8" t="s">
        <v>160</v>
      </c>
      <c r="C539" s="8" t="s">
        <v>925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398</v>
      </c>
      <c r="B540" s="8" t="s">
        <v>168</v>
      </c>
      <c r="C540" s="8" t="s">
        <v>925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398</v>
      </c>
      <c r="B541" s="8" t="s">
        <v>385</v>
      </c>
      <c r="C541" s="8" t="s">
        <v>988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398</v>
      </c>
      <c r="B542" s="8" t="s">
        <v>387</v>
      </c>
      <c r="C542" s="8" t="s">
        <v>989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398</v>
      </c>
      <c r="B543" s="8" t="s">
        <v>391</v>
      </c>
      <c r="C543" s="8" t="s">
        <v>699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398</v>
      </c>
      <c r="B544" s="8" t="s">
        <v>185</v>
      </c>
      <c r="C544" s="8" t="s">
        <v>990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398</v>
      </c>
      <c r="B545" s="8" t="s">
        <v>389</v>
      </c>
      <c r="C545" s="8" t="s">
        <v>991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398</v>
      </c>
      <c r="B546" s="8" t="s">
        <v>122</v>
      </c>
      <c r="C546" s="8" t="s">
        <v>927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398</v>
      </c>
      <c r="B547" s="8" t="s">
        <v>122</v>
      </c>
      <c r="C547" s="8" t="s">
        <v>928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398</v>
      </c>
      <c r="B548" s="8" t="s">
        <v>227</v>
      </c>
      <c r="C548" s="8" t="s">
        <v>992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398</v>
      </c>
      <c r="B549" s="8" t="s">
        <v>90</v>
      </c>
      <c r="C549" s="8" t="s">
        <v>929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398</v>
      </c>
      <c r="B550" s="8" t="s">
        <v>72</v>
      </c>
      <c r="C550" s="8" t="s">
        <v>930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398</v>
      </c>
      <c r="B551" s="8" t="s">
        <v>72</v>
      </c>
      <c r="C551" s="8" t="s">
        <v>931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398</v>
      </c>
      <c r="B552" s="8" t="s">
        <v>72</v>
      </c>
      <c r="C552" s="8" t="s">
        <v>932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398</v>
      </c>
      <c r="B553" s="8" t="s">
        <v>72</v>
      </c>
      <c r="C553" s="8" t="s">
        <v>933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398</v>
      </c>
      <c r="B554" s="8" t="s">
        <v>72</v>
      </c>
      <c r="C554" s="8" t="s">
        <v>934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398</v>
      </c>
      <c r="B555" s="8" t="s">
        <v>72</v>
      </c>
      <c r="C555" s="8" t="s">
        <v>993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935</v>
      </c>
      <c r="B556" s="8" t="s">
        <v>120</v>
      </c>
      <c r="C556" s="8" t="s">
        <v>399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935</v>
      </c>
      <c r="B557" s="8" t="s">
        <v>120</v>
      </c>
      <c r="C557" s="8" t="s">
        <v>400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935</v>
      </c>
      <c r="B558" s="8" t="s">
        <v>224</v>
      </c>
      <c r="C558" s="8" t="s">
        <v>401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935</v>
      </c>
      <c r="B559" s="8" t="s">
        <v>263</v>
      </c>
      <c r="C559" s="8" t="s">
        <v>402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935</v>
      </c>
      <c r="B560" s="8" t="s">
        <v>333</v>
      </c>
      <c r="C560" s="8" t="s">
        <v>403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935</v>
      </c>
      <c r="B561" s="8" t="s">
        <v>344</v>
      </c>
      <c r="C561" s="8" t="s">
        <v>404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935</v>
      </c>
      <c r="B562" s="8" t="s">
        <v>330</v>
      </c>
      <c r="C562" s="8" t="s">
        <v>405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935</v>
      </c>
      <c r="B563" s="8" t="s">
        <v>245</v>
      </c>
      <c r="C563" s="8" t="s">
        <v>406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935</v>
      </c>
      <c r="B564" s="8" t="s">
        <v>156</v>
      </c>
      <c r="C564" s="8" t="s">
        <v>407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935</v>
      </c>
      <c r="B565" s="8" t="s">
        <v>384</v>
      </c>
      <c r="C565" s="8" t="s">
        <v>938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935</v>
      </c>
      <c r="B566" s="8" t="s">
        <v>144</v>
      </c>
      <c r="C566" s="8" t="s">
        <v>408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935</v>
      </c>
      <c r="B567" s="8" t="s">
        <v>144</v>
      </c>
      <c r="C567" s="8" t="s">
        <v>409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935</v>
      </c>
      <c r="B568" s="8" t="s">
        <v>144</v>
      </c>
      <c r="C568" s="8" t="s">
        <v>410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935</v>
      </c>
      <c r="B569" s="8" t="s">
        <v>324</v>
      </c>
      <c r="C569" s="8" t="s">
        <v>411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935</v>
      </c>
      <c r="B570" s="8" t="s">
        <v>324</v>
      </c>
      <c r="C570" s="8" t="s">
        <v>412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935</v>
      </c>
      <c r="B571" s="8" t="s">
        <v>252</v>
      </c>
      <c r="C571" s="8" t="s">
        <v>413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935</v>
      </c>
      <c r="B572" s="8" t="s">
        <v>293</v>
      </c>
      <c r="C572" s="8" t="s">
        <v>414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935</v>
      </c>
      <c r="B573" s="8" t="s">
        <v>293</v>
      </c>
      <c r="C573" s="8" t="s">
        <v>415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935</v>
      </c>
      <c r="B574" s="8" t="s">
        <v>293</v>
      </c>
      <c r="C574" s="8" t="s">
        <v>416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935</v>
      </c>
      <c r="B575" s="8" t="s">
        <v>376</v>
      </c>
      <c r="C575" s="8" t="s">
        <v>417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935</v>
      </c>
      <c r="B576" s="8" t="s">
        <v>117</v>
      </c>
      <c r="C576" s="8" t="s">
        <v>408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935</v>
      </c>
      <c r="B577" s="8" t="s">
        <v>117</v>
      </c>
      <c r="C577" s="8" t="s">
        <v>418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935</v>
      </c>
      <c r="B578" s="8" t="s">
        <v>117</v>
      </c>
      <c r="C578" s="8" t="s">
        <v>419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935</v>
      </c>
      <c r="B579" s="8" t="s">
        <v>159</v>
      </c>
      <c r="C579" s="8" t="s">
        <v>420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935</v>
      </c>
      <c r="B580" s="8" t="s">
        <v>159</v>
      </c>
      <c r="C580" s="8" t="s">
        <v>421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935</v>
      </c>
      <c r="B581" s="8" t="s">
        <v>159</v>
      </c>
      <c r="C581" s="8" t="s">
        <v>422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935</v>
      </c>
      <c r="B582" s="8" t="s">
        <v>180</v>
      </c>
      <c r="C582" s="8" t="s">
        <v>423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935</v>
      </c>
      <c r="B583" s="8" t="s">
        <v>180</v>
      </c>
      <c r="C583" s="8" t="s">
        <v>424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935</v>
      </c>
      <c r="B584" s="8" t="s">
        <v>180</v>
      </c>
      <c r="C584" s="8" t="s">
        <v>425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935</v>
      </c>
      <c r="B585" s="8" t="s">
        <v>173</v>
      </c>
      <c r="C585" s="8" t="s">
        <v>431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935</v>
      </c>
      <c r="B586" s="8" t="s">
        <v>173</v>
      </c>
      <c r="C586" s="8" t="s">
        <v>432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935</v>
      </c>
      <c r="B587" s="8" t="s">
        <v>173</v>
      </c>
      <c r="C587" s="8" t="s">
        <v>433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935</v>
      </c>
      <c r="B588" s="8" t="s">
        <v>173</v>
      </c>
      <c r="C588" s="8" t="s">
        <v>434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935</v>
      </c>
      <c r="B589" s="8" t="s">
        <v>142</v>
      </c>
      <c r="C589" s="8" t="s">
        <v>436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935</v>
      </c>
      <c r="B590" s="8" t="s">
        <v>142</v>
      </c>
      <c r="C590" s="8" t="s">
        <v>437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935</v>
      </c>
      <c r="B591" s="8" t="s">
        <v>142</v>
      </c>
      <c r="C591" s="8" t="s">
        <v>438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935</v>
      </c>
      <c r="B592" s="8" t="s">
        <v>142</v>
      </c>
      <c r="C592" s="8" t="s">
        <v>439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935</v>
      </c>
      <c r="B593" s="8" t="s">
        <v>142</v>
      </c>
      <c r="C593" s="8" t="s">
        <v>440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935</v>
      </c>
      <c r="B594" s="8" t="s">
        <v>231</v>
      </c>
      <c r="C594" s="8" t="s">
        <v>442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935</v>
      </c>
      <c r="B595" s="8" t="s">
        <v>231</v>
      </c>
      <c r="C595" s="8" t="s">
        <v>443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935</v>
      </c>
      <c r="B596" s="8" t="s">
        <v>231</v>
      </c>
      <c r="C596" s="8" t="s">
        <v>444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935</v>
      </c>
      <c r="B597" s="8" t="s">
        <v>231</v>
      </c>
      <c r="C597" s="8" t="s">
        <v>445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935</v>
      </c>
      <c r="B598" s="8" t="s">
        <v>231</v>
      </c>
      <c r="C598" s="8" t="s">
        <v>446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935</v>
      </c>
      <c r="B599" s="8" t="s">
        <v>97</v>
      </c>
      <c r="C599" s="8" t="s">
        <v>447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935</v>
      </c>
      <c r="B600" s="8" t="s">
        <v>97</v>
      </c>
      <c r="C600" s="8" t="s">
        <v>448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935</v>
      </c>
      <c r="B601" s="8" t="s">
        <v>97</v>
      </c>
      <c r="C601" s="8" t="s">
        <v>449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935</v>
      </c>
      <c r="B602" s="8" t="s">
        <v>97</v>
      </c>
      <c r="C602" s="8" t="s">
        <v>450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935</v>
      </c>
      <c r="B603" s="8" t="s">
        <v>97</v>
      </c>
      <c r="C603" s="8" t="s">
        <v>451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935</v>
      </c>
      <c r="B604" s="8" t="s">
        <v>378</v>
      </c>
      <c r="C604" s="8" t="s">
        <v>939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935</v>
      </c>
      <c r="B605" s="8" t="s">
        <v>222</v>
      </c>
      <c r="C605" s="8" t="s">
        <v>940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935</v>
      </c>
      <c r="B606" s="8" t="s">
        <v>222</v>
      </c>
      <c r="C606" s="8" t="s">
        <v>453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935</v>
      </c>
      <c r="B607" s="8" t="s">
        <v>222</v>
      </c>
      <c r="C607" s="8" t="s">
        <v>941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935</v>
      </c>
      <c r="B608" s="8" t="s">
        <v>222</v>
      </c>
      <c r="C608" s="8" t="s">
        <v>454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935</v>
      </c>
      <c r="B609" s="8" t="s">
        <v>93</v>
      </c>
      <c r="C609" s="8" t="s">
        <v>455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935</v>
      </c>
      <c r="B610" s="8" t="s">
        <v>93</v>
      </c>
      <c r="C610" s="8" t="s">
        <v>456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935</v>
      </c>
      <c r="B611" s="8" t="s">
        <v>93</v>
      </c>
      <c r="C611" s="8" t="s">
        <v>457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935</v>
      </c>
      <c r="B612" s="8" t="s">
        <v>93</v>
      </c>
      <c r="C612" s="8" t="s">
        <v>458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935</v>
      </c>
      <c r="B613" s="8" t="s">
        <v>93</v>
      </c>
      <c r="C613" s="8" t="s">
        <v>459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935</v>
      </c>
      <c r="B614" s="8" t="s">
        <v>67</v>
      </c>
      <c r="C614" s="8" t="s">
        <v>460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935</v>
      </c>
      <c r="B615" s="8" t="s">
        <v>67</v>
      </c>
      <c r="C615" s="8" t="s">
        <v>461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935</v>
      </c>
      <c r="B616" s="8" t="s">
        <v>67</v>
      </c>
      <c r="C616" s="8" t="s">
        <v>462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935</v>
      </c>
      <c r="B617" s="8" t="s">
        <v>67</v>
      </c>
      <c r="C617" s="8" t="s">
        <v>463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935</v>
      </c>
      <c r="B618" s="8" t="s">
        <v>269</v>
      </c>
      <c r="C618" s="8" t="s">
        <v>465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935</v>
      </c>
      <c r="B619" s="8" t="s">
        <v>269</v>
      </c>
      <c r="C619" s="8" t="s">
        <v>467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935</v>
      </c>
      <c r="B620" s="8" t="s">
        <v>294</v>
      </c>
      <c r="C620" s="8" t="s">
        <v>468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935</v>
      </c>
      <c r="B621" s="8" t="s">
        <v>253</v>
      </c>
      <c r="C621" s="8" t="s">
        <v>469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935</v>
      </c>
      <c r="B622" s="8" t="s">
        <v>253</v>
      </c>
      <c r="C622" s="8" t="s">
        <v>470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935</v>
      </c>
      <c r="B623" s="8" t="s">
        <v>253</v>
      </c>
      <c r="C623" s="8" t="s">
        <v>471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935</v>
      </c>
      <c r="B624" s="8" t="s">
        <v>253</v>
      </c>
      <c r="C624" s="8" t="s">
        <v>472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935</v>
      </c>
      <c r="B625" s="8" t="s">
        <v>291</v>
      </c>
      <c r="C625" s="8" t="s">
        <v>942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935</v>
      </c>
      <c r="B626" s="8" t="s">
        <v>291</v>
      </c>
      <c r="C626" s="8" t="s">
        <v>473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935</v>
      </c>
      <c r="B627" s="8" t="s">
        <v>291</v>
      </c>
      <c r="C627" s="8" t="s">
        <v>474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935</v>
      </c>
      <c r="B628" s="8" t="s">
        <v>291</v>
      </c>
      <c r="C628" s="8" t="s">
        <v>943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935</v>
      </c>
      <c r="B629" s="8" t="s">
        <v>181</v>
      </c>
      <c r="C629" s="8" t="s">
        <v>476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935</v>
      </c>
      <c r="B630" s="8" t="s">
        <v>181</v>
      </c>
      <c r="C630" s="8" t="s">
        <v>477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935</v>
      </c>
      <c r="B631" s="8" t="s">
        <v>181</v>
      </c>
      <c r="C631" s="8" t="s">
        <v>478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935</v>
      </c>
      <c r="B632" s="8" t="s">
        <v>306</v>
      </c>
      <c r="C632" s="8" t="s">
        <v>479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935</v>
      </c>
      <c r="B633" s="8" t="s">
        <v>377</v>
      </c>
      <c r="C633" s="8" t="s">
        <v>479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935</v>
      </c>
      <c r="B634" s="8" t="s">
        <v>307</v>
      </c>
      <c r="C634" s="8" t="s">
        <v>479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935</v>
      </c>
      <c r="B635" s="8" t="s">
        <v>197</v>
      </c>
      <c r="C635" s="8" t="s">
        <v>481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935</v>
      </c>
      <c r="B636" s="8" t="s">
        <v>223</v>
      </c>
      <c r="C636" s="8" t="s">
        <v>482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935</v>
      </c>
      <c r="B637" s="8" t="s">
        <v>223</v>
      </c>
      <c r="C637" s="8" t="s">
        <v>483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935</v>
      </c>
      <c r="B638" s="8" t="s">
        <v>223</v>
      </c>
      <c r="C638" s="8" t="s">
        <v>484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935</v>
      </c>
      <c r="B639" s="8" t="s">
        <v>223</v>
      </c>
      <c r="C639" s="8" t="s">
        <v>485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935</v>
      </c>
      <c r="B640" s="8" t="s">
        <v>223</v>
      </c>
      <c r="C640" s="8" t="s">
        <v>486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935</v>
      </c>
      <c r="B641" s="8" t="s">
        <v>203</v>
      </c>
      <c r="C641" s="8" t="s">
        <v>487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935</v>
      </c>
      <c r="B642" s="8" t="s">
        <v>203</v>
      </c>
      <c r="C642" s="8" t="s">
        <v>488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935</v>
      </c>
      <c r="B643" s="8" t="s">
        <v>127</v>
      </c>
      <c r="C643" s="8" t="s">
        <v>489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935</v>
      </c>
      <c r="B644" s="8" t="s">
        <v>127</v>
      </c>
      <c r="C644" s="8" t="s">
        <v>490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935</v>
      </c>
      <c r="B645" s="8" t="s">
        <v>85</v>
      </c>
      <c r="C645" s="8" t="s">
        <v>491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935</v>
      </c>
      <c r="B646" s="8" t="s">
        <v>114</v>
      </c>
      <c r="C646" s="8" t="s">
        <v>491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935</v>
      </c>
      <c r="B647" s="8" t="s">
        <v>285</v>
      </c>
      <c r="C647" s="8" t="s">
        <v>944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935</v>
      </c>
      <c r="B648" s="8" t="s">
        <v>126</v>
      </c>
      <c r="C648" s="8" t="s">
        <v>494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935</v>
      </c>
      <c r="B649" s="8" t="s">
        <v>126</v>
      </c>
      <c r="C649" s="8" t="s">
        <v>495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935</v>
      </c>
      <c r="B650" s="8" t="s">
        <v>126</v>
      </c>
      <c r="C650" s="8" t="s">
        <v>496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935</v>
      </c>
      <c r="B651" s="8" t="s">
        <v>126</v>
      </c>
      <c r="C651" s="8" t="s">
        <v>497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935</v>
      </c>
      <c r="B652" s="8" t="s">
        <v>262</v>
      </c>
      <c r="C652" s="8" t="s">
        <v>498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935</v>
      </c>
      <c r="B653" s="8" t="s">
        <v>262</v>
      </c>
      <c r="C653" s="8" t="s">
        <v>499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935</v>
      </c>
      <c r="B654" s="8" t="s">
        <v>309</v>
      </c>
      <c r="C654" s="8" t="s">
        <v>945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935</v>
      </c>
      <c r="B655" s="8" t="s">
        <v>309</v>
      </c>
      <c r="C655" s="8" t="s">
        <v>946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935</v>
      </c>
      <c r="B656" s="8" t="s">
        <v>126</v>
      </c>
      <c r="C656" s="8" t="s">
        <v>503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935</v>
      </c>
      <c r="B657" s="8" t="s">
        <v>161</v>
      </c>
      <c r="C657" s="8" t="s">
        <v>504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935</v>
      </c>
      <c r="B658" s="8" t="s">
        <v>161</v>
      </c>
      <c r="C658" s="8" t="s">
        <v>505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935</v>
      </c>
      <c r="B659" s="8" t="s">
        <v>255</v>
      </c>
      <c r="C659" s="8" t="s">
        <v>509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935</v>
      </c>
      <c r="B660" s="8" t="s">
        <v>255</v>
      </c>
      <c r="C660" s="8" t="s">
        <v>511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935</v>
      </c>
      <c r="B661" s="8" t="s">
        <v>255</v>
      </c>
      <c r="C661" s="8" t="s">
        <v>513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935</v>
      </c>
      <c r="B662" s="8" t="s">
        <v>215</v>
      </c>
      <c r="C662" s="8" t="s">
        <v>514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935</v>
      </c>
      <c r="B663" s="8" t="s">
        <v>215</v>
      </c>
      <c r="C663" s="8" t="s">
        <v>515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935</v>
      </c>
      <c r="B664" s="8" t="s">
        <v>215</v>
      </c>
      <c r="C664" s="8" t="s">
        <v>516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935</v>
      </c>
      <c r="B665" s="8" t="s">
        <v>215</v>
      </c>
      <c r="C665" s="8" t="s">
        <v>517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935</v>
      </c>
      <c r="B666" s="8" t="s">
        <v>215</v>
      </c>
      <c r="C666" s="8" t="s">
        <v>518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935</v>
      </c>
      <c r="B667" s="8" t="s">
        <v>210</v>
      </c>
      <c r="C667" s="8" t="s">
        <v>521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935</v>
      </c>
      <c r="B668" s="8" t="s">
        <v>210</v>
      </c>
      <c r="C668" s="8" t="s">
        <v>522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935</v>
      </c>
      <c r="B669" s="8" t="s">
        <v>210</v>
      </c>
      <c r="C669" s="8" t="s">
        <v>523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935</v>
      </c>
      <c r="B670" s="8" t="s">
        <v>110</v>
      </c>
      <c r="C670" s="8" t="s">
        <v>524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935</v>
      </c>
      <c r="B671" s="8" t="s">
        <v>94</v>
      </c>
      <c r="C671" s="8" t="s">
        <v>525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935</v>
      </c>
      <c r="B672" s="8" t="s">
        <v>221</v>
      </c>
      <c r="C672" s="8" t="s">
        <v>526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935</v>
      </c>
      <c r="B673" s="8" t="s">
        <v>71</v>
      </c>
      <c r="C673" s="8" t="s">
        <v>527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935</v>
      </c>
      <c r="B674" s="8" t="s">
        <v>129</v>
      </c>
      <c r="C674" s="8" t="s">
        <v>528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935</v>
      </c>
      <c r="B675" s="8" t="s">
        <v>91</v>
      </c>
      <c r="C675" s="8" t="s">
        <v>529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935</v>
      </c>
      <c r="B676" s="8" t="s">
        <v>151</v>
      </c>
      <c r="C676" s="8" t="s">
        <v>530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935</v>
      </c>
      <c r="B677" s="8" t="s">
        <v>178</v>
      </c>
      <c r="C677" s="8" t="s">
        <v>524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935</v>
      </c>
      <c r="B678" s="8" t="s">
        <v>101</v>
      </c>
      <c r="C678" s="8" t="s">
        <v>524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935</v>
      </c>
      <c r="B679" s="8" t="s">
        <v>148</v>
      </c>
      <c r="C679" s="8" t="s">
        <v>531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935</v>
      </c>
      <c r="B680" s="8" t="s">
        <v>148</v>
      </c>
      <c r="C680" s="8" t="s">
        <v>532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935</v>
      </c>
      <c r="B681" s="8" t="s">
        <v>219</v>
      </c>
      <c r="C681" s="8" t="s">
        <v>533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935</v>
      </c>
      <c r="B682" s="8" t="s">
        <v>95</v>
      </c>
      <c r="C682" s="8" t="s">
        <v>535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935</v>
      </c>
      <c r="B683" s="8" t="s">
        <v>130</v>
      </c>
      <c r="C683" s="8" t="s">
        <v>536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935</v>
      </c>
      <c r="B684" s="8" t="s">
        <v>158</v>
      </c>
      <c r="C684" s="8" t="s">
        <v>537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935</v>
      </c>
      <c r="B685" s="8" t="s">
        <v>233</v>
      </c>
      <c r="C685" s="8" t="s">
        <v>539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935</v>
      </c>
      <c r="B686" s="8" t="s">
        <v>147</v>
      </c>
      <c r="C686" s="8" t="s">
        <v>540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935</v>
      </c>
      <c r="B687" s="8" t="s">
        <v>147</v>
      </c>
      <c r="C687" s="8" t="s">
        <v>541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935</v>
      </c>
      <c r="B688" s="8" t="s">
        <v>147</v>
      </c>
      <c r="C688" s="8" t="s">
        <v>542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935</v>
      </c>
      <c r="B689" s="8" t="s">
        <v>147</v>
      </c>
      <c r="C689" s="8" t="s">
        <v>543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935</v>
      </c>
      <c r="B690" s="8" t="s">
        <v>147</v>
      </c>
      <c r="C690" s="8" t="s">
        <v>544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935</v>
      </c>
      <c r="B691" s="8" t="s">
        <v>355</v>
      </c>
      <c r="C691" s="8" t="s">
        <v>545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935</v>
      </c>
      <c r="B692" s="8" t="s">
        <v>170</v>
      </c>
      <c r="C692" s="8" t="s">
        <v>547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935</v>
      </c>
      <c r="B693" s="8" t="s">
        <v>170</v>
      </c>
      <c r="C693" s="8" t="s">
        <v>548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935</v>
      </c>
      <c r="B694" s="8" t="s">
        <v>170</v>
      </c>
      <c r="C694" s="8" t="s">
        <v>549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935</v>
      </c>
      <c r="B695" s="8" t="s">
        <v>170</v>
      </c>
      <c r="C695" s="8" t="s">
        <v>550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935</v>
      </c>
      <c r="B696" s="8" t="s">
        <v>170</v>
      </c>
      <c r="C696" s="8" t="s">
        <v>551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935</v>
      </c>
      <c r="B697" s="8" t="s">
        <v>121</v>
      </c>
      <c r="C697" s="8" t="s">
        <v>552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935</v>
      </c>
      <c r="B698" s="8" t="s">
        <v>190</v>
      </c>
      <c r="C698" s="8" t="s">
        <v>553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935</v>
      </c>
      <c r="B699" s="8" t="s">
        <v>82</v>
      </c>
      <c r="C699" s="8" t="s">
        <v>554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935</v>
      </c>
      <c r="B700" s="8" t="s">
        <v>82</v>
      </c>
      <c r="C700" s="8" t="s">
        <v>555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935</v>
      </c>
      <c r="B701" s="8" t="s">
        <v>82</v>
      </c>
      <c r="C701" s="8" t="s">
        <v>556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935</v>
      </c>
      <c r="B702" s="8" t="s">
        <v>82</v>
      </c>
      <c r="C702" s="8" t="s">
        <v>557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935</v>
      </c>
      <c r="B703" s="8" t="s">
        <v>82</v>
      </c>
      <c r="C703" s="8" t="s">
        <v>559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935</v>
      </c>
      <c r="B704" s="8" t="s">
        <v>88</v>
      </c>
      <c r="C704" s="8" t="s">
        <v>560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935</v>
      </c>
      <c r="B705" s="8" t="s">
        <v>88</v>
      </c>
      <c r="C705" s="8" t="s">
        <v>561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935</v>
      </c>
      <c r="B706" s="8" t="s">
        <v>88</v>
      </c>
      <c r="C706" s="8" t="s">
        <v>562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935</v>
      </c>
      <c r="B707" s="8" t="s">
        <v>88</v>
      </c>
      <c r="C707" s="8" t="s">
        <v>563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935</v>
      </c>
      <c r="B708" s="8" t="s">
        <v>88</v>
      </c>
      <c r="C708" s="8" t="s">
        <v>564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935</v>
      </c>
      <c r="B709" s="8" t="s">
        <v>83</v>
      </c>
      <c r="C709" s="8" t="s">
        <v>565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935</v>
      </c>
      <c r="B710" s="8" t="s">
        <v>83</v>
      </c>
      <c r="C710" s="8" t="s">
        <v>566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935</v>
      </c>
      <c r="B711" s="8" t="s">
        <v>83</v>
      </c>
      <c r="C711" s="8" t="s">
        <v>567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935</v>
      </c>
      <c r="B712" s="8" t="s">
        <v>83</v>
      </c>
      <c r="C712" s="8" t="s">
        <v>568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935</v>
      </c>
      <c r="B713" s="8" t="s">
        <v>207</v>
      </c>
      <c r="C713" s="8" t="s">
        <v>569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935</v>
      </c>
      <c r="B714" s="8" t="s">
        <v>208</v>
      </c>
      <c r="C714" s="8" t="s">
        <v>570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935</v>
      </c>
      <c r="B715" s="8" t="s">
        <v>119</v>
      </c>
      <c r="C715" s="8" t="s">
        <v>571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935</v>
      </c>
      <c r="B716" s="8" t="s">
        <v>195</v>
      </c>
      <c r="C716" s="8" t="s">
        <v>572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935</v>
      </c>
      <c r="B717" s="8" t="s">
        <v>150</v>
      </c>
      <c r="C717" s="8" t="s">
        <v>573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935</v>
      </c>
      <c r="B718" s="8" t="s">
        <v>187</v>
      </c>
      <c r="C718" s="8" t="s">
        <v>574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935</v>
      </c>
      <c r="B719" s="8" t="s">
        <v>179</v>
      </c>
      <c r="C719" s="8" t="s">
        <v>575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935</v>
      </c>
      <c r="B720" s="8" t="s">
        <v>305</v>
      </c>
      <c r="C720" s="8" t="s">
        <v>576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935</v>
      </c>
      <c r="B721" s="8" t="s">
        <v>328</v>
      </c>
      <c r="C721" s="8" t="s">
        <v>576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935</v>
      </c>
      <c r="B722" s="8" t="s">
        <v>194</v>
      </c>
      <c r="C722" s="8" t="s">
        <v>577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935</v>
      </c>
      <c r="B723" s="8" t="s">
        <v>194</v>
      </c>
      <c r="C723" s="8" t="s">
        <v>578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935</v>
      </c>
      <c r="B724" s="8" t="s">
        <v>194</v>
      </c>
      <c r="C724" s="8" t="s">
        <v>579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935</v>
      </c>
      <c r="B725" s="8" t="s">
        <v>194</v>
      </c>
      <c r="C725" s="8" t="s">
        <v>580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935</v>
      </c>
      <c r="B726" s="8" t="s">
        <v>268</v>
      </c>
      <c r="C726" s="8" t="s">
        <v>581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935</v>
      </c>
      <c r="B727" s="8" t="s">
        <v>268</v>
      </c>
      <c r="C727" s="8" t="s">
        <v>947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935</v>
      </c>
      <c r="B728" s="8" t="s">
        <v>268</v>
      </c>
      <c r="C728" s="8" t="s">
        <v>582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935</v>
      </c>
      <c r="B729" s="8" t="s">
        <v>268</v>
      </c>
      <c r="C729" s="8" t="s">
        <v>583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935</v>
      </c>
      <c r="B730" s="8" t="s">
        <v>141</v>
      </c>
      <c r="C730" s="8" t="s">
        <v>584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935</v>
      </c>
      <c r="B731" s="8" t="s">
        <v>141</v>
      </c>
      <c r="C731" s="8" t="s">
        <v>585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935</v>
      </c>
      <c r="B732" s="8" t="s">
        <v>141</v>
      </c>
      <c r="C732" s="8" t="s">
        <v>586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935</v>
      </c>
      <c r="B733" s="8" t="s">
        <v>141</v>
      </c>
      <c r="C733" s="8" t="s">
        <v>587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935</v>
      </c>
      <c r="B734" s="8" t="s">
        <v>141</v>
      </c>
      <c r="C734" s="8" t="s">
        <v>588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935</v>
      </c>
      <c r="B735" s="8" t="s">
        <v>89</v>
      </c>
      <c r="C735" s="8" t="s">
        <v>589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935</v>
      </c>
      <c r="B736" s="8" t="s">
        <v>89</v>
      </c>
      <c r="C736" s="8" t="s">
        <v>590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935</v>
      </c>
      <c r="B737" s="8" t="s">
        <v>89</v>
      </c>
      <c r="C737" s="8" t="s">
        <v>591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935</v>
      </c>
      <c r="B738" s="8" t="s">
        <v>89</v>
      </c>
      <c r="C738" s="8" t="s">
        <v>592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935</v>
      </c>
      <c r="B739" s="8" t="s">
        <v>89</v>
      </c>
      <c r="C739" s="8" t="s">
        <v>593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935</v>
      </c>
      <c r="B740" s="8" t="s">
        <v>76</v>
      </c>
      <c r="C740" s="8" t="s">
        <v>594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935</v>
      </c>
      <c r="B741" s="8" t="s">
        <v>76</v>
      </c>
      <c r="C741" s="8" t="s">
        <v>595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935</v>
      </c>
      <c r="B742" s="8" t="s">
        <v>76</v>
      </c>
      <c r="C742" s="8" t="s">
        <v>596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935</v>
      </c>
      <c r="B743" s="8" t="s">
        <v>76</v>
      </c>
      <c r="C743" s="8" t="s">
        <v>597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935</v>
      </c>
      <c r="B744" s="8" t="s">
        <v>103</v>
      </c>
      <c r="C744" s="8" t="s">
        <v>598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935</v>
      </c>
      <c r="B745" s="8" t="s">
        <v>103</v>
      </c>
      <c r="C745" s="8" t="s">
        <v>599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935</v>
      </c>
      <c r="B746" s="8" t="s">
        <v>103</v>
      </c>
      <c r="C746" s="8" t="s">
        <v>600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935</v>
      </c>
      <c r="B747" s="8" t="s">
        <v>103</v>
      </c>
      <c r="C747" s="8" t="s">
        <v>601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935</v>
      </c>
      <c r="B748" s="8" t="s">
        <v>103</v>
      </c>
      <c r="C748" s="8" t="s">
        <v>602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935</v>
      </c>
      <c r="B749" s="8" t="s">
        <v>176</v>
      </c>
      <c r="C749" s="8" t="s">
        <v>603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935</v>
      </c>
      <c r="B750" s="8" t="s">
        <v>176</v>
      </c>
      <c r="C750" s="8" t="s">
        <v>604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935</v>
      </c>
      <c r="B751" s="8" t="s">
        <v>176</v>
      </c>
      <c r="C751" s="8" t="s">
        <v>605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935</v>
      </c>
      <c r="B752" s="8" t="s">
        <v>176</v>
      </c>
      <c r="C752" s="8" t="s">
        <v>606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935</v>
      </c>
      <c r="B753" s="8" t="s">
        <v>157</v>
      </c>
      <c r="C753" s="8" t="s">
        <v>608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935</v>
      </c>
      <c r="B754" s="8" t="s">
        <v>157</v>
      </c>
      <c r="C754" s="8" t="s">
        <v>609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935</v>
      </c>
      <c r="B755" s="8" t="s">
        <v>157</v>
      </c>
      <c r="C755" s="8" t="s">
        <v>610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935</v>
      </c>
      <c r="B756" s="8" t="s">
        <v>157</v>
      </c>
      <c r="C756" s="8" t="s">
        <v>611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935</v>
      </c>
      <c r="B757" s="8" t="s">
        <v>157</v>
      </c>
      <c r="C757" s="8" t="s">
        <v>612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935</v>
      </c>
      <c r="B758" s="8" t="s">
        <v>192</v>
      </c>
      <c r="C758" s="8" t="s">
        <v>948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935</v>
      </c>
      <c r="B759" s="8" t="s">
        <v>192</v>
      </c>
      <c r="C759" s="8" t="s">
        <v>613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935</v>
      </c>
      <c r="B760" s="8" t="s">
        <v>192</v>
      </c>
      <c r="C760" s="8" t="s">
        <v>614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935</v>
      </c>
      <c r="B761" s="8" t="s">
        <v>192</v>
      </c>
      <c r="C761" s="8" t="s">
        <v>615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935</v>
      </c>
      <c r="B762" s="8" t="s">
        <v>302</v>
      </c>
      <c r="C762" s="8" t="s">
        <v>617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935</v>
      </c>
      <c r="B763" s="8" t="s">
        <v>302</v>
      </c>
      <c r="C763" s="8" t="s">
        <v>618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935</v>
      </c>
      <c r="B764" s="8" t="s">
        <v>302</v>
      </c>
      <c r="C764" s="8" t="s">
        <v>949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935</v>
      </c>
      <c r="B765" s="8" t="s">
        <v>111</v>
      </c>
      <c r="C765" s="8" t="s">
        <v>619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935</v>
      </c>
      <c r="B766" s="8" t="s">
        <v>111</v>
      </c>
      <c r="C766" s="8" t="s">
        <v>620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935</v>
      </c>
      <c r="B767" s="8" t="s">
        <v>111</v>
      </c>
      <c r="C767" s="8" t="s">
        <v>621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935</v>
      </c>
      <c r="B768" s="8" t="s">
        <v>111</v>
      </c>
      <c r="C768" s="8" t="s">
        <v>622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935</v>
      </c>
      <c r="B769" s="8" t="s">
        <v>111</v>
      </c>
      <c r="C769" s="8" t="s">
        <v>623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935</v>
      </c>
      <c r="B770" s="8" t="s">
        <v>113</v>
      </c>
      <c r="C770" s="8" t="s">
        <v>624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935</v>
      </c>
      <c r="B771" s="8" t="s">
        <v>113</v>
      </c>
      <c r="C771" s="8" t="s">
        <v>625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935</v>
      </c>
      <c r="B772" s="8" t="s">
        <v>113</v>
      </c>
      <c r="C772" s="8" t="s">
        <v>626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935</v>
      </c>
      <c r="B773" s="8" t="s">
        <v>113</v>
      </c>
      <c r="C773" s="8" t="s">
        <v>627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935</v>
      </c>
      <c r="B774" s="8" t="s">
        <v>80</v>
      </c>
      <c r="C774" s="8" t="s">
        <v>628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935</v>
      </c>
      <c r="B775" s="8" t="s">
        <v>80</v>
      </c>
      <c r="C775" s="8" t="s">
        <v>629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935</v>
      </c>
      <c r="B776" s="8" t="s">
        <v>80</v>
      </c>
      <c r="C776" s="8" t="s">
        <v>630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935</v>
      </c>
      <c r="B777" s="8" t="s">
        <v>80</v>
      </c>
      <c r="C777" s="8" t="s">
        <v>631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935</v>
      </c>
      <c r="B778" s="8" t="s">
        <v>125</v>
      </c>
      <c r="C778" s="8" t="s">
        <v>632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935</v>
      </c>
      <c r="B779" s="8" t="s">
        <v>125</v>
      </c>
      <c r="C779" s="8" t="s">
        <v>633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935</v>
      </c>
      <c r="B780" s="8" t="s">
        <v>125</v>
      </c>
      <c r="C780" s="8" t="s">
        <v>634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935</v>
      </c>
      <c r="B781" s="8" t="s">
        <v>125</v>
      </c>
      <c r="C781" s="8" t="s">
        <v>635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935</v>
      </c>
      <c r="B782" s="8" t="s">
        <v>125</v>
      </c>
      <c r="C782" s="8" t="s">
        <v>636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935</v>
      </c>
      <c r="B783" s="8" t="s">
        <v>125</v>
      </c>
      <c r="C783" s="8" t="s">
        <v>637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935</v>
      </c>
      <c r="B784" s="8" t="s">
        <v>380</v>
      </c>
      <c r="C784" s="8" t="s">
        <v>994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935</v>
      </c>
      <c r="B785" s="8" t="s">
        <v>132</v>
      </c>
      <c r="C785" s="8" t="s">
        <v>638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935</v>
      </c>
      <c r="B786" s="8" t="s">
        <v>216</v>
      </c>
      <c r="C786" s="8" t="s">
        <v>639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935</v>
      </c>
      <c r="B787" s="8" t="s">
        <v>100</v>
      </c>
      <c r="C787" s="8" t="s">
        <v>640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935</v>
      </c>
      <c r="B788" s="8" t="s">
        <v>100</v>
      </c>
      <c r="C788" s="8" t="s">
        <v>641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935</v>
      </c>
      <c r="B789" s="8" t="s">
        <v>100</v>
      </c>
      <c r="C789" s="8" t="s">
        <v>642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935</v>
      </c>
      <c r="B790" s="8" t="s">
        <v>100</v>
      </c>
      <c r="C790" s="8" t="s">
        <v>643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935</v>
      </c>
      <c r="B791" s="8" t="s">
        <v>100</v>
      </c>
      <c r="C791" s="8" t="s">
        <v>644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935</v>
      </c>
      <c r="B792" s="8" t="s">
        <v>100</v>
      </c>
      <c r="C792" s="8" t="s">
        <v>645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935</v>
      </c>
      <c r="B793" s="8" t="s">
        <v>128</v>
      </c>
      <c r="C793" s="8" t="s">
        <v>646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935</v>
      </c>
      <c r="B794" s="8" t="s">
        <v>128</v>
      </c>
      <c r="C794" s="8" t="s">
        <v>647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935</v>
      </c>
      <c r="B795" s="8" t="s">
        <v>128</v>
      </c>
      <c r="C795" s="8" t="s">
        <v>648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935</v>
      </c>
      <c r="B796" s="8" t="s">
        <v>177</v>
      </c>
      <c r="C796" s="8" t="s">
        <v>649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935</v>
      </c>
      <c r="B797" s="8" t="s">
        <v>297</v>
      </c>
      <c r="C797" s="8" t="s">
        <v>950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935</v>
      </c>
      <c r="B798" s="8" t="s">
        <v>211</v>
      </c>
      <c r="C798" s="8" t="s">
        <v>654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935</v>
      </c>
      <c r="B799" s="8" t="s">
        <v>266</v>
      </c>
      <c r="C799" s="8" t="s">
        <v>658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935</v>
      </c>
      <c r="B800" s="8" t="s">
        <v>266</v>
      </c>
      <c r="C800" s="8" t="s">
        <v>659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935</v>
      </c>
      <c r="B801" s="8" t="s">
        <v>266</v>
      </c>
      <c r="C801" s="8" t="s">
        <v>660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935</v>
      </c>
      <c r="B802" s="8" t="s">
        <v>213</v>
      </c>
      <c r="C802" s="8" t="s">
        <v>663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935</v>
      </c>
      <c r="B803" s="8" t="s">
        <v>261</v>
      </c>
      <c r="C803" s="8" t="s">
        <v>665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935</v>
      </c>
      <c r="B804" s="8" t="s">
        <v>240</v>
      </c>
      <c r="C804" s="8" t="s">
        <v>666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935</v>
      </c>
      <c r="B805" s="8" t="s">
        <v>240</v>
      </c>
      <c r="C805" s="8" t="s">
        <v>667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935</v>
      </c>
      <c r="B806" s="8" t="s">
        <v>240</v>
      </c>
      <c r="C806" s="8" t="s">
        <v>668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935</v>
      </c>
      <c r="B807" s="8" t="s">
        <v>367</v>
      </c>
      <c r="C807" s="8" t="s">
        <v>951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935</v>
      </c>
      <c r="B808" s="8" t="s">
        <v>259</v>
      </c>
      <c r="C808" s="8" t="s">
        <v>669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935</v>
      </c>
      <c r="B809" s="8" t="s">
        <v>259</v>
      </c>
      <c r="C809" s="8" t="s">
        <v>670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935</v>
      </c>
      <c r="B810" s="8" t="s">
        <v>259</v>
      </c>
      <c r="C810" s="8" t="s">
        <v>671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935</v>
      </c>
      <c r="B811" s="8" t="s">
        <v>259</v>
      </c>
      <c r="C811" s="8" t="s">
        <v>672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935</v>
      </c>
      <c r="B812" s="8" t="s">
        <v>259</v>
      </c>
      <c r="C812" s="8" t="s">
        <v>673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935</v>
      </c>
      <c r="B813" s="8" t="s">
        <v>320</v>
      </c>
      <c r="C813" s="8" t="s">
        <v>674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935</v>
      </c>
      <c r="B814" s="8" t="s">
        <v>244</v>
      </c>
      <c r="C814" s="8" t="s">
        <v>679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935</v>
      </c>
      <c r="B815" s="8" t="s">
        <v>314</v>
      </c>
      <c r="C815" s="8" t="s">
        <v>952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935</v>
      </c>
      <c r="B816" s="8" t="s">
        <v>301</v>
      </c>
      <c r="C816" s="8" t="s">
        <v>683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935</v>
      </c>
      <c r="B817" s="8" t="s">
        <v>301</v>
      </c>
      <c r="C817" s="8" t="s">
        <v>684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935</v>
      </c>
      <c r="B818" s="8" t="s">
        <v>301</v>
      </c>
      <c r="C818" s="8" t="s">
        <v>685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935</v>
      </c>
      <c r="B819" s="8" t="s">
        <v>341</v>
      </c>
      <c r="C819" s="8" t="s">
        <v>689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935</v>
      </c>
      <c r="B820" s="8" t="s">
        <v>341</v>
      </c>
      <c r="C820" s="8" t="s">
        <v>690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935</v>
      </c>
      <c r="B821" s="8" t="s">
        <v>100</v>
      </c>
      <c r="C821" s="8" t="s">
        <v>691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935</v>
      </c>
      <c r="B822" s="8" t="s">
        <v>261</v>
      </c>
      <c r="C822" s="8" t="s">
        <v>692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935</v>
      </c>
      <c r="B823" s="8" t="s">
        <v>257</v>
      </c>
      <c r="C823" s="8" t="s">
        <v>693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935</v>
      </c>
      <c r="B824" s="8" t="s">
        <v>171</v>
      </c>
      <c r="C824" s="8" t="s">
        <v>694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935</v>
      </c>
      <c r="B825" s="8" t="s">
        <v>218</v>
      </c>
      <c r="C825" s="8" t="s">
        <v>696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935</v>
      </c>
      <c r="B826" s="8" t="s">
        <v>143</v>
      </c>
      <c r="C826" s="8" t="s">
        <v>697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935</v>
      </c>
      <c r="B827" s="8" t="s">
        <v>135</v>
      </c>
      <c r="C827" s="8" t="s">
        <v>698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935</v>
      </c>
      <c r="B828" s="8" t="s">
        <v>310</v>
      </c>
      <c r="C828" s="8" t="s">
        <v>699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935</v>
      </c>
      <c r="B829" s="8" t="s">
        <v>149</v>
      </c>
      <c r="C829" s="8" t="s">
        <v>700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935</v>
      </c>
      <c r="B830" s="8" t="s">
        <v>89</v>
      </c>
      <c r="C830" s="8" t="s">
        <v>701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935</v>
      </c>
      <c r="B831" s="8" t="s">
        <v>238</v>
      </c>
      <c r="C831" s="8" t="s">
        <v>702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935</v>
      </c>
      <c r="B832" s="8" t="s">
        <v>98</v>
      </c>
      <c r="C832" s="8" t="s">
        <v>707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935</v>
      </c>
      <c r="B833" s="8" t="s">
        <v>74</v>
      </c>
      <c r="C833" s="8" t="s">
        <v>708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935</v>
      </c>
      <c r="B834" s="8" t="s">
        <v>74</v>
      </c>
      <c r="C834" s="8" t="s">
        <v>709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935</v>
      </c>
      <c r="B835" s="8" t="s">
        <v>74</v>
      </c>
      <c r="C835" s="8" t="s">
        <v>710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935</v>
      </c>
      <c r="B836" s="8" t="s">
        <v>74</v>
      </c>
      <c r="C836" s="8" t="s">
        <v>711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935</v>
      </c>
      <c r="B837" s="8" t="s">
        <v>74</v>
      </c>
      <c r="C837" s="8" t="s">
        <v>712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935</v>
      </c>
      <c r="B838" s="8" t="s">
        <v>78</v>
      </c>
      <c r="C838" s="8" t="s">
        <v>713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935</v>
      </c>
      <c r="B839" s="8" t="s">
        <v>78</v>
      </c>
      <c r="C839" s="8" t="s">
        <v>714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935</v>
      </c>
      <c r="B840" s="8" t="s">
        <v>78</v>
      </c>
      <c r="C840" s="8" t="s">
        <v>715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935</v>
      </c>
      <c r="B841" s="8" t="s">
        <v>78</v>
      </c>
      <c r="C841" s="8" t="s">
        <v>716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935</v>
      </c>
      <c r="B842" s="8" t="s">
        <v>279</v>
      </c>
      <c r="C842" s="8" t="s">
        <v>953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935</v>
      </c>
      <c r="B843" s="8" t="s">
        <v>270</v>
      </c>
      <c r="C843" s="8" t="s">
        <v>718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935</v>
      </c>
      <c r="B844" s="8" t="s">
        <v>290</v>
      </c>
      <c r="C844" s="8" t="s">
        <v>719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935</v>
      </c>
      <c r="B845" s="8" t="s">
        <v>105</v>
      </c>
      <c r="C845" s="8" t="s">
        <v>720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935</v>
      </c>
      <c r="B846" s="8" t="s">
        <v>124</v>
      </c>
      <c r="C846" s="8" t="s">
        <v>721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935</v>
      </c>
      <c r="B847" s="8" t="s">
        <v>108</v>
      </c>
      <c r="C847" s="8" t="s">
        <v>722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935</v>
      </c>
      <c r="B848" s="8" t="s">
        <v>280</v>
      </c>
      <c r="C848" s="8" t="s">
        <v>724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935</v>
      </c>
      <c r="B849" s="8" t="s">
        <v>251</v>
      </c>
      <c r="C849" s="8" t="s">
        <v>725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935</v>
      </c>
      <c r="B850" s="8" t="s">
        <v>251</v>
      </c>
      <c r="C850" s="8" t="s">
        <v>726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935</v>
      </c>
      <c r="B851" s="8" t="s">
        <v>251</v>
      </c>
      <c r="C851" s="8" t="s">
        <v>724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935</v>
      </c>
      <c r="B852" s="8" t="s">
        <v>184</v>
      </c>
      <c r="C852" s="8" t="s">
        <v>727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935</v>
      </c>
      <c r="B853" s="8" t="s">
        <v>184</v>
      </c>
      <c r="C853" s="8" t="s">
        <v>728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935</v>
      </c>
      <c r="B854" s="8" t="s">
        <v>155</v>
      </c>
      <c r="C854" s="8" t="s">
        <v>727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935</v>
      </c>
      <c r="B855" s="8" t="s">
        <v>155</v>
      </c>
      <c r="C855" s="8" t="s">
        <v>728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935</v>
      </c>
      <c r="B856" s="8" t="s">
        <v>217</v>
      </c>
      <c r="C856" s="8" t="s">
        <v>729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935</v>
      </c>
      <c r="B857" s="8" t="s">
        <v>254</v>
      </c>
      <c r="C857" s="8" t="s">
        <v>732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935</v>
      </c>
      <c r="B858" s="8" t="s">
        <v>254</v>
      </c>
      <c r="C858" s="8" t="s">
        <v>954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935</v>
      </c>
      <c r="B859" s="8" t="s">
        <v>372</v>
      </c>
      <c r="C859" s="8" t="s">
        <v>955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935</v>
      </c>
      <c r="B860" s="8" t="s">
        <v>379</v>
      </c>
      <c r="C860" s="8" t="s">
        <v>995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935</v>
      </c>
      <c r="B861" s="8" t="s">
        <v>73</v>
      </c>
      <c r="C861" s="8" t="s">
        <v>736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935</v>
      </c>
      <c r="B862" s="8" t="s">
        <v>73</v>
      </c>
      <c r="C862" s="8" t="s">
        <v>737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935</v>
      </c>
      <c r="B863" s="8" t="s">
        <v>73</v>
      </c>
      <c r="C863" s="8" t="s">
        <v>738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935</v>
      </c>
      <c r="B864" s="8" t="s">
        <v>112</v>
      </c>
      <c r="C864" s="8" t="s">
        <v>739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935</v>
      </c>
      <c r="B865" s="8" t="s">
        <v>112</v>
      </c>
      <c r="C865" s="8" t="s">
        <v>740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935</v>
      </c>
      <c r="B866" s="8" t="s">
        <v>112</v>
      </c>
      <c r="C866" s="8" t="s">
        <v>741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935</v>
      </c>
      <c r="B867" s="8" t="s">
        <v>169</v>
      </c>
      <c r="C867" s="8" t="s">
        <v>639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935</v>
      </c>
      <c r="B868" s="8" t="s">
        <v>75</v>
      </c>
      <c r="C868" s="8" t="s">
        <v>744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935</v>
      </c>
      <c r="B869" s="8" t="s">
        <v>75</v>
      </c>
      <c r="C869" s="8" t="s">
        <v>745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935</v>
      </c>
      <c r="B870" s="8" t="s">
        <v>75</v>
      </c>
      <c r="C870" s="8" t="s">
        <v>746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935</v>
      </c>
      <c r="B871" s="8" t="s">
        <v>75</v>
      </c>
      <c r="C871" s="8" t="s">
        <v>747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935</v>
      </c>
      <c r="B872" s="8" t="s">
        <v>349</v>
      </c>
      <c r="C872" s="8" t="s">
        <v>749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935</v>
      </c>
      <c r="B873" s="8" t="s">
        <v>104</v>
      </c>
      <c r="C873" s="8" t="s">
        <v>754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935</v>
      </c>
      <c r="B874" s="8" t="s">
        <v>230</v>
      </c>
      <c r="C874" s="8" t="s">
        <v>755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935</v>
      </c>
      <c r="B875" s="8" t="s">
        <v>196</v>
      </c>
      <c r="C875" s="8" t="s">
        <v>756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935</v>
      </c>
      <c r="B876" s="8" t="s">
        <v>226</v>
      </c>
      <c r="C876" s="8" t="s">
        <v>757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935</v>
      </c>
      <c r="B877" s="8" t="s">
        <v>137</v>
      </c>
      <c r="C877" s="8" t="s">
        <v>758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935</v>
      </c>
      <c r="B878" s="8" t="s">
        <v>191</v>
      </c>
      <c r="C878" s="8" t="s">
        <v>759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935</v>
      </c>
      <c r="B879" s="8" t="s">
        <v>225</v>
      </c>
      <c r="C879" s="8" t="s">
        <v>760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935</v>
      </c>
      <c r="B880" s="8" t="s">
        <v>225</v>
      </c>
      <c r="C880" s="8" t="s">
        <v>761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935</v>
      </c>
      <c r="B881" s="8" t="s">
        <v>225</v>
      </c>
      <c r="C881" s="8" t="s">
        <v>762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935</v>
      </c>
      <c r="B882" s="8" t="s">
        <v>225</v>
      </c>
      <c r="C882" s="8" t="s">
        <v>764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935</v>
      </c>
      <c r="B883" s="8" t="s">
        <v>225</v>
      </c>
      <c r="C883" s="8" t="s">
        <v>956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935</v>
      </c>
      <c r="B884" s="8" t="s">
        <v>225</v>
      </c>
      <c r="C884" s="8" t="s">
        <v>765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935</v>
      </c>
      <c r="B885" s="8" t="s">
        <v>225</v>
      </c>
      <c r="C885" s="8" t="s">
        <v>767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935</v>
      </c>
      <c r="B886" s="8" t="s">
        <v>225</v>
      </c>
      <c r="C886" s="8" t="s">
        <v>770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935</v>
      </c>
      <c r="B887" s="8" t="s">
        <v>276</v>
      </c>
      <c r="C887" s="8" t="s">
        <v>771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935</v>
      </c>
      <c r="B888" s="8" t="s">
        <v>198</v>
      </c>
      <c r="C888" s="8" t="s">
        <v>772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935</v>
      </c>
      <c r="B889" s="8" t="s">
        <v>318</v>
      </c>
      <c r="C889" s="8" t="s">
        <v>773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935</v>
      </c>
      <c r="B890" s="8" t="s">
        <v>354</v>
      </c>
      <c r="C890" s="8" t="s">
        <v>774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935</v>
      </c>
      <c r="B891" s="8" t="s">
        <v>375</v>
      </c>
      <c r="C891" s="8" t="s">
        <v>776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935</v>
      </c>
      <c r="B892" s="8" t="s">
        <v>347</v>
      </c>
      <c r="C892" s="8" t="s">
        <v>777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935</v>
      </c>
      <c r="B893" s="8" t="s">
        <v>289</v>
      </c>
      <c r="C893" s="8" t="s">
        <v>778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935</v>
      </c>
      <c r="B894" s="8" t="s">
        <v>248</v>
      </c>
      <c r="C894" s="8" t="s">
        <v>779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935</v>
      </c>
      <c r="B895" s="8" t="s">
        <v>214</v>
      </c>
      <c r="C895" s="8" t="s">
        <v>780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935</v>
      </c>
      <c r="B896" s="8" t="s">
        <v>86</v>
      </c>
      <c r="C896" s="8" t="s">
        <v>781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935</v>
      </c>
      <c r="B897" s="8" t="s">
        <v>133</v>
      </c>
      <c r="C897" s="8" t="s">
        <v>782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935</v>
      </c>
      <c r="B898" s="8" t="s">
        <v>332</v>
      </c>
      <c r="C898" s="8" t="s">
        <v>783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935</v>
      </c>
      <c r="B899" s="8" t="s">
        <v>109</v>
      </c>
      <c r="C899" s="8" t="s">
        <v>785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935</v>
      </c>
      <c r="B900" s="8" t="s">
        <v>109</v>
      </c>
      <c r="C900" s="8" t="s">
        <v>786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935</v>
      </c>
      <c r="B901" s="8" t="s">
        <v>109</v>
      </c>
      <c r="C901" s="8" t="s">
        <v>787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935</v>
      </c>
      <c r="B902" s="8" t="s">
        <v>109</v>
      </c>
      <c r="C902" s="8" t="s">
        <v>788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935</v>
      </c>
      <c r="B903" s="8" t="s">
        <v>109</v>
      </c>
      <c r="C903" s="8" t="s">
        <v>789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935</v>
      </c>
      <c r="B904" s="8" t="s">
        <v>77</v>
      </c>
      <c r="C904" s="8" t="s">
        <v>790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935</v>
      </c>
      <c r="B905" s="8" t="s">
        <v>174</v>
      </c>
      <c r="C905" s="8" t="s">
        <v>722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935</v>
      </c>
      <c r="B906" s="8" t="s">
        <v>68</v>
      </c>
      <c r="C906" s="8" t="s">
        <v>791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935</v>
      </c>
      <c r="B907" s="8" t="s">
        <v>68</v>
      </c>
      <c r="C907" s="8" t="s">
        <v>792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935</v>
      </c>
      <c r="B908" s="8" t="s">
        <v>68</v>
      </c>
      <c r="C908" s="8" t="s">
        <v>793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935</v>
      </c>
      <c r="B909" s="8" t="s">
        <v>326</v>
      </c>
      <c r="C909" s="8" t="s">
        <v>794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935</v>
      </c>
      <c r="B910" s="8" t="s">
        <v>342</v>
      </c>
      <c r="C910" s="8" t="s">
        <v>795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935</v>
      </c>
      <c r="B911" s="8" t="s">
        <v>338</v>
      </c>
      <c r="C911" s="8" t="s">
        <v>795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935</v>
      </c>
      <c r="B912" s="8" t="s">
        <v>220</v>
      </c>
      <c r="C912" s="8" t="s">
        <v>795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935</v>
      </c>
      <c r="B913" s="8" t="s">
        <v>162</v>
      </c>
      <c r="C913" s="8" t="s">
        <v>796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935</v>
      </c>
      <c r="B914" s="8" t="s">
        <v>164</v>
      </c>
      <c r="C914" s="8" t="s">
        <v>796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935</v>
      </c>
      <c r="B915" s="8" t="s">
        <v>288</v>
      </c>
      <c r="C915" s="8" t="s">
        <v>798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935</v>
      </c>
      <c r="B916" s="8" t="s">
        <v>316</v>
      </c>
      <c r="C916" s="8" t="s">
        <v>798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935</v>
      </c>
      <c r="B917" s="8" t="s">
        <v>292</v>
      </c>
      <c r="C917" s="8" t="s">
        <v>799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935</v>
      </c>
      <c r="B918" s="8" t="s">
        <v>229</v>
      </c>
      <c r="C918" s="8" t="s">
        <v>800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935</v>
      </c>
      <c r="B919" s="8" t="s">
        <v>313</v>
      </c>
      <c r="C919" s="8" t="s">
        <v>801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935</v>
      </c>
      <c r="B920" s="8" t="s">
        <v>267</v>
      </c>
      <c r="C920" s="8" t="s">
        <v>957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935</v>
      </c>
      <c r="B921" s="8" t="s">
        <v>312</v>
      </c>
      <c r="C921" s="8" t="s">
        <v>800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935</v>
      </c>
      <c r="B922" s="8" t="s">
        <v>165</v>
      </c>
      <c r="C922" s="8" t="s">
        <v>802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935</v>
      </c>
      <c r="B923" s="8" t="s">
        <v>165</v>
      </c>
      <c r="C923" s="8" t="s">
        <v>803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935</v>
      </c>
      <c r="B924" s="8" t="s">
        <v>165</v>
      </c>
      <c r="C924" s="8" t="s">
        <v>804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935</v>
      </c>
      <c r="B925" s="8" t="s">
        <v>286</v>
      </c>
      <c r="C925" s="8" t="s">
        <v>806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935</v>
      </c>
      <c r="B926" s="8" t="s">
        <v>286</v>
      </c>
      <c r="C926" s="8" t="s">
        <v>807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935</v>
      </c>
      <c r="B927" s="8" t="s">
        <v>286</v>
      </c>
      <c r="C927" s="8" t="s">
        <v>808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935</v>
      </c>
      <c r="B928" s="8" t="s">
        <v>374</v>
      </c>
      <c r="C928" s="8" t="s">
        <v>958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935</v>
      </c>
      <c r="B929" s="8" t="s">
        <v>161</v>
      </c>
      <c r="C929" s="8" t="s">
        <v>809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935</v>
      </c>
      <c r="B930" s="8" t="s">
        <v>343</v>
      </c>
      <c r="C930" s="8" t="s">
        <v>810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935</v>
      </c>
      <c r="B931" s="8" t="s">
        <v>237</v>
      </c>
      <c r="C931" s="8" t="s">
        <v>810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935</v>
      </c>
      <c r="B932" s="8" t="s">
        <v>345</v>
      </c>
      <c r="C932" s="8" t="s">
        <v>810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935</v>
      </c>
      <c r="B933" s="8" t="s">
        <v>258</v>
      </c>
      <c r="C933" s="8" t="s">
        <v>810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935</v>
      </c>
      <c r="B934" s="8" t="s">
        <v>106</v>
      </c>
      <c r="C934" s="8" t="s">
        <v>811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935</v>
      </c>
      <c r="B935" s="8" t="s">
        <v>96</v>
      </c>
      <c r="C935" s="8" t="s">
        <v>811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935</v>
      </c>
      <c r="B936" s="8" t="s">
        <v>107</v>
      </c>
      <c r="C936" s="8" t="s">
        <v>811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935</v>
      </c>
      <c r="B937" s="8" t="s">
        <v>115</v>
      </c>
      <c r="C937" s="8" t="s">
        <v>811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935</v>
      </c>
      <c r="B938" s="8" t="s">
        <v>73</v>
      </c>
      <c r="C938" s="8" t="s">
        <v>812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935</v>
      </c>
      <c r="B939" s="8" t="s">
        <v>70</v>
      </c>
      <c r="C939" s="8" t="s">
        <v>813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935</v>
      </c>
      <c r="B940" s="8" t="s">
        <v>102</v>
      </c>
      <c r="C940" s="8" t="s">
        <v>814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935</v>
      </c>
      <c r="B941" s="8" t="s">
        <v>102</v>
      </c>
      <c r="C941" s="8" t="s">
        <v>815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935</v>
      </c>
      <c r="B942" s="8" t="s">
        <v>102</v>
      </c>
      <c r="C942" s="8" t="s">
        <v>816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935</v>
      </c>
      <c r="B943" s="8" t="s">
        <v>102</v>
      </c>
      <c r="C943" s="8" t="s">
        <v>817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935</v>
      </c>
      <c r="B944" s="8" t="s">
        <v>102</v>
      </c>
      <c r="C944" s="8" t="s">
        <v>818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935</v>
      </c>
      <c r="B945" s="8" t="s">
        <v>102</v>
      </c>
      <c r="C945" s="8" t="s">
        <v>819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935</v>
      </c>
      <c r="B946" s="8" t="s">
        <v>116</v>
      </c>
      <c r="C946" s="8" t="s">
        <v>820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935</v>
      </c>
      <c r="B947" s="8" t="s">
        <v>295</v>
      </c>
      <c r="C947" s="8" t="s">
        <v>821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935</v>
      </c>
      <c r="B948" s="8" t="s">
        <v>70</v>
      </c>
      <c r="C948" s="8" t="s">
        <v>822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935</v>
      </c>
      <c r="B949" s="8" t="s">
        <v>183</v>
      </c>
      <c r="C949" s="8" t="s">
        <v>823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935</v>
      </c>
      <c r="B950" s="8" t="s">
        <v>183</v>
      </c>
      <c r="C950" s="8" t="s">
        <v>824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935</v>
      </c>
      <c r="B951" s="8" t="s">
        <v>183</v>
      </c>
      <c r="C951" s="8" t="s">
        <v>825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935</v>
      </c>
      <c r="B952" s="8" t="s">
        <v>183</v>
      </c>
      <c r="C952" s="8" t="s">
        <v>826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935</v>
      </c>
      <c r="B953" s="8" t="s">
        <v>183</v>
      </c>
      <c r="C953" s="8" t="s">
        <v>827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935</v>
      </c>
      <c r="B954" s="8" t="s">
        <v>67</v>
      </c>
      <c r="C954" s="8" t="s">
        <v>828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935</v>
      </c>
      <c r="B955" s="8" t="s">
        <v>299</v>
      </c>
      <c r="C955" s="8" t="s">
        <v>829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935</v>
      </c>
      <c r="B956" s="8" t="s">
        <v>206</v>
      </c>
      <c r="C956" s="8" t="s">
        <v>830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935</v>
      </c>
      <c r="B957" s="8" t="s">
        <v>239</v>
      </c>
      <c r="C957" s="8" t="s">
        <v>830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935</v>
      </c>
      <c r="B958" s="8" t="s">
        <v>182</v>
      </c>
      <c r="C958" s="8" t="s">
        <v>830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935</v>
      </c>
      <c r="B959" s="8" t="s">
        <v>188</v>
      </c>
      <c r="C959" s="8" t="s">
        <v>830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935</v>
      </c>
      <c r="B960" s="8" t="s">
        <v>123</v>
      </c>
      <c r="C960" s="8" t="s">
        <v>831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935</v>
      </c>
      <c r="B961" s="8" t="s">
        <v>235</v>
      </c>
      <c r="C961" s="8" t="s">
        <v>832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935</v>
      </c>
      <c r="B962" s="8" t="s">
        <v>325</v>
      </c>
      <c r="C962" s="8" t="s">
        <v>833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935</v>
      </c>
      <c r="B963" s="8" t="s">
        <v>348</v>
      </c>
      <c r="C963" s="8" t="s">
        <v>833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935</v>
      </c>
      <c r="B964" s="8" t="s">
        <v>315</v>
      </c>
      <c r="C964" s="8" t="s">
        <v>833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935</v>
      </c>
      <c r="B965" s="8" t="s">
        <v>317</v>
      </c>
      <c r="C965" s="8" t="s">
        <v>833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935</v>
      </c>
      <c r="B966" s="8" t="s">
        <v>175</v>
      </c>
      <c r="C966" s="8" t="s">
        <v>834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935</v>
      </c>
      <c r="B967" s="8" t="s">
        <v>118</v>
      </c>
      <c r="C967" s="8" t="s">
        <v>835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935</v>
      </c>
      <c r="B968" s="8" t="s">
        <v>134</v>
      </c>
      <c r="C968" s="8" t="s">
        <v>835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935</v>
      </c>
      <c r="B969" s="8" t="s">
        <v>146</v>
      </c>
      <c r="C969" s="8" t="s">
        <v>835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935</v>
      </c>
      <c r="B970" s="8" t="s">
        <v>145</v>
      </c>
      <c r="C970" s="8" t="s">
        <v>835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935</v>
      </c>
      <c r="B971" s="8" t="s">
        <v>154</v>
      </c>
      <c r="C971" s="8" t="s">
        <v>836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935</v>
      </c>
      <c r="B972" s="8" t="s">
        <v>154</v>
      </c>
      <c r="C972" s="8" t="s">
        <v>837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935</v>
      </c>
      <c r="B973" s="8" t="s">
        <v>154</v>
      </c>
      <c r="C973" s="8" t="s">
        <v>838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935</v>
      </c>
      <c r="B974" s="8" t="s">
        <v>154</v>
      </c>
      <c r="C974" s="8" t="s">
        <v>839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935</v>
      </c>
      <c r="B975" s="8" t="s">
        <v>247</v>
      </c>
      <c r="C975" s="8" t="s">
        <v>840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935</v>
      </c>
      <c r="B976" s="8" t="s">
        <v>247</v>
      </c>
      <c r="C976" s="8" t="s">
        <v>841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935</v>
      </c>
      <c r="B977" s="8" t="s">
        <v>247</v>
      </c>
      <c r="C977" s="8" t="s">
        <v>842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935</v>
      </c>
      <c r="B978" s="8" t="s">
        <v>247</v>
      </c>
      <c r="C978" s="8" t="s">
        <v>843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935</v>
      </c>
      <c r="B979" s="8" t="s">
        <v>172</v>
      </c>
      <c r="C979" s="8" t="s">
        <v>663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935</v>
      </c>
      <c r="B980" s="8" t="s">
        <v>172</v>
      </c>
      <c r="C980" s="8" t="s">
        <v>662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935</v>
      </c>
      <c r="B981" s="8" t="s">
        <v>172</v>
      </c>
      <c r="C981" s="8" t="s">
        <v>664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935</v>
      </c>
      <c r="B982" s="8" t="s">
        <v>172</v>
      </c>
      <c r="C982" s="8" t="s">
        <v>661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935</v>
      </c>
      <c r="B983" s="8" t="s">
        <v>172</v>
      </c>
      <c r="C983" s="8" t="s">
        <v>844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935</v>
      </c>
      <c r="B984" s="8" t="s">
        <v>300</v>
      </c>
      <c r="C984" s="8" t="s">
        <v>845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935</v>
      </c>
      <c r="B985" s="8" t="s">
        <v>300</v>
      </c>
      <c r="C985" s="8" t="s">
        <v>846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935</v>
      </c>
      <c r="B986" s="8" t="s">
        <v>300</v>
      </c>
      <c r="C986" s="8" t="s">
        <v>847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935</v>
      </c>
      <c r="B987" s="8" t="s">
        <v>300</v>
      </c>
      <c r="C987" s="8" t="s">
        <v>848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935</v>
      </c>
      <c r="B988" s="8" t="s">
        <v>228</v>
      </c>
      <c r="C988" s="8" t="s">
        <v>849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935</v>
      </c>
      <c r="B989" s="8" t="s">
        <v>228</v>
      </c>
      <c r="C989" s="8" t="s">
        <v>850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935</v>
      </c>
      <c r="B990" s="8" t="s">
        <v>228</v>
      </c>
      <c r="C990" s="8" t="s">
        <v>851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935</v>
      </c>
      <c r="B991" s="8" t="s">
        <v>228</v>
      </c>
      <c r="C991" s="8" t="s">
        <v>852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935</v>
      </c>
      <c r="B992" s="8" t="s">
        <v>139</v>
      </c>
      <c r="C992" s="8" t="s">
        <v>854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935</v>
      </c>
      <c r="B993" s="8" t="s">
        <v>139</v>
      </c>
      <c r="C993" s="8" t="s">
        <v>855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935</v>
      </c>
      <c r="B994" s="8" t="s">
        <v>139</v>
      </c>
      <c r="C994" s="8" t="s">
        <v>856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935</v>
      </c>
      <c r="B995" s="8" t="s">
        <v>139</v>
      </c>
      <c r="C995" s="8" t="s">
        <v>857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935</v>
      </c>
      <c r="B996" s="8" t="s">
        <v>139</v>
      </c>
      <c r="C996" s="8" t="s">
        <v>858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935</v>
      </c>
      <c r="B997" s="8" t="s">
        <v>283</v>
      </c>
      <c r="C997" s="8" t="s">
        <v>860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935</v>
      </c>
      <c r="B998" s="8" t="s">
        <v>368</v>
      </c>
      <c r="C998" s="8" t="s">
        <v>959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935</v>
      </c>
      <c r="B999" s="8" t="s">
        <v>357</v>
      </c>
      <c r="C999" s="8" t="s">
        <v>959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935</v>
      </c>
      <c r="B1000" s="8" t="s">
        <v>241</v>
      </c>
      <c r="C1000" s="8" t="s">
        <v>871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935</v>
      </c>
      <c r="B1001" s="8" t="s">
        <v>234</v>
      </c>
      <c r="C1001" s="8" t="s">
        <v>871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935</v>
      </c>
      <c r="B1002" s="8" t="s">
        <v>242</v>
      </c>
      <c r="C1002" s="8" t="s">
        <v>871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935</v>
      </c>
      <c r="B1003" s="8" t="s">
        <v>265</v>
      </c>
      <c r="C1003" s="8" t="s">
        <v>871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935</v>
      </c>
      <c r="B1004" s="8" t="s">
        <v>236</v>
      </c>
      <c r="C1004" s="8" t="s">
        <v>872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935</v>
      </c>
      <c r="B1005" s="8" t="s">
        <v>232</v>
      </c>
      <c r="C1005" s="8" t="s">
        <v>872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935</v>
      </c>
      <c r="B1006" s="8" t="s">
        <v>260</v>
      </c>
      <c r="C1006" s="8" t="s">
        <v>872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935</v>
      </c>
      <c r="B1007" s="8" t="s">
        <v>250</v>
      </c>
      <c r="C1007" s="8" t="s">
        <v>872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935</v>
      </c>
      <c r="B1008" s="8" t="s">
        <v>153</v>
      </c>
      <c r="C1008" s="8" t="s">
        <v>873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935</v>
      </c>
      <c r="B1009" s="8" t="s">
        <v>153</v>
      </c>
      <c r="C1009" s="8" t="s">
        <v>874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935</v>
      </c>
      <c r="B1010" s="8" t="s">
        <v>212</v>
      </c>
      <c r="C1010" s="8" t="s">
        <v>960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935</v>
      </c>
      <c r="B1011" s="8" t="s">
        <v>212</v>
      </c>
      <c r="C1011" s="8" t="s">
        <v>961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935</v>
      </c>
      <c r="B1012" s="8" t="s">
        <v>212</v>
      </c>
      <c r="C1012" s="8" t="s">
        <v>962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935</v>
      </c>
      <c r="B1013" s="8" t="s">
        <v>271</v>
      </c>
      <c r="C1013" s="8" t="s">
        <v>875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935</v>
      </c>
      <c r="B1014" s="8" t="s">
        <v>84</v>
      </c>
      <c r="C1014" s="8" t="s">
        <v>876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935</v>
      </c>
      <c r="B1015" s="8" t="s">
        <v>166</v>
      </c>
      <c r="C1015" s="8" t="s">
        <v>877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935</v>
      </c>
      <c r="B1016" s="8" t="s">
        <v>84</v>
      </c>
      <c r="C1016" s="8" t="s">
        <v>878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935</v>
      </c>
      <c r="B1017" s="8" t="s">
        <v>87</v>
      </c>
      <c r="C1017" s="8" t="s">
        <v>880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935</v>
      </c>
      <c r="B1018" s="8" t="s">
        <v>87</v>
      </c>
      <c r="C1018" s="8" t="s">
        <v>881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935</v>
      </c>
      <c r="B1019" s="8" t="s">
        <v>87</v>
      </c>
      <c r="C1019" s="8" t="s">
        <v>882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935</v>
      </c>
      <c r="B1020" s="8" t="s">
        <v>87</v>
      </c>
      <c r="C1020" s="8" t="s">
        <v>883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935</v>
      </c>
      <c r="B1021" s="8" t="s">
        <v>87</v>
      </c>
      <c r="C1021" s="8" t="s">
        <v>884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935</v>
      </c>
      <c r="B1022" s="8" t="s">
        <v>79</v>
      </c>
      <c r="C1022" s="8" t="s">
        <v>885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935</v>
      </c>
      <c r="B1023" s="8" t="s">
        <v>79</v>
      </c>
      <c r="C1023" s="8" t="s">
        <v>886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935</v>
      </c>
      <c r="B1024" s="8" t="s">
        <v>79</v>
      </c>
      <c r="C1024" s="8" t="s">
        <v>887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935</v>
      </c>
      <c r="B1025" s="8" t="s">
        <v>79</v>
      </c>
      <c r="C1025" s="8" t="s">
        <v>888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935</v>
      </c>
      <c r="B1026" s="8" t="s">
        <v>79</v>
      </c>
      <c r="C1026" s="8" t="s">
        <v>889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935</v>
      </c>
      <c r="B1027" s="8" t="s">
        <v>131</v>
      </c>
      <c r="C1027" s="8" t="s">
        <v>890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935</v>
      </c>
      <c r="B1028" s="8" t="s">
        <v>131</v>
      </c>
      <c r="C1028" s="8" t="s">
        <v>891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935</v>
      </c>
      <c r="B1029" s="8" t="s">
        <v>131</v>
      </c>
      <c r="C1029" s="8" t="s">
        <v>892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935</v>
      </c>
      <c r="B1030" s="8" t="s">
        <v>131</v>
      </c>
      <c r="C1030" s="8" t="s">
        <v>893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935</v>
      </c>
      <c r="B1031" s="8" t="s">
        <v>131</v>
      </c>
      <c r="C1031" s="8" t="s">
        <v>894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935</v>
      </c>
      <c r="B1032" s="8" t="s">
        <v>303</v>
      </c>
      <c r="C1032" s="8" t="s">
        <v>895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935</v>
      </c>
      <c r="B1033" s="8" t="s">
        <v>335</v>
      </c>
      <c r="C1033" s="8" t="s">
        <v>896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935</v>
      </c>
      <c r="B1034" s="8" t="s">
        <v>287</v>
      </c>
      <c r="C1034" s="8" t="s">
        <v>897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935</v>
      </c>
      <c r="B1035" s="8" t="s">
        <v>189</v>
      </c>
      <c r="C1035" s="8" t="s">
        <v>898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935</v>
      </c>
      <c r="B1036" s="8" t="s">
        <v>273</v>
      </c>
      <c r="C1036" s="8" t="s">
        <v>899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935</v>
      </c>
      <c r="B1037" s="8" t="s">
        <v>202</v>
      </c>
      <c r="C1037" s="8" t="s">
        <v>900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935</v>
      </c>
      <c r="B1038" s="8" t="s">
        <v>202</v>
      </c>
      <c r="C1038" s="8" t="s">
        <v>901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935</v>
      </c>
      <c r="B1039" s="8" t="s">
        <v>202</v>
      </c>
      <c r="C1039" s="8" t="s">
        <v>902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935</v>
      </c>
      <c r="B1040" s="8" t="s">
        <v>202</v>
      </c>
      <c r="C1040" s="8" t="s">
        <v>903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935</v>
      </c>
      <c r="B1041" s="8" t="s">
        <v>186</v>
      </c>
      <c r="C1041" s="8" t="s">
        <v>904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935</v>
      </c>
      <c r="B1042" s="8" t="s">
        <v>163</v>
      </c>
      <c r="C1042" s="8" t="s">
        <v>905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935</v>
      </c>
      <c r="B1043" s="8" t="s">
        <v>152</v>
      </c>
      <c r="C1043" s="8" t="s">
        <v>906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935</v>
      </c>
      <c r="B1044" s="8" t="s">
        <v>193</v>
      </c>
      <c r="C1044" s="8" t="s">
        <v>907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935</v>
      </c>
      <c r="B1045" s="8" t="s">
        <v>322</v>
      </c>
      <c r="C1045" s="8" t="s">
        <v>908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935</v>
      </c>
      <c r="B1046" s="8" t="s">
        <v>323</v>
      </c>
      <c r="C1046" s="8" t="s">
        <v>963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935</v>
      </c>
      <c r="B1047" s="8" t="s">
        <v>256</v>
      </c>
      <c r="C1047" s="8" t="s">
        <v>964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935</v>
      </c>
      <c r="B1048" s="8" t="s">
        <v>256</v>
      </c>
      <c r="C1048" s="8" t="s">
        <v>909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935</v>
      </c>
      <c r="B1049" s="8" t="s">
        <v>256</v>
      </c>
      <c r="C1049" s="8" t="s">
        <v>965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935</v>
      </c>
      <c r="B1050" s="8" t="s">
        <v>256</v>
      </c>
      <c r="C1050" s="8" t="s">
        <v>966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935</v>
      </c>
      <c r="B1051" s="8" t="s">
        <v>256</v>
      </c>
      <c r="C1051" s="8" t="s">
        <v>967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935</v>
      </c>
      <c r="B1052" s="8" t="s">
        <v>92</v>
      </c>
      <c r="C1052" s="8" t="s">
        <v>911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935</v>
      </c>
      <c r="B1053" s="8" t="s">
        <v>92</v>
      </c>
      <c r="C1053" s="8" t="s">
        <v>912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935</v>
      </c>
      <c r="B1054" s="8" t="s">
        <v>92</v>
      </c>
      <c r="C1054" s="8" t="s">
        <v>913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935</v>
      </c>
      <c r="B1055" s="8" t="s">
        <v>92</v>
      </c>
      <c r="C1055" s="8" t="s">
        <v>914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935</v>
      </c>
      <c r="B1056" s="8" t="s">
        <v>243</v>
      </c>
      <c r="C1056" s="8" t="s">
        <v>915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935</v>
      </c>
      <c r="B1057" s="8" t="s">
        <v>331</v>
      </c>
      <c r="C1057" s="8" t="s">
        <v>915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935</v>
      </c>
      <c r="B1058" s="8" t="s">
        <v>243</v>
      </c>
      <c r="C1058" s="8" t="s">
        <v>916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935</v>
      </c>
      <c r="B1059" s="8" t="s">
        <v>329</v>
      </c>
      <c r="C1059" s="8" t="s">
        <v>916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935</v>
      </c>
      <c r="B1060" s="8" t="s">
        <v>81</v>
      </c>
      <c r="C1060" s="8" t="s">
        <v>917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935</v>
      </c>
      <c r="B1061" s="8" t="s">
        <v>138</v>
      </c>
      <c r="C1061" s="8" t="s">
        <v>918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935</v>
      </c>
      <c r="B1062" s="8" t="s">
        <v>69</v>
      </c>
      <c r="C1062" s="8" t="s">
        <v>968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935</v>
      </c>
      <c r="B1063" s="8" t="s">
        <v>69</v>
      </c>
      <c r="C1063" s="8" t="s">
        <v>969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935</v>
      </c>
      <c r="B1064" s="8" t="s">
        <v>69</v>
      </c>
      <c r="C1064" s="8" t="s">
        <v>970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935</v>
      </c>
      <c r="B1065" s="8" t="s">
        <v>199</v>
      </c>
      <c r="C1065" s="8" t="s">
        <v>971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935</v>
      </c>
      <c r="B1066" s="8" t="s">
        <v>199</v>
      </c>
      <c r="C1066" s="8" t="s">
        <v>972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935</v>
      </c>
      <c r="B1067" s="8" t="s">
        <v>99</v>
      </c>
      <c r="C1067" s="8" t="s">
        <v>919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935</v>
      </c>
      <c r="B1068" s="8" t="s">
        <v>136</v>
      </c>
      <c r="C1068" s="8" t="s">
        <v>524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935</v>
      </c>
      <c r="B1069" s="8" t="s">
        <v>205</v>
      </c>
      <c r="C1069" s="8" t="s">
        <v>920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935</v>
      </c>
      <c r="B1070" s="8" t="s">
        <v>383</v>
      </c>
      <c r="C1070" s="8" t="s">
        <v>973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935</v>
      </c>
      <c r="B1071" s="8" t="s">
        <v>388</v>
      </c>
      <c r="C1071" s="8" t="s">
        <v>974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935</v>
      </c>
      <c r="B1072" s="8" t="s">
        <v>386</v>
      </c>
      <c r="C1072" s="8" t="s">
        <v>975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935</v>
      </c>
      <c r="B1073" s="8" t="s">
        <v>390</v>
      </c>
      <c r="C1073" s="8" t="s">
        <v>976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935</v>
      </c>
      <c r="B1074" s="8" t="s">
        <v>204</v>
      </c>
      <c r="C1074" s="8" t="s">
        <v>977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935</v>
      </c>
      <c r="B1075" s="8" t="s">
        <v>204</v>
      </c>
      <c r="C1075" s="8" t="s">
        <v>978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935</v>
      </c>
      <c r="B1076" s="8" t="s">
        <v>204</v>
      </c>
      <c r="C1076" s="8" t="s">
        <v>979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935</v>
      </c>
      <c r="B1077" s="8" t="s">
        <v>204</v>
      </c>
      <c r="C1077" s="8" t="s">
        <v>980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935</v>
      </c>
      <c r="B1078" s="8" t="s">
        <v>200</v>
      </c>
      <c r="C1078" s="8" t="s">
        <v>981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935</v>
      </c>
      <c r="B1079" s="8" t="s">
        <v>246</v>
      </c>
      <c r="C1079" s="8" t="s">
        <v>982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935</v>
      </c>
      <c r="B1080" s="8" t="s">
        <v>246</v>
      </c>
      <c r="C1080" s="8" t="s">
        <v>983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935</v>
      </c>
      <c r="B1081" s="8" t="s">
        <v>246</v>
      </c>
      <c r="C1081" s="8" t="s">
        <v>984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935</v>
      </c>
      <c r="B1082" s="8" t="s">
        <v>275</v>
      </c>
      <c r="C1082" s="8" t="s">
        <v>985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935</v>
      </c>
      <c r="B1083" s="8" t="s">
        <v>275</v>
      </c>
      <c r="C1083" s="8" t="s">
        <v>986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935</v>
      </c>
      <c r="B1084" s="8" t="s">
        <v>274</v>
      </c>
      <c r="C1084" s="8" t="s">
        <v>987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935</v>
      </c>
      <c r="B1085" s="8" t="s">
        <v>140</v>
      </c>
      <c r="C1085" s="8" t="s">
        <v>921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935</v>
      </c>
      <c r="B1086" s="8" t="s">
        <v>140</v>
      </c>
      <c r="C1086" s="8" t="s">
        <v>922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935</v>
      </c>
      <c r="B1087" s="8" t="s">
        <v>140</v>
      </c>
      <c r="C1087" s="8" t="s">
        <v>923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935</v>
      </c>
      <c r="B1088" s="8" t="s">
        <v>277</v>
      </c>
      <c r="C1088" s="8" t="s">
        <v>924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935</v>
      </c>
      <c r="B1089" s="8" t="s">
        <v>160</v>
      </c>
      <c r="C1089" s="8" t="s">
        <v>924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935</v>
      </c>
      <c r="B1090" s="8" t="s">
        <v>168</v>
      </c>
      <c r="C1090" s="8" t="s">
        <v>924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935</v>
      </c>
      <c r="B1091" s="8" t="s">
        <v>277</v>
      </c>
      <c r="C1091" s="8" t="s">
        <v>925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935</v>
      </c>
      <c r="B1092" s="8" t="s">
        <v>160</v>
      </c>
      <c r="C1092" s="8" t="s">
        <v>925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935</v>
      </c>
      <c r="B1093" s="8" t="s">
        <v>168</v>
      </c>
      <c r="C1093" s="8" t="s">
        <v>925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935</v>
      </c>
      <c r="B1094" s="8" t="s">
        <v>385</v>
      </c>
      <c r="C1094" s="8" t="s">
        <v>988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935</v>
      </c>
      <c r="B1095" s="8" t="s">
        <v>387</v>
      </c>
      <c r="C1095" s="8" t="s">
        <v>989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935</v>
      </c>
      <c r="B1096" s="8" t="s">
        <v>391</v>
      </c>
      <c r="C1096" s="8" t="s">
        <v>699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935</v>
      </c>
      <c r="B1097" s="8" t="s">
        <v>185</v>
      </c>
      <c r="C1097" s="8" t="s">
        <v>990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935</v>
      </c>
      <c r="B1098" s="8" t="s">
        <v>389</v>
      </c>
      <c r="C1098" s="8" t="s">
        <v>991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935</v>
      </c>
      <c r="B1099" s="8" t="s">
        <v>122</v>
      </c>
      <c r="C1099" s="8" t="s">
        <v>927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935</v>
      </c>
      <c r="B1100" s="8" t="s">
        <v>122</v>
      </c>
      <c r="C1100" s="8" t="s">
        <v>928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935</v>
      </c>
      <c r="B1101" s="8" t="s">
        <v>227</v>
      </c>
      <c r="C1101" s="8" t="s">
        <v>992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935</v>
      </c>
      <c r="B1102" s="8" t="s">
        <v>90</v>
      </c>
      <c r="C1102" s="8" t="s">
        <v>929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935</v>
      </c>
      <c r="B1103" s="8" t="s">
        <v>72</v>
      </c>
      <c r="C1103" s="8" t="s">
        <v>930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935</v>
      </c>
      <c r="B1104" s="8" t="s">
        <v>72</v>
      </c>
      <c r="C1104" s="8" t="s">
        <v>931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935</v>
      </c>
      <c r="B1105" s="8" t="s">
        <v>72</v>
      </c>
      <c r="C1105" s="8" t="s">
        <v>932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935</v>
      </c>
      <c r="B1106" s="8" t="s">
        <v>72</v>
      </c>
      <c r="C1106" s="8" t="s">
        <v>933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935</v>
      </c>
      <c r="B1107" s="8" t="s">
        <v>72</v>
      </c>
      <c r="C1107" s="8" t="s">
        <v>934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935</v>
      </c>
      <c r="B1108" s="8" t="s">
        <v>72</v>
      </c>
      <c r="C1108" s="8" t="s">
        <v>993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2026-09-19T14:24:29Z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