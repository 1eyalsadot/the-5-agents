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comments12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14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תקציב  " sheetId="1" state="visible" r:id="rId3"/>
    <sheet name="מצטבר - בחירה" sheetId="2" state="visible" r:id="rId4"/>
    <sheet name="רבעונים" sheetId="3" state="visible" r:id="rId5"/>
    <sheet name="1" sheetId="4" state="visible" r:id="rId6"/>
    <sheet name="2" sheetId="5" state="visible" r:id="rId7"/>
    <sheet name="3" sheetId="6" state="visible" r:id="rId8"/>
    <sheet name="4" sheetId="7" state="visible" r:id="rId9"/>
    <sheet name="5" sheetId="8" state="visible" r:id="rId10"/>
    <sheet name="6" sheetId="9" state="visible" r:id="rId11"/>
    <sheet name="7" sheetId="10" state="visible" r:id="rId12"/>
    <sheet name="8" sheetId="11" state="visible" r:id="rId13"/>
    <sheet name="9" sheetId="12" state="visible" r:id="rId14"/>
    <sheet name="10" sheetId="13" state="visible" r:id="rId15"/>
    <sheet name="11" sheetId="14" state="visible" r:id="rId16"/>
    <sheet name="12" sheetId="15" state="visible" r:id="rId17"/>
    <sheet name="נתונים_שטוחים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=E15/$Q15</t>
        </r>
      </text>
    </comment>
    <comment ref="E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=E37/$Q37</t>
        </r>
      </text>
    </comment>
    <comment ref="F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=F15/$Q15</t>
        </r>
      </text>
    </comment>
    <comment ref="F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=F37/$Q37</t>
        </r>
      </text>
    </comment>
    <comment ref="G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=G15/$Q15</t>
        </r>
      </text>
    </comment>
    <comment ref="G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=G37/$Q37</t>
        </r>
      </text>
    </comment>
    <comment ref="H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=H15/$Q15</t>
        </r>
      </text>
    </comment>
    <comment ref="H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=H37/$Q37</t>
        </r>
      </text>
    </comment>
    <comment ref="I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=I15/$Q15</t>
        </r>
      </text>
    </comment>
    <comment ref="I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=I37/$Q37</t>
        </r>
      </text>
    </comment>
    <comment ref="J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=J15/$Q15</t>
        </r>
      </text>
    </comment>
    <comment ref="J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=J37/$Q37</t>
        </r>
      </text>
    </comment>
    <comment ref="K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=K15/$Q15</t>
        </r>
      </text>
    </comment>
    <comment ref="K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=K37/$Q37</t>
        </r>
      </text>
    </comment>
    <comment ref="L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=L15/$Q15</t>
        </r>
      </text>
    </comment>
    <comment ref="L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=L37/$Q37</t>
        </r>
      </text>
    </comment>
    <comment ref="M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=M15/$Q15</t>
        </r>
      </text>
    </comment>
    <comment ref="M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=M37/$Q37</t>
        </r>
      </text>
    </comment>
    <comment ref="N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=N15/$Q15</t>
        </r>
      </text>
    </comment>
    <comment ref="N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=N37/$Q37</t>
        </r>
      </text>
    </comment>
    <comment ref="O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=O15/$Q15</t>
        </r>
      </text>
    </comment>
    <comment ref="O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=O37/$Q37</t>
        </r>
      </text>
    </comment>
    <comment ref="P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=P15/$Q15</t>
        </r>
      </text>
    </comment>
    <comment ref="P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=P37/$Q37</t>
        </r>
      </text>
    </comment>
    <comment ref="Q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=SUM(E53:P53)</t>
        </r>
      </text>
    </comment>
    <comment ref="Q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=SUM(E74:P74)</t>
        </r>
      </text>
    </comment>
    <comment ref="AG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I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=[1]אמזון!$M$29</t>
        </r>
      </text>
    </comment>
    <comment ref="AI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J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=[1]אמזון!$M$30</t>
        </r>
      </text>
    </comment>
    <comment ref="AJ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K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=[1]אמזון!$M$31</t>
        </r>
      </text>
    </comment>
    <comment ref="AK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L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=[1]אמזון!$M$32</t>
        </r>
      </text>
    </comment>
    <comment ref="AL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M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=[1]אמזון!$M$33</t>
        </r>
      </text>
    </comment>
    <comment ref="AM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N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=[1]אמזון!$M$34</t>
        </r>
      </text>
    </comment>
    <comment ref="AN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2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=G29/F29-1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=G24/J24-1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Isa:
</t>
        </r>
        <r>
          <rPr>
            <sz val="10"/>
            <rFont val="FreeSans"/>
            <family val="2"/>
          </rPr>
          <t xml:space="preserve">חנויות ספורט</t>
        </r>
      </text>
    </commen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=G3/F3-1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sharedStrings.xml><?xml version="1.0" encoding="utf-8"?>
<sst xmlns="http://schemas.openxmlformats.org/spreadsheetml/2006/main" count="2345" uniqueCount="232">
  <si>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</si>
  <si>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</si>
  <si>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</si>
  <si>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</si>
  <si>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</si>
  <si>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</si>
  <si>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</si>
  <si>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</si>
  <si>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</si>
  <si>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</si>
  <si>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</si>
  <si>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</si>
  <si>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</si>
  <si>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</si>
  <si>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</si>
  <si>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</si>
  <si>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</si>
  <si>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</si>
  <si>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</si>
  <si>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</si>
  <si>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</si>
  <si>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</si>
  <si>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</si>
  <si>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</si>
  <si>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</si>
  <si>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</si>
  <si>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</si>
  <si>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</si>
  <si>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</si>
  <si>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</si>
  <si>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</si>
  <si>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</si>
  <si>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</si>
  <si>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</si>
  <si>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</si>
  <si>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</si>
  <si>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</si>
  <si>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</si>
  <si>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</si>
  <si>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</si>
  <si>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</si>
  <si>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</si>
  <si>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</si>
  <si>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</si>
  <si>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</si>
  <si>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</si>
  <si>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</si>
  <si>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</si>
  <si>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</si>
  <si>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</si>
  <si>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</si>
  <si>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</si>
  <si>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</si>
  <si>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</si>
  <si>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</si>
  <si>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</si>
  <si>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</si>
  <si>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</si>
  <si>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</si>
  <si>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</si>
  <si>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</si>
  <si>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</si>
  <si>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</si>
  <si>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</si>
  <si>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</si>
  <si>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</si>
  <si>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</si>
  <si>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</si>
  <si>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</si>
  <si>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</si>
  <si>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</si>
  <si>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</si>
  <si>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</si>
  <si>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</si>
  <si>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</si>
  <si>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</si>
  <si>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</si>
  <si>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</si>
  <si>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</si>
  <si>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</si>
  <si>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</si>
  <si>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</si>
  <si>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</si>
  <si>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</si>
  <si>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</si>
  <si>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</si>
  <si>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</si>
  <si>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</si>
  <si>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</si>
  <si>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</si>
  <si>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</si>
  <si>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</si>
  <si>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</si>
  <si>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</si>
  <si>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</si>
  <si>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</si>
  <si>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</si>
  <si>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</si>
  <si>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</si>
  <si>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</si>
  <si>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</si>
  <si>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ביצוע מצטבר לפי חודשים </t>
  </si>
  <si>
    <t xml:space="preserve">בחר חודש (מצטבר מינואר עד החודש שנבחר, כולל):</t>
  </si>
  <si>
    <t xml:space="preserve">(מספר חודש נבחר:)</t>
  </si>
  <si>
    <t xml:space="preserve">תאריך חישוב:</t>
  </si>
  <si>
    <t xml:space="preserve">מספר</t>
  </si>
  <si>
    <t xml:space="preserve">קטגוריה</t>
  </si>
  <si>
    <t xml:space="preserve">קבוצה</t>
  </si>
  <si>
    <t xml:space="preserve">% מול 2025</t>
  </si>
  <si>
    <t xml:space="preserve">₪ מול 2025</t>
  </si>
  <si>
    <t xml:space="preserve">תקציב </t>
  </si>
  <si>
    <t xml:space="preserve">% מול תקציב</t>
  </si>
  <si>
    <t xml:space="preserve">₪ מול תקציב</t>
  </si>
  <si>
    <t xml:space="preserve">% מול מטרה</t>
  </si>
  <si>
    <t xml:space="preserve">₪ מול מטרה</t>
  </si>
  <si>
    <t xml:space="preserve">סה"כ ישראל ללא אונליין</t>
  </si>
  <si>
    <t xml:space="preserve">סה"כ מכירות</t>
  </si>
  <si>
    <t xml:space="preserve">אחוז מכירות חו"ל מסה"כ מכירות</t>
  </si>
  <si>
    <t xml:space="preserve">ביצוע מצטבר לפי רבעונים  </t>
  </si>
  <si>
    <t xml:space="preserve">בחר רבעון:</t>
  </si>
  <si>
    <t xml:space="preserve">Q4</t>
  </si>
  <si>
    <t xml:space="preserve">(מספר רבעון:)</t>
  </si>
  <si>
    <t xml:space="preserve">2024 (רבעון)</t>
  </si>
  <si>
    <t xml:space="preserve">2025 (רבעון)</t>
  </si>
  <si>
    <t xml:space="preserve">2026 (רבעון)</t>
  </si>
  <si>
    <t xml:space="preserve">תקציב (רבעון)</t>
  </si>
  <si>
    <t xml:space="preserve">מטרה (רבעון)</t>
  </si>
  <si>
    <t xml:space="preserve">דוח מכירות ינואר 2026</t>
  </si>
  <si>
    <t xml:space="preserve">אחוז מול 2025</t>
  </si>
  <si>
    <t xml:space="preserve">כספי מול 2025  </t>
  </si>
  <si>
    <t xml:space="preserve">תקציב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</si>
  <si>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</si>
  <si>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</si>
  <si>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</si>
  <si>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</si>
  <si>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</si>
  <si>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</si>
  <si>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</si>
  <si>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</si>
  <si>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</si>
  <si>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</si>
  <si>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</si>
  <si>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</si>
  <si>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</si>
  <si>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</si>
  <si>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</si>
  <si>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</si>
  <si>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</si>
  <si>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</si>
  <si>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</si>
  <si>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</si>
  <si>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</si>
  <si>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</si>
  <si>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</si>
  <si>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</si>
  <si>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</si>
  <si>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</si>
  <si>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</si>
  <si>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</si>
  <si>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</si>
  <si>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</si>
  <si>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</si>
  <si>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</si>
  <si>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סה"כ מכירות </t>
  </si>
  <si>
    <t xml:space="preserve">מכבי</t>
  </si>
  <si>
    <t xml:space="preserve">BAKU</t>
  </si>
  <si>
    <t xml:space="preserve">AZERBAIJAN</t>
  </si>
  <si>
    <t xml:space="preserve">MEXICO</t>
  </si>
  <si>
    <t xml:space="preserve">דוח מכירות פברואר 2026</t>
  </si>
  <si>
    <t xml:space="preserve">דוח מכירות מרץ 2026</t>
  </si>
  <si>
    <t xml:space="preserve">דוח מכירות אפריל 2026</t>
  </si>
  <si>
    <t xml:space="preserve">דוח מכירות מאי 2026</t>
  </si>
  <si>
    <t xml:space="preserve">דוח מכירות יוני 2026</t>
  </si>
  <si>
    <t xml:space="preserve">דוח מכירות יולי 2026</t>
  </si>
  <si>
    <t xml:space="preserve">SOB</t>
  </si>
  <si>
    <t xml:space="preserve">% ביצוע </t>
  </si>
  <si>
    <t xml:space="preserve">כספי מול תקציב </t>
  </si>
  <si>
    <t xml:space="preserve">% מול מטרה </t>
  </si>
  <si>
    <t xml:space="preserve">כספי מול מטרה </t>
  </si>
  <si>
    <t xml:space="preserve">דוח מכירות אוגוסט 2026</t>
  </si>
  <si>
    <t xml:space="preserve">דוח מכירות ספטמבר 2026</t>
  </si>
  <si>
    <t xml:space="preserve">דוח מכירות אוקטובר 2026</t>
  </si>
  <si>
    <t xml:space="preserve">דוח מכירות נובמבר 2026</t>
  </si>
  <si>
    <t xml:space="preserve">דוח מכירות דצמבר 2026</t>
  </si>
  <si>
    <t xml:space="preserve">טבלת עזר שטוחה (מוסתר) - בסיס לגיליונות 'מצטבר - בחירה' ו'רבעונים'. אל תמחק/תשנה ידנית.</t>
  </si>
  <si>
    <t xml:space="preserve">חודש #</t>
  </si>
  <si>
    <t xml:space="preserve">שם חודש</t>
  </si>
  <si>
    <t xml:space="preserve">עמודת תקציב מצטבר</t>
  </si>
  <si>
    <t xml:space="preserve">עמודת יעד מצטבר</t>
  </si>
  <si>
    <t xml:space="preserve">עמודת תקציב חודשי</t>
  </si>
  <si>
    <t xml:space="preserve">עמודת יעד חודשי</t>
  </si>
  <si>
    <t xml:space="preserve">ינואר-2024</t>
  </si>
  <si>
    <t xml:space="preserve">פברואר-2024</t>
  </si>
  <si>
    <t xml:space="preserve">מרץ-2024</t>
  </si>
  <si>
    <t xml:space="preserve">אפריל-2024</t>
  </si>
  <si>
    <t xml:space="preserve">מאי-2024</t>
  </si>
  <si>
    <t xml:space="preserve">יוני-2024</t>
  </si>
  <si>
    <t xml:space="preserve">יולי-2024</t>
  </si>
  <si>
    <t xml:space="preserve">אוגוסט-2024</t>
  </si>
  <si>
    <t xml:space="preserve">ספטמבר-2024</t>
  </si>
  <si>
    <t xml:space="preserve">אוקטובר-2024</t>
  </si>
  <si>
    <t xml:space="preserve">נובמבר-2024</t>
  </si>
  <si>
    <t xml:space="preserve">דצמבר-2024</t>
  </si>
  <si>
    <t xml:space="preserve">ינואר-2025</t>
  </si>
  <si>
    <t xml:space="preserve">פברואר-2025</t>
  </si>
  <si>
    <t xml:space="preserve">מרץ-2025</t>
  </si>
  <si>
    <t xml:space="preserve">אפריל-2025</t>
  </si>
  <si>
    <t xml:space="preserve">מאי-2025</t>
  </si>
  <si>
    <t xml:space="preserve">יוני-2025</t>
  </si>
  <si>
    <t xml:space="preserve">יולי-2025</t>
  </si>
  <si>
    <t xml:space="preserve">אוגוסט-2025</t>
  </si>
  <si>
    <t xml:space="preserve">ספטמבר-2025</t>
  </si>
  <si>
    <t xml:space="preserve">אוקטובר-2025</t>
  </si>
  <si>
    <t xml:space="preserve">נובמבר-2025</t>
  </si>
  <si>
    <t xml:space="preserve">דצמבר-2025</t>
  </si>
  <si>
    <t xml:space="preserve">ינואר-2026</t>
  </si>
  <si>
    <t xml:space="preserve">פברואר-2026</t>
  </si>
  <si>
    <t xml:space="preserve">מרץ-2026</t>
  </si>
  <si>
    <t xml:space="preserve">אפריל-2026</t>
  </si>
  <si>
    <t xml:space="preserve">מאי-2026</t>
  </si>
  <si>
    <t xml:space="preserve">יוני-2026</t>
  </si>
  <si>
    <t xml:space="preserve">יולי-2026</t>
  </si>
  <si>
    <t xml:space="preserve">אוגוסט-2026</t>
  </si>
  <si>
    <t xml:space="preserve">ספטמבר-2026</t>
  </si>
  <si>
    <t xml:space="preserve">אוקטובר-2026</t>
  </si>
  <si>
    <t xml:space="preserve">נובמבר-2026</t>
  </si>
  <si>
    <t xml:space="preserve">דצמבר-2026</t>
  </si>
  <si>
    <t xml:space="preserve">אינדקס חודש (לשימוש SUMIFS מצטבר)</t>
  </si>
  <si>
    <t xml:space="preserve">אינדקס רבעון (לשימוש SUMIFS רבעוני)</t>
  </si>
  <si>
    <t xml:space="preserve">ישראל</t>
  </si>
  <si>
    <t xml:space="preserve">הערה: עמודות 'מצטבר' מבוססות על המבנה הקבוע של גיליון 'תקציב' (שורת כותרות 4): S=19,U-AE=21..31 (מצטבר ינואר..דצמבר); AR-AW=44..49 (יעד מצטבר יולי..דצמבר, קיים רק מיולי). עמודות 'חודשי' הן E..P=5..16 (תקציב חודשי) ו-AI..AN=35..40 (יעד חודשי, קיים רק יולי-דצמבר). מאומת ידנית מול מבנה הקובץ המקורי בתאריך 01/10/2026.</t>
  </si>
  <si>
    <t xml:space="preserve">יצוא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</si>
</sst>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 * #,##0_ ;_ * \-#,##0_ ;_ * \-??_ ;_ @_ "/>
    <numFmt numFmtId="167" formatCode="0"/>
    <numFmt numFmtId="168" formatCode="0%"/>
    <numFmt numFmtId="169" formatCode="dd/mm/yy"/>
    <numFmt numFmtId="170" formatCode="0.0%"/>
    <numFmt numFmtId="171" formatCode="0.0000"/>
  </numFmts>
  <fonts count="24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0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name val="Arial"/>
      <family val="2"/>
      <charset val="1"/>
    </font>
    <font>
      <sz val="8"/>
      <color rgb="FFFF0000"/>
      <name val="Arial"/>
      <family val="2"/>
      <charset val="177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8"/>
      <color theme="1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CE4D6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D966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D966"/>
      </patternFill>
    </fill>
    <fill>
      <patternFill patternType="solid">
        <fgColor theme="2"/>
        <bgColor rgb="FFDAE3F3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C6E0B4"/>
        <bgColor rgb="FFC5E0B4"/>
      </patternFill>
    </fill>
    <fill>
      <patternFill patternType="solid">
        <fgColor theme="0" tint="-0.25"/>
        <bgColor rgb="FFCCCCCC"/>
      </patternFill>
    </fill>
    <fill>
      <patternFill patternType="solid">
        <fgColor theme="9" tint="0.5998"/>
        <bgColor rgb="FFC6E0B4"/>
      </patternFill>
    </fill>
    <fill>
      <patternFill patternType="solid">
        <fgColor theme="5" tint="0.5998"/>
        <bgColor rgb="FFFFE699"/>
      </patternFill>
    </fill>
    <fill>
      <patternFill patternType="solid">
        <fgColor theme="4" tint="0.5998"/>
        <bgColor rgb="FFBFBFBF"/>
      </patternFill>
    </fill>
    <fill>
      <patternFill patternType="solid">
        <fgColor theme="7" tint="0.3998"/>
        <bgColor rgb="FFFFE699"/>
      </patternFill>
    </fill>
    <fill>
      <patternFill patternType="solid">
        <fgColor theme="4" tint="0.7998"/>
        <bgColor rgb="FFD9E1F2"/>
      </patternFill>
    </fill>
    <fill>
      <patternFill patternType="solid">
        <fgColor theme="7" tint="0.5998"/>
        <bgColor rgb="FFFFF2CC"/>
      </patternFill>
    </fill>
    <fill>
      <patternFill patternType="solid">
        <fgColor theme="7" tint="0.7998"/>
        <bgColor rgb="FFFBE5D6"/>
      </patternFill>
    </fill>
    <fill>
      <patternFill patternType="solid">
        <fgColor rgb="FFD9E1F2"/>
        <bgColor rgb="FFDAE3F3"/>
      </patternFill>
    </fill>
  </fills>
  <borders count="4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10" borderId="3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12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3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5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1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8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2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7" fillId="0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7" fontId="17" fillId="19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7" fillId="19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6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1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2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Comma 2 2 2" xfId="22"/>
    <cellStyle name="Comma 2 3" xfId="23"/>
    <cellStyle name="Comma 3" xfId="24"/>
    <cellStyle name="Comma 3 2" xfId="25"/>
    <cellStyle name="Comma 4" xfId="26"/>
    <cellStyle name="Normal 2" xfId="27"/>
    <cellStyle name="Normal 3" xfId="28"/>
    <cellStyle name="Normal 4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1F2"/>
      <rgbColor rgb="FF993366"/>
      <rgbColor rgb="FFFFF2CC"/>
      <rgbColor rgb="FFDAE3F3"/>
      <rgbColor rgb="FF660066"/>
      <rgbColor rgb="FFFBE5D6"/>
      <rgbColor rgb="FF0066CC"/>
      <rgbColor rgb="FFB4C7E7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CCCCCC"/>
      <rgbColor rgb="FFFCE4D6"/>
      <rgbColor rgb="FFD0CECE"/>
      <rgbColor rgb="FFF8CBAD"/>
      <rgbColor rgb="FF4472C4"/>
      <rgbColor rgb="FF33CCCC"/>
      <rgbColor rgb="FF92D050"/>
      <rgbColor rgb="FFFFC000"/>
      <rgbColor rgb="FFE7E6E6"/>
      <rgbColor rgb="FFFF6600"/>
      <rgbColor rgb="FF666699"/>
      <rgbColor rgb="FFC5E0B4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9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0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tru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I21" activeCellId="0" sqref="I2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str">
        <f aca="false">IFERROR(E15/$Q15,"-")</f>
        <v>-</v>
      </c>
      <c r="F53" s="78" t="str">
        <f aca="false">IFERROR(F15/$Q15,"-")</f>
        <v>-</v>
      </c>
      <c r="G53" s="78" t="str">
        <f aca="false">IFERROR(G15/$Q15,"-")</f>
        <v>-</v>
      </c>
      <c r="H53" s="78" t="str">
        <f aca="false">IFERROR(H15/$Q15,"-")</f>
        <v>-</v>
      </c>
      <c r="I53" s="78" t="str">
        <f aca="false">IFERROR(I15/$Q15,"-")</f>
        <v>-</v>
      </c>
      <c r="J53" s="78" t="str">
        <f aca="false">IFERROR(J15/$Q15,"-")</f>
        <v>-</v>
      </c>
      <c r="K53" s="78" t="str">
        <f aca="false">IFERROR(K15/$Q15,"-")</f>
        <v>-</v>
      </c>
      <c r="L53" s="78" t="str">
        <f aca="false">IFERROR(L15/$Q15,"-")</f>
        <v>-</v>
      </c>
      <c r="M53" s="78" t="str">
        <f aca="false">IFERROR(M15/$Q15,"-")</f>
        <v>-</v>
      </c>
      <c r="N53" s="78" t="str">
        <f aca="false">IFERROR(N15/$Q15,"-")</f>
        <v>-</v>
      </c>
      <c r="O53" s="78" t="str">
        <f aca="false">IFERROR(O15/$Q15,"-")</f>
        <v>-</v>
      </c>
      <c r="P53" s="78" t="str">
        <f aca="false">IFERROR(P15/$Q15,"-")</f>
        <v>-</v>
      </c>
      <c r="Q53" s="79" t="n">
        <f aca="false">IFERROR(SUM(E53:P53),"-")</f>
        <v>0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str">
        <f aca="false">IFERROR(E37/$Q37,"-")</f>
        <v>-</v>
      </c>
      <c r="F74" s="78" t="str">
        <f aca="false">IFERROR(F37/$Q37,"-")</f>
        <v>-</v>
      </c>
      <c r="G74" s="78" t="str">
        <f aca="false">IFERROR(G37/$Q37,"-")</f>
        <v>-</v>
      </c>
      <c r="H74" s="78" t="str">
        <f aca="false">IFERROR(H37/$Q37,"-")</f>
        <v>-</v>
      </c>
      <c r="I74" s="78" t="str">
        <f aca="false">IFERROR(I37/$Q37,"-")</f>
        <v>-</v>
      </c>
      <c r="J74" s="78" t="str">
        <f aca="false">IFERROR(J37/$Q37,"-")</f>
        <v>-</v>
      </c>
      <c r="K74" s="78" t="str">
        <f aca="false">IFERROR(K37/$Q37,"-")</f>
        <v>-</v>
      </c>
      <c r="L74" s="78" t="str">
        <f aca="false">IFERROR(L37/$Q37,"-")</f>
        <v>-</v>
      </c>
      <c r="M74" s="78" t="str">
        <f aca="false">IFERROR(M37/$Q37,"-")</f>
        <v>-</v>
      </c>
      <c r="N74" s="78" t="str">
        <f aca="false">IFERROR(N37/$Q37,"-")</f>
        <v>-</v>
      </c>
      <c r="O74" s="78" t="str">
        <f aca="false">IFERROR(O37/$Q37,"-")</f>
        <v>-</v>
      </c>
      <c r="P74" s="78" t="str">
        <f aca="false">IFERROR(P37/$Q37,"-")</f>
        <v>-</v>
      </c>
      <c r="Q74" s="79" t="n">
        <f aca="false">IFERROR(SUM(E74:P74),"-")</f>
        <v>0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2" activeCellId="0" sqref="B32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90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3.88"/>
    <col collapsed="false" customWidth="true" hidden="false" outlineLevel="0" max="6" min="6" style="1" width="12.37"/>
    <col collapsed="false" customWidth="true" hidden="false" outlineLevel="0" max="7" min="7" style="1" width="10.38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9.75"/>
    <col collapsed="false" customWidth="true" hidden="false" outlineLevel="0" max="11" min="11" style="1" width="10.38"/>
    <col collapsed="false" customWidth="true" hidden="false" outlineLevel="0" max="13" min="12" style="1" width="11"/>
    <col collapsed="false" customWidth="true" hidden="false" outlineLevel="0" max="14" min="14" style="1" width="14"/>
  </cols>
  <sheetData>
    <row r="1" customFormat="false" ht="24.75" hidden="false" customHeight="true" outlineLevel="0" collapsed="false">
      <c r="A1" s="91" t="s">
        <v>101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2" t="s">
        <v>102</v>
      </c>
      <c r="D2" s="93" t="s">
        <v>15</v>
      </c>
      <c r="E2" s="94" t="s">
        <v>103</v>
      </c>
      <c r="F2" s="94" t="n">
        <f aca="false">MATCH($D$2,נתונים_שטוחים!$AO$2:$AO$13,0)</f>
        <v>12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97"/>
    </row>
    <row r="4" customFormat="false" ht="15" hidden="false" customHeight="true" outlineLevel="0" collapsed="false">
      <c r="A4" s="98" t="s">
        <v>105</v>
      </c>
      <c r="B4" s="99" t="s">
        <v>106</v>
      </c>
      <c r="C4" s="98" t="s">
        <v>107</v>
      </c>
      <c r="D4" s="98" t="n">
        <v>2024</v>
      </c>
      <c r="E4" s="98" t="n">
        <v>2025</v>
      </c>
      <c r="F4" s="98" t="n">
        <v>2026</v>
      </c>
      <c r="G4" s="98" t="s">
        <v>108</v>
      </c>
      <c r="H4" s="98" t="s">
        <v>109</v>
      </c>
      <c r="I4" s="98" t="s">
        <v>110</v>
      </c>
      <c r="J4" s="98" t="s">
        <v>111</v>
      </c>
      <c r="K4" s="98" t="s">
        <v>112</v>
      </c>
      <c r="L4" s="98" t="s">
        <v>1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1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SUMIFS(נתונים_שטוחים!C5:N5,נתונים_שטוחים!$C$3:$N$3,"&lt;="&amp;$F$2)</f>
        <v>2052731.8</v>
      </c>
      <c r="E5" s="103" t="n">
        <f aca="false">SUMIFS(נתונים_שטוחים!O5:Z5,נתונים_שטוחים!$O$3:$Z$3,"&lt;="&amp;$F$2)</f>
        <v>1708656.85</v>
      </c>
      <c r="F5" s="103" t="n">
        <f aca="false">SUMIFS(נתונים_שטוחים!AA5:AL5,נתונים_שטוחים!$AA$3:$AL$3,"&lt;="&amp;$F$2)</f>
        <v>1328770.55</v>
      </c>
      <c r="G5" s="104" t="n">
        <f aca="false">IFERROR(F5/E5-1,"-")</f>
        <v>-0.222330364344368</v>
      </c>
      <c r="H5" s="103" t="n">
        <f aca="false">F5-E5</f>
        <v>-379886.3</v>
      </c>
      <c r="I5" s="103" t="n">
        <f aca="false">IFERROR(INDEX('תקציב  '!$A:$AW,MATCH($B5,'תקציב  '!$C:$C,0),INDEX(נתונים_שטוחים!$AP$2:$AP$13,$F$2)),"-")</f>
        <v>2520000</v>
      </c>
      <c r="J5" s="104" t="n">
        <f aca="false">IFERROR(F5/I5-1,"-")</f>
        <v>-0.472710099206349</v>
      </c>
      <c r="K5" s="103" t="n">
        <f aca="false">IFERROR(F5-I5,"-")</f>
        <v>-1191229.45</v>
      </c>
      <c r="L5" s="103" t="n">
        <f aca="false">IF($F$2&lt;7,"-",IFERROR(INDEX('תקציב  '!$A:$AW,MATCH($B5,'תקציב  '!$C:$C,0),INDEX(נתונים_שטוחים!$AQ$2:$AQ$13,$F$2)),"-"))</f>
        <v>1940443.3</v>
      </c>
      <c r="M5" s="104" t="n">
        <f aca="false">IF($F$2&lt;7,"-",IFERROR(F5/L5-1,"-"))</f>
        <v>-0.315223201832282</v>
      </c>
      <c r="N5" s="103" t="n">
        <f aca="false">IF($F$2&lt;7,"-",IFERROR(F5-L5,"-"))</f>
        <v>-611672.75</v>
      </c>
    </row>
    <row r="6" customFormat="false" ht="15" hidden="false" customHeight="true" outlineLevel="0" collapsed="false">
      <c r="A6" s="100" t="n">
        <v>1</v>
      </c>
      <c r="B6" s="101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SUMIFS(נתונים_שטוחים!C6:N6,נתונים_שטוחים!$C$3:$N$3,"&lt;="&amp;$F$2)</f>
        <v>5482291.178</v>
      </c>
      <c r="E6" s="103" t="n">
        <f aca="false">SUMIFS(נתונים_שטוחים!O6:Z6,נתונים_שטוחים!$O$3:$Z$3,"&lt;="&amp;$F$2)</f>
        <v>6071777.62260004</v>
      </c>
      <c r="F6" s="103" t="n">
        <f aca="false">SUMIFS(נתונים_שטוחים!AA6:AL6,נתונים_שטוחים!$AA$3:$AL$3,"&lt;="&amp;$F$2)</f>
        <v>4325330.373</v>
      </c>
      <c r="G6" s="104" t="n">
        <f aca="false">IFERROR(F6/E6-1,"-")</f>
        <v>-0.287633598947944</v>
      </c>
      <c r="H6" s="103" t="n">
        <f aca="false">F6-E6</f>
        <v>-1746447.24960004</v>
      </c>
      <c r="I6" s="103" t="n">
        <f aca="false">IFERROR(INDEX('תקציב  '!$A:$AW,MATCH($B6,'תקציב  '!$C:$C,0),INDEX(נתונים_שטוחים!$AP$2:$AP$13,$F$2)),"-")</f>
        <v>6779000</v>
      </c>
      <c r="J6" s="104" t="n">
        <f aca="false">IFERROR(F6/I6-1,"-")</f>
        <v>-0.361951560259626</v>
      </c>
      <c r="K6" s="103" t="n">
        <f aca="false">IFERROR(F6-I6,"-")</f>
        <v>-2453669.627</v>
      </c>
      <c r="L6" s="103" t="n">
        <f aca="false">IF($F$2&lt;7,"-",IFERROR(INDEX('תקציב  '!$A:$AW,MATCH($B6,'תקציב  '!$C:$C,0),INDEX(נתונים_שטוחים!$AQ$2:$AQ$13,$F$2)),"-"))</f>
        <v>6074937.893</v>
      </c>
      <c r="M6" s="104" t="n">
        <f aca="false">IF($F$2&lt;7,"-",IFERROR(F6/L6-1,"-"))</f>
        <v>-0.288004182234691</v>
      </c>
      <c r="N6" s="103" t="n">
        <f aca="false">IF($F$2&lt;7,"-",IFERROR(F6-L6,"-"))</f>
        <v>-1749607.52</v>
      </c>
    </row>
    <row r="7" customFormat="false" ht="15" hidden="false" customHeight="true" outlineLevel="0" collapsed="false">
      <c r="A7" s="100" t="n">
        <v>2</v>
      </c>
      <c r="B7" s="101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SUMIFS(נתונים_שטוחים!C7:N7,נתונים_שטוחים!$C$3:$N$3,"&lt;="&amp;$F$2)</f>
        <v>1089803.806</v>
      </c>
      <c r="E7" s="103" t="n">
        <f aca="false">SUMIFS(נתונים_שטוחים!O7:Z7,נתונים_שטוחים!$O$3:$Z$3,"&lt;="&amp;$F$2)</f>
        <v>828689.86</v>
      </c>
      <c r="F7" s="103" t="n">
        <f aca="false">SUMIFS(נתונים_שטוחים!AA7:AL7,נתונים_שטוחים!$AA$3:$AL$3,"&lt;="&amp;$F$2)</f>
        <v>653738.904</v>
      </c>
      <c r="G7" s="104" t="n">
        <f aca="false">IFERROR(F7/E7-1,"-")</f>
        <v>-0.211117529542355</v>
      </c>
      <c r="H7" s="103" t="n">
        <f aca="false">F7-E7</f>
        <v>-174950.956</v>
      </c>
      <c r="I7" s="103" t="n">
        <f aca="false">IFERROR(INDEX('תקציב  '!$A:$AW,MATCH($B7,'תקציב  '!$C:$C,0),INDEX(נתונים_שטוחים!$AP$2:$AP$13,$F$2)),"-")</f>
        <v>900000</v>
      </c>
      <c r="J7" s="104" t="n">
        <f aca="false">IFERROR(F7/I7-1,"-")</f>
        <v>-0.27362344</v>
      </c>
      <c r="K7" s="103" t="n">
        <f aca="false">IFERROR(F7-I7,"-")</f>
        <v>-246261.096</v>
      </c>
      <c r="L7" s="103" t="n">
        <f aca="false">IF($F$2&lt;7,"-",IFERROR(INDEX('תקציב  '!$A:$AW,MATCH($B7,'תקציב  '!$C:$C,0),INDEX(נתונים_שטוחים!$AQ$2:$AQ$13,$F$2)),"-"))</f>
        <v>1037274.565</v>
      </c>
      <c r="M7" s="104" t="n">
        <f aca="false">IF($F$2&lt;7,"-",IFERROR(F7/L7-1,"-"))</f>
        <v>-0.369753268750015</v>
      </c>
      <c r="N7" s="103" t="n">
        <f aca="false">IF($F$2&lt;7,"-",IFERROR(F7-L7,"-"))</f>
        <v>-383535.661</v>
      </c>
    </row>
    <row r="8" customFormat="false" ht="15" hidden="false" customHeight="true" outlineLevel="0" collapsed="false">
      <c r="A8" s="100" t="n">
        <v>3</v>
      </c>
      <c r="B8" s="101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SUMIFS(נתונים_שטוחים!C8:N8,נתונים_שטוחים!$C$3:$N$3,"&lt;="&amp;$F$2)</f>
        <v>1835959.53</v>
      </c>
      <c r="E8" s="103" t="n">
        <f aca="false">SUMIFS(נתונים_שטוחים!O8:Z8,נתונים_שטוחים!$O$3:$Z$3,"&lt;="&amp;$F$2)</f>
        <v>1941001.5794</v>
      </c>
      <c r="F8" s="103" t="n">
        <f aca="false">SUMIFS(נתונים_שטוחים!AA8:AL8,נתונים_שטוחים!$AA$3:$AL$3,"&lt;="&amp;$F$2)</f>
        <v>1413375.123</v>
      </c>
      <c r="G8" s="104" t="n">
        <f aca="false">IFERROR(F8/E8-1,"-")</f>
        <v>-0.271832059283074</v>
      </c>
      <c r="H8" s="103" t="n">
        <f aca="false">F8-E8</f>
        <v>-527626.456400002</v>
      </c>
      <c r="I8" s="103" t="n">
        <f aca="false">IFERROR(INDEX('תקציב  '!$A:$AW,MATCH($B8,'תקציב  '!$C:$C,0),INDEX(נתונים_שטוחים!$AP$2:$AP$13,$F$2)),"-")</f>
        <v>1947000</v>
      </c>
      <c r="J8" s="104" t="n">
        <f aca="false">IFERROR(F8/I8-1,"-")</f>
        <v>-0.274075437596302</v>
      </c>
      <c r="K8" s="103" t="n">
        <f aca="false">IFERROR(F8-I8,"-")</f>
        <v>-533624.876999999</v>
      </c>
      <c r="L8" s="103" t="n">
        <f aca="false">IF($F$2&lt;7,"-",IFERROR(INDEX('תקציב  '!$A:$AW,MATCH($B8,'תקציב  '!$C:$C,0),INDEX(נתונים_שטוחים!$AQ$2:$AQ$13,$F$2)),"-"))</f>
        <v>2118523.978</v>
      </c>
      <c r="M8" s="104" t="n">
        <f aca="false">IF($F$2&lt;7,"-",IFERROR(F8/L8-1,"-"))</f>
        <v>-0.332849126241988</v>
      </c>
      <c r="N8" s="103" t="n">
        <f aca="false">IF($F$2&lt;7,"-",IFERROR(F8-L8,"-"))</f>
        <v>-705148.855</v>
      </c>
    </row>
    <row r="9" customFormat="false" ht="15" hidden="false" customHeight="true" outlineLevel="0" collapsed="false">
      <c r="A9" s="100" t="n">
        <v>112</v>
      </c>
      <c r="B9" s="101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SUMIFS(נתונים_שטוחים!C9:N9,נתונים_שטוחים!$C$3:$N$3,"&lt;="&amp;$F$2)</f>
        <v>4118466.1</v>
      </c>
      <c r="E9" s="103" t="n">
        <f aca="false">SUMIFS(נתונים_שטוחים!O9:Z9,נתונים_שטוחים!$O$3:$Z$3,"&lt;="&amp;$F$2)</f>
        <v>3809616.42</v>
      </c>
      <c r="F9" s="103" t="n">
        <f aca="false">SUMIFS(נתונים_שטוחים!AA9:AL9,נתונים_שטוחים!$AA$3:$AL$3,"&lt;="&amp;$F$2)</f>
        <v>2727663.25</v>
      </c>
      <c r="G9" s="104" t="n">
        <f aca="false">IFERROR(F9/E9-1,"-")</f>
        <v>-0.284005802872931</v>
      </c>
      <c r="H9" s="103" t="n">
        <f aca="false">F9-E9</f>
        <v>-1081953.17</v>
      </c>
      <c r="I9" s="103" t="n">
        <f aca="false">IFERROR(INDEX('תקציב  '!$A:$AW,MATCH($B9,'תקציב  '!$C:$C,0),INDEX(נתונים_שטוחים!$AP$2:$AP$13,$F$2)),"-")</f>
        <v>4381000</v>
      </c>
      <c r="J9" s="104" t="n">
        <f aca="false">IFERROR(F9/I9-1,"-")</f>
        <v>-0.377387982195846</v>
      </c>
      <c r="K9" s="103" t="n">
        <f aca="false">IFERROR(F9-I9,"-")</f>
        <v>-1653336.75</v>
      </c>
      <c r="L9" s="103" t="n">
        <f aca="false">IF($F$2&lt;7,"-",IFERROR(INDEX('תקציב  '!$A:$AW,MATCH($B9,'תקציב  '!$C:$C,0),INDEX(נתונים_שטוחים!$AQ$2:$AQ$13,$F$2)),"-"))</f>
        <v>3722410.85</v>
      </c>
      <c r="M9" s="104" t="n">
        <f aca="false">IF($F$2&lt;7,"-",IFERROR(F9/L9-1,"-"))</f>
        <v>-0.267232081595722</v>
      </c>
      <c r="N9" s="103" t="n">
        <f aca="false">IF($F$2&lt;7,"-",IFERROR(F9-L9,"-"))</f>
        <v>-994747.6</v>
      </c>
    </row>
    <row r="10" customFormat="false" ht="15" hidden="false" customHeight="true" outlineLevel="0" collapsed="false">
      <c r="A10" s="100" t="n">
        <v>113</v>
      </c>
      <c r="B10" s="101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SUMIFS(נתונים_שטוחים!C10:N10,נתונים_שטוחים!$C$3:$N$3,"&lt;="&amp;$F$2)</f>
        <v>797978.25</v>
      </c>
      <c r="E10" s="103" t="n">
        <f aca="false">SUMIFS(נתונים_שטוחים!O10:Z10,נתונים_שטוחים!$O$3:$Z$3,"&lt;="&amp;$F$2)</f>
        <v>892626.19</v>
      </c>
      <c r="F10" s="103" t="n">
        <f aca="false">SUMIFS(נתונים_שטוחים!AA10:AL10,נתונים_שטוחים!$AA$3:$AL$3,"&lt;="&amp;$F$2)</f>
        <v>521025.693</v>
      </c>
      <c r="G10" s="104" t="n">
        <f aca="false">IFERROR(F10/E10-1,"-")</f>
        <v>-0.416300239857403</v>
      </c>
      <c r="H10" s="103" t="n">
        <f aca="false">F10-E10</f>
        <v>-371600.497</v>
      </c>
      <c r="I10" s="103" t="n">
        <f aca="false">IFERROR(INDEX('תקציב  '!$A:$AW,MATCH($B10,'תקציב  '!$C:$C,0),INDEX(נתונים_שטוחים!$AP$2:$AP$13,$F$2)),"-")</f>
        <v>1220000</v>
      </c>
      <c r="J10" s="104" t="n">
        <f aca="false">IFERROR(F10/I10-1,"-")</f>
        <v>-0.572929759836065</v>
      </c>
      <c r="K10" s="103" t="n">
        <f aca="false">IFERROR(F10-I10,"-")</f>
        <v>-698974.306999998</v>
      </c>
      <c r="L10" s="103" t="n">
        <f aca="false">IF($F$2&lt;7,"-",IFERROR(INDEX('תקציב  '!$A:$AW,MATCH($B10,'תקציב  '!$C:$C,0),INDEX(נתונים_שטוחים!$AQ$2:$AQ$13,$F$2)),"-"))</f>
        <v>943097.611</v>
      </c>
      <c r="M10" s="104" t="n">
        <f aca="false">IF($F$2&lt;7,"-",IFERROR(F10/L10-1,"-"))</f>
        <v>-0.447537893296604</v>
      </c>
      <c r="N10" s="103" t="n">
        <f aca="false">IF($F$2&lt;7,"-",IFERROR(F10-L10,"-"))</f>
        <v>-422071.918</v>
      </c>
    </row>
    <row r="11" customFormat="false" ht="15" hidden="false" customHeight="true" outlineLevel="0" collapsed="false">
      <c r="A11" s="100" t="n">
        <v>4</v>
      </c>
      <c r="B11" s="101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SUMIFS(נתונים_שטוחים!C11:N11,נתונים_שטוחים!$C$3:$N$3,"&lt;="&amp;$F$2)</f>
        <v>0</v>
      </c>
      <c r="E11" s="103" t="n">
        <f aca="false">SUMIFS(נתונים_שטוחים!O11:Z11,נתונים_שטוחים!$O$3:$Z$3,"&lt;="&amp;$F$2)</f>
        <v>0</v>
      </c>
      <c r="F11" s="103" t="n">
        <f aca="false">SUMIFS(נתונים_שטוחים!AA11:AL11,נתונים_שטוחים!$AA$3:$AL$3,"&lt;="&amp;$F$2)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'!$A:$AW,MATCH($B11,'תקציב  '!$C:$C,0),INDEX(נתונים_שטוחים!$AP$2:$AP$13,$F$2)),"-")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IF($F$2&lt;7,"-",IFERROR(INDEX('תקציב  '!$A:$AW,MATCH($B11,'תקציב  '!$C:$C,0),INDEX(נתונים_שטוחים!$AQ$2:$AQ$13,$F$2)),"-"))</f>
        <v>-</v>
      </c>
      <c r="M11" s="104" t="str">
        <f aca="false">IF($F$2&lt;7,"-",IFERROR(F11/L11-1,"-"))</f>
        <v>-</v>
      </c>
      <c r="N11" s="103" t="str">
        <f aca="false">IF($F$2&lt;7,"-",IFERROR(F11-L11,"-"))</f>
        <v>-</v>
      </c>
    </row>
    <row r="12" customFormat="false" ht="15" hidden="false" customHeight="true" outlineLevel="0" collapsed="false">
      <c r="A12" s="100" t="n">
        <v>102</v>
      </c>
      <c r="B12" s="101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SUMIFS(נתונים_שטוחים!C12:N12,נתונים_שטוחים!$C$3:$N$3,"&lt;="&amp;$F$2)</f>
        <v>901019.25</v>
      </c>
      <c r="E12" s="103" t="n">
        <f aca="false">SUMIFS(נתונים_שטוחים!O12:Z12,נתונים_שטוחים!$O$3:$Z$3,"&lt;="&amp;$F$2)</f>
        <v>854818.94</v>
      </c>
      <c r="F12" s="103" t="n">
        <f aca="false">SUMIFS(נתונים_שטוחים!AA12:AL12,נתונים_שטוחים!$AA$3:$AL$3,"&lt;="&amp;$F$2)</f>
        <v>678114.16</v>
      </c>
      <c r="G12" s="104" t="n">
        <f aca="false">IFERROR(F12/E12-1,"-")</f>
        <v>-0.206716032754258</v>
      </c>
      <c r="H12" s="103" t="n">
        <f aca="false">F12-E12</f>
        <v>-176704.78</v>
      </c>
      <c r="I12" s="103" t="n">
        <f aca="false">IFERROR(INDEX('תקציב  '!$A:$AW,MATCH($B12,'תקציב  '!$C:$C,0),INDEX(נתונים_שטוחים!$AP$2:$AP$13,$F$2)),"-")</f>
        <v>1979000</v>
      </c>
      <c r="J12" s="104" t="n">
        <f aca="false">IFERROR(F12/I12-1,"-")</f>
        <v>-0.657345042950986</v>
      </c>
      <c r="K12" s="103" t="n">
        <f aca="false">IFERROR(F12-I12,"-")</f>
        <v>-1300885.84</v>
      </c>
      <c r="L12" s="103" t="n">
        <f aca="false">IF($F$2&lt;7,"-",IFERROR(INDEX('תקציב  '!$A:$AW,MATCH($B12,'תקציב  '!$C:$C,0),INDEX(נתונים_שטוחים!$AQ$2:$AQ$13,$F$2)),"-"))</f>
        <v>1075277.57</v>
      </c>
      <c r="M12" s="104" t="n">
        <f aca="false">IF($F$2&lt;7,"-",IFERROR(F12/L12-1,"-"))</f>
        <v>-0.369358964681092</v>
      </c>
      <c r="N12" s="103" t="n">
        <f aca="false">IF($F$2&lt;7,"-",IFERROR(F12-L12,"-"))</f>
        <v>-397163.41</v>
      </c>
    </row>
    <row r="13" customFormat="false" ht="15" hidden="false" customHeight="true" outlineLevel="0" collapsed="false">
      <c r="A13" s="100" t="n">
        <v>101</v>
      </c>
      <c r="B13" s="101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SUMIFS(נתונים_שטוחים!C13:N13,נתונים_שטוחים!$C$3:$N$3,"&lt;="&amp;$F$2)</f>
        <v>187203.67</v>
      </c>
      <c r="E13" s="103" t="n">
        <f aca="false">SUMIFS(נתונים_שטוחים!O13:Z13,נתונים_שטוחים!$O$3:$Z$3,"&lt;="&amp;$F$2)</f>
        <v>185250.51</v>
      </c>
      <c r="F13" s="103" t="n">
        <f aca="false">SUMIFS(נתונים_שטוחים!AA13:AL13,נתונים_שטוחים!$AA$3:$AL$3,"&lt;="&amp;$F$2)</f>
        <v>79290.49</v>
      </c>
      <c r="G13" s="104" t="n">
        <f aca="false">IFERROR(F13/E13-1,"-")</f>
        <v>-0.571982338942009</v>
      </c>
      <c r="H13" s="103" t="n">
        <f aca="false">F13-E13</f>
        <v>-105960.02</v>
      </c>
      <c r="I13" s="103" t="n">
        <f aca="false">IFERROR(INDEX('תקציב  '!$A:$AW,MATCH($B13,'תקציב  '!$C:$C,0),INDEX(נתונים_שטוחים!$AP$2:$AP$13,$F$2)),"-")</f>
        <v>190000</v>
      </c>
      <c r="J13" s="104" t="n">
        <f aca="false">IFERROR(F13/I13-1,"-")</f>
        <v>-0.582681631578947</v>
      </c>
      <c r="K13" s="103" t="n">
        <f aca="false">IFERROR(F13-I13,"-")</f>
        <v>-110709.51</v>
      </c>
      <c r="L13" s="103" t="n">
        <f aca="false">IF($F$2&lt;7,"-",IFERROR(INDEX('תקציב  '!$A:$AW,MATCH($B13,'תקציב  '!$C:$C,0),INDEX(נתונים_שטוחים!$AQ$2:$AQ$13,$F$2)),"-"))</f>
        <v>151235.08</v>
      </c>
      <c r="M13" s="104" t="n">
        <f aca="false">IF($F$2&lt;7,"-",IFERROR(F13/L13-1,"-"))</f>
        <v>-0.475713637338639</v>
      </c>
      <c r="N13" s="103" t="n">
        <f aca="false">IF($F$2&lt;7,"-",IFERROR(F13-L13,"-"))</f>
        <v>-71944.59</v>
      </c>
    </row>
    <row r="14" customFormat="false" ht="15" hidden="false" customHeight="true" outlineLevel="0" collapsed="false">
      <c r="A14" s="100" t="n">
        <v>109</v>
      </c>
      <c r="B14" s="101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SUMIFS(נתונים_שטוחים!C14:N14,נתונים_שטוחים!$C$3:$N$3,"&lt;="&amp;$F$2)</f>
        <v>92204.35</v>
      </c>
      <c r="E14" s="103" t="n">
        <f aca="false">SUMIFS(נתונים_שטוחים!O14:Z14,נתונים_שטוחים!$O$3:$Z$3,"&lt;="&amp;$F$2)</f>
        <v>57359.72</v>
      </c>
      <c r="F14" s="103" t="n">
        <f aca="false">SUMIFS(נתונים_שטוחים!AA14:AL14,נתונים_שטוחים!$AA$3:$AL$3,"&lt;="&amp;$F$2)</f>
        <v>45013.96</v>
      </c>
      <c r="G14" s="104" t="n">
        <f aca="false">IFERROR(F14/E14-1,"-")</f>
        <v>-0.215233965577238</v>
      </c>
      <c r="H14" s="103" t="n">
        <f aca="false">F14-E14</f>
        <v>-12345.76</v>
      </c>
      <c r="I14" s="103" t="n">
        <f aca="false">IFERROR(INDEX('תקציב  '!$A:$AW,MATCH($B14,'תקציב  '!$C:$C,0),INDEX(נתונים_שטוחים!$AP$2:$AP$13,$F$2)),"-")</f>
        <v>100000</v>
      </c>
      <c r="J14" s="104" t="n">
        <f aca="false">IFERROR(F14/I14-1,"-")</f>
        <v>-0.5498604</v>
      </c>
      <c r="K14" s="103" t="n">
        <f aca="false">IFERROR(F14-I14,"-")</f>
        <v>-54986.04</v>
      </c>
      <c r="L14" s="103" t="n">
        <f aca="false">IF($F$2&lt;7,"-",IFERROR(INDEX('תקציב  '!$A:$AW,MATCH($B14,'תקציב  '!$C:$C,0),INDEX(נתונים_שטוחים!$AQ$2:$AQ$13,$F$2)),"-"))</f>
        <v>94015.41</v>
      </c>
      <c r="M14" s="104" t="n">
        <f aca="false">IF($F$2&lt;7,"-",IFERROR(F14/L14-1,"-"))</f>
        <v>-0.521206576666527</v>
      </c>
      <c r="N14" s="103" t="n">
        <f aca="false">IF($F$2&lt;7,"-",IFERROR(F14-L14,"-"))</f>
        <v>-49001.45</v>
      </c>
    </row>
    <row r="15" customFormat="false" ht="15" hidden="false" customHeight="true" outlineLevel="0" collapsed="false">
      <c r="A15" s="100" t="n">
        <v>105</v>
      </c>
      <c r="B15" s="101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SUMIFS(נתונים_שטוחים!C15:N15,נתונים_שטוחים!$C$3:$N$3,"&lt;="&amp;$F$2)</f>
        <v>3230.5</v>
      </c>
      <c r="E15" s="103" t="n">
        <f aca="false">SUMIFS(נתונים_שטוחים!O15:Z15,נתונים_שטוחים!$O$3:$Z$3,"&lt;="&amp;$F$2)</f>
        <v>4145.68</v>
      </c>
      <c r="F15" s="103" t="n">
        <f aca="false">SUMIFS(נתונים_שטוחים!AA15:AL15,נתונים_שטוחים!$AA$3:$AL$3,"&lt;="&amp;$F$2)</f>
        <v>4305.02</v>
      </c>
      <c r="G15" s="104" t="n">
        <f aca="false">IFERROR(F15/E15-1,"-")</f>
        <v>0.0384351903668396</v>
      </c>
      <c r="H15" s="103" t="n">
        <f aca="false">F15-E15</f>
        <v>159.34</v>
      </c>
      <c r="I15" s="103" t="n">
        <f aca="false">IFERROR(INDEX('תקציב  '!$A:$AW,MATCH($B15,'תקציב  '!$C:$C,0),INDEX(נתונים_שטוחים!$AP$2:$AP$13,$F$2)),"-")</f>
        <v>0</v>
      </c>
      <c r="J15" s="104" t="str">
        <f aca="false">IFERROR(F15/I15-1,"-")</f>
        <v>-</v>
      </c>
      <c r="K15" s="103" t="n">
        <f aca="false">IFERROR(F15-I15,"-")</f>
        <v>4305.02</v>
      </c>
      <c r="L15" s="103" t="n">
        <f aca="false">IF($F$2&lt;7,"-",IFERROR(INDEX('תקציב  '!$A:$AW,MATCH($B15,'תקציב  '!$C:$C,0),INDEX(נתונים_שטוחים!$AQ$2:$AQ$13,$F$2)),"-"))</f>
        <v>33576.15</v>
      </c>
      <c r="M15" s="104" t="n">
        <f aca="false">IF($F$2&lt;7,"-",IFERROR(F15/L15-1,"-"))</f>
        <v>-0.871783393867373</v>
      </c>
      <c r="N15" s="103" t="n">
        <f aca="false">IF($F$2&lt;7,"-",IFERROR(F15-L15,"-"))</f>
        <v>-29271.13</v>
      </c>
    </row>
    <row r="16" customFormat="false" ht="15" hidden="false" customHeight="true" outlineLevel="0" collapsed="false">
      <c r="A16" s="100" t="n">
        <v>104</v>
      </c>
      <c r="B16" s="101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SUMIFS(נתונים_שטוחים!C16:N16,נתונים_שטוחים!$C$3:$N$3,"&lt;="&amp;$F$2)</f>
        <v>1583.18</v>
      </c>
      <c r="E16" s="103" t="n">
        <f aca="false">SUMIFS(נתונים_שטוחים!O16:Z16,נתונים_שטוחים!$O$3:$Z$3,"&lt;="&amp;$F$2)</f>
        <v>514.2</v>
      </c>
      <c r="F16" s="103" t="n">
        <f aca="false">SUMIFS(נתונים_שטוחים!AA16:AL16,נתונים_שטוחים!$AA$3:$AL$3,"&lt;="&amp;$F$2)</f>
        <v>1896.82</v>
      </c>
      <c r="G16" s="104" t="n">
        <f aca="false">IFERROR(F16/E16-1,"-")</f>
        <v>2.68887592376507</v>
      </c>
      <c r="H16" s="103" t="n">
        <f aca="false">F16-E16</f>
        <v>1382.62</v>
      </c>
      <c r="I16" s="103" t="n">
        <f aca="false">IFERROR(INDEX('תקציב  '!$A:$AW,MATCH($B16,'תקציב  '!$C:$C,0),INDEX(נתונים_שטוחים!$AP$2:$AP$13,$F$2)),"-")</f>
        <v>25000</v>
      </c>
      <c r="J16" s="104" t="n">
        <f aca="false">IFERROR(F16/I16-1,"-")</f>
        <v>-0.9241272</v>
      </c>
      <c r="K16" s="103" t="n">
        <f aca="false">IFERROR(F16-I16,"-")</f>
        <v>-23103.18</v>
      </c>
      <c r="L16" s="103" t="n">
        <f aca="false">IF($F$2&lt;7,"-",IFERROR(INDEX('תקציב  '!$A:$AW,MATCH($B16,'תקציב  '!$C:$C,0),INDEX(נתונים_שטוחים!$AQ$2:$AQ$13,$F$2)),"-"))</f>
        <v>31896.82</v>
      </c>
      <c r="M16" s="104" t="n">
        <f aca="false">IF($F$2&lt;7,"-",IFERROR(F16/L16-1,"-"))</f>
        <v>-0.940532629898529</v>
      </c>
      <c r="N16" s="103" t="n">
        <f aca="false">IF($F$2&lt;7,"-",IFERROR(F16-L16,"-"))</f>
        <v>-30000</v>
      </c>
    </row>
    <row r="17" customFormat="false" ht="15" hidden="false" customHeight="true" outlineLevel="0" collapsed="false">
      <c r="A17" s="100" t="n">
        <v>106</v>
      </c>
      <c r="B17" s="101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SUMIFS(נתונים_שטוחים!C17:N17,נתונים_שטוחים!$C$3:$N$3,"&lt;="&amp;$F$2)</f>
        <v>9577.5</v>
      </c>
      <c r="E17" s="103" t="n">
        <f aca="false">SUMIFS(נתונים_שטוחים!O17:Z17,נתונים_שטוחים!$O$3:$Z$3,"&lt;="&amp;$F$2)</f>
        <v>13532.23</v>
      </c>
      <c r="F17" s="103" t="n">
        <f aca="false">SUMIFS(נתונים_שטוחים!AA17:AL17,נתונים_שטוחים!$AA$3:$AL$3,"&lt;="&amp;$F$2)</f>
        <v>14953.48</v>
      </c>
      <c r="G17" s="104" t="n">
        <f aca="false">IFERROR(F17/E17-1,"-")</f>
        <v>0.105027035455354</v>
      </c>
      <c r="H17" s="103" t="n">
        <f aca="false">F17-E17</f>
        <v>1421.25</v>
      </c>
      <c r="I17" s="103" t="n">
        <f aca="false">IFERROR(INDEX('תקציב  '!$A:$AW,MATCH($B17,'תקציב  '!$C:$C,0),INDEX(נתונים_שטוחים!$AP$2:$AP$13,$F$2)),"-")</f>
        <v>400000</v>
      </c>
      <c r="J17" s="104" t="n">
        <f aca="false">IFERROR(F17/I17-1,"-")</f>
        <v>-0.9626163</v>
      </c>
      <c r="K17" s="103" t="n">
        <f aca="false">IFERROR(F17-I17,"-")</f>
        <v>-385046.52</v>
      </c>
      <c r="L17" s="103" t="n">
        <f aca="false">IF($F$2&lt;7,"-",IFERROR(INDEX('תקציב  '!$A:$AW,MATCH($B17,'תקציב  '!$C:$C,0),INDEX(נתונים_שטוחים!$AQ$2:$AQ$13,$F$2)),"-"))</f>
        <v>37748.72</v>
      </c>
      <c r="M17" s="104" t="n">
        <f aca="false">IF($F$2&lt;7,"-",IFERROR(F17/L17-1,"-"))</f>
        <v>-0.603867892739145</v>
      </c>
      <c r="N17" s="103" t="n">
        <f aca="false">IF($F$2&lt;7,"-",IFERROR(F17-L17,"-"))</f>
        <v>-22795.24</v>
      </c>
    </row>
    <row r="18" customFormat="false" ht="15" hidden="false" customHeight="true" outlineLevel="0" collapsed="false">
      <c r="A18" s="100" t="n">
        <v>103</v>
      </c>
      <c r="B18" s="101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SUMIFS(נתונים_שטוחים!C18:N18,נתונים_שטוחים!$C$3:$N$3,"&lt;="&amp;$F$2)</f>
        <v>72915.81</v>
      </c>
      <c r="E18" s="103" t="n">
        <f aca="false">SUMIFS(נתונים_שטוחים!O18:Z18,נתונים_שטוחים!$O$3:$Z$3,"&lt;="&amp;$F$2)</f>
        <v>94701.6</v>
      </c>
      <c r="F18" s="103" t="n">
        <f aca="false">SUMIFS(נתונים_שטוחים!AA18:AL18,נתונים_שטוחים!$AA$3:$AL$3,"&lt;="&amp;$F$2)</f>
        <v>118677.26</v>
      </c>
      <c r="G18" s="104" t="n">
        <f aca="false">IFERROR(F18/E18-1,"-")</f>
        <v>0.253170590570803</v>
      </c>
      <c r="H18" s="103" t="n">
        <f aca="false">F18-E18</f>
        <v>23975.66</v>
      </c>
      <c r="I18" s="103" t="n">
        <f aca="false">IFERROR(INDEX('תקציב  '!$A:$AW,MATCH($B18,'תקציב  '!$C:$C,0),INDEX(נתונים_שטוחים!$AP$2:$AP$13,$F$2)),"-")</f>
        <v>200000</v>
      </c>
      <c r="J18" s="104" t="n">
        <f aca="false">IFERROR(F18/I18-1,"-")</f>
        <v>-0.406613700000001</v>
      </c>
      <c r="K18" s="103" t="n">
        <f aca="false">IFERROR(F18-I18,"-")</f>
        <v>-81322.7400000004</v>
      </c>
      <c r="L18" s="103" t="n">
        <f aca="false">IF($F$2&lt;7,"-",IFERROR(INDEX('תקציב  '!$A:$AW,MATCH($B18,'תקציב  '!$C:$C,0),INDEX(נתונים_שטוחים!$AQ$2:$AQ$13,$F$2)),"-"))</f>
        <v>239111.1</v>
      </c>
      <c r="M18" s="104" t="n">
        <f aca="false">IF($F$2&lt;7,"-",IFERROR(F18/L18-1,"-"))</f>
        <v>-0.503673146081466</v>
      </c>
      <c r="N18" s="103" t="n">
        <f aca="false">IF($F$2&lt;7,"-",IFERROR(F18-L18,"-"))</f>
        <v>-120433.84</v>
      </c>
    </row>
    <row r="19" customFormat="false" ht="15" hidden="false" customHeight="true" outlineLevel="0" collapsed="false">
      <c r="A19" s="105"/>
      <c r="B19" s="106" t="s">
        <v>115</v>
      </c>
      <c r="C19" s="107"/>
      <c r="D19" s="108" t="n">
        <f aca="false">SUM(D5:D18)</f>
        <v>16644964.924</v>
      </c>
      <c r="E19" s="108" t="n">
        <f aca="false">SUM(E5:E18)</f>
        <v>16462691.402</v>
      </c>
      <c r="F19" s="108" t="n">
        <f aca="false">SUM(F5:F18)</f>
        <v>11912155.083</v>
      </c>
      <c r="G19" s="109" t="n">
        <f aca="false">IFERROR(F19/E19-1,"-")</f>
        <v>-0.276415089603587</v>
      </c>
      <c r="H19" s="108" t="n">
        <f aca="false">SUM(H5:H18)</f>
        <v>-4550536.31900004</v>
      </c>
      <c r="I19" s="108" t="n">
        <f aca="false">SUM(I5:I18)</f>
        <v>20641000</v>
      </c>
      <c r="J19" s="109" t="n">
        <f aca="false">IFERROR(F19/I19-1,"-")</f>
        <v>-0.422888664163558</v>
      </c>
      <c r="K19" s="108" t="n">
        <f aca="false">IFERROR(F19-I19,"-")</f>
        <v>-8728844.91700001</v>
      </c>
      <c r="L19" s="108" t="n">
        <f aca="false">IF($F$2&lt;7,"-",SUMIF(L5:L18,"&lt;&gt;-"))</f>
        <v>17499549.047</v>
      </c>
      <c r="M19" s="109" t="n">
        <f aca="false">IF($F$2&lt;7,"-",IFERROR(F19/L19-1,"-"))</f>
        <v>-0.319287882733062</v>
      </c>
      <c r="N19" s="108" t="n">
        <f aca="false">IF($F$2&lt;7,"-",IFERROR(F19-L19,"-"))</f>
        <v>-5587393.964</v>
      </c>
    </row>
    <row r="20" customFormat="false" ht="15" hidden="false" customHeight="true" outlineLevel="0" collapsed="false">
      <c r="A20" s="100" t="n">
        <v>114</v>
      </c>
      <c r="B20" s="101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SUMIFS(נתונים_שטוחים!C19:N19,נתונים_שטוחים!$C$3:$N$3,"&lt;="&amp;$F$2)</f>
        <v>683558.5</v>
      </c>
      <c r="E20" s="103" t="n">
        <f aca="false">SUMIFS(נתונים_שטוחים!O19:Z19,נתונים_שטוחים!$O$3:$Z$3,"&lt;="&amp;$F$2)</f>
        <v>1656258.29</v>
      </c>
      <c r="F20" s="103" t="n">
        <f aca="false">SUMIFS(נתונים_שטוחים!AA19:AL19,נתונים_שטוחים!$AA$3:$AL$3,"&lt;="&amp;$F$2)</f>
        <v>3368003.31000003</v>
      </c>
      <c r="G20" s="104" t="n">
        <f aca="false">IFERROR(F20/E20-1,"-")</f>
        <v>1.03350125420356</v>
      </c>
      <c r="H20" s="103" t="n">
        <f aca="false">F20-E20</f>
        <v>1711745.02000003</v>
      </c>
      <c r="I20" s="103" t="n">
        <f aca="false">IFERROR(INDEX('תקציב  '!$A:$AW,MATCH($B20,'תקציב  '!$C:$C,0),INDEX(נתונים_שטוחים!$AP$2:$AP$13,$F$2)),"-")</f>
        <v>10788663.559322</v>
      </c>
      <c r="J20" s="104" t="n">
        <f aca="false">IFERROR(F20/I20-1,"-")</f>
        <v>-0.687820155714294</v>
      </c>
      <c r="K20" s="103" t="n">
        <f aca="false">IFERROR(F20-I20,"-")</f>
        <v>-7420660.24932201</v>
      </c>
      <c r="L20" s="103" t="n">
        <f aca="false">IF($F$2&lt;7,"-",IFERROR(INDEX('תקציב  '!$A:$AW,MATCH($B20,'תקציב  '!$C:$C,0),INDEX(נתונים_שטוחים!$AQ$2:$AQ$13,$F$2)),"-"))</f>
        <v>7612717.01355936</v>
      </c>
      <c r="M20" s="104" t="n">
        <f aca="false">IF($F$2&lt;7,"-",IFERROR(F20/L20-1,"-"))</f>
        <v>-0.557581963968827</v>
      </c>
      <c r="N20" s="103" t="n">
        <f aca="false">IF($F$2&lt;7,"-",IFERROR(F20-L20,"-"))</f>
        <v>-4244713.70355933</v>
      </c>
    </row>
    <row r="21" customFormat="false" ht="15" hidden="false" customHeight="true" outlineLevel="0" collapsed="false">
      <c r="A21" s="100" t="n">
        <v>115</v>
      </c>
      <c r="B21" s="101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SUMIFS(נתונים_שטוחים!C20:N20,נתונים_שטוחים!$C$3:$N$3,"&lt;="&amp;$F$2)</f>
        <v>35758.89</v>
      </c>
      <c r="E21" s="103" t="n">
        <f aca="false">SUMIFS(נתונים_שטוחים!O20:Z20,נתונים_שטוחים!$O$3:$Z$3,"&lt;="&amp;$F$2)</f>
        <v>27325.74</v>
      </c>
      <c r="F21" s="103" t="n">
        <f aca="false">SUMIFS(נתונים_שטוחים!AA20:AL20,נתונים_שטוחים!$AA$3:$AL$3,"&lt;="&amp;$F$2)</f>
        <v>13580.48</v>
      </c>
      <c r="G21" s="104" t="n">
        <f aca="false">IFERROR(F21/E21-1,"-")</f>
        <v>-0.503015105903811</v>
      </c>
      <c r="H21" s="103" t="n">
        <f aca="false">F21-E21</f>
        <v>-13745.26</v>
      </c>
      <c r="I21" s="103" t="n">
        <f aca="false">IFERROR(INDEX('תקציב  '!$A:$AW,MATCH($B21,'תקציב  '!$C:$C,0),INDEX(נתונים_שטוחים!$AP$2:$AP$13,$F$2)),"-")</f>
        <v>30443.14</v>
      </c>
      <c r="J21" s="104" t="n">
        <f aca="false">IFERROR(F21/I21-1,"-")</f>
        <v>-0.553906725784528</v>
      </c>
      <c r="K21" s="103" t="n">
        <f aca="false">IFERROR(F21-I21,"-")</f>
        <v>-16862.66</v>
      </c>
      <c r="L21" s="103" t="n">
        <f aca="false">IF($F$2&lt;7,"-",IFERROR(INDEX('תקציב  '!$A:$AW,MATCH($B21,'תקציב  '!$C:$C,0),INDEX(נתונים_שטוחים!$AQ$2:$AQ$13,$F$2)),"-"))</f>
        <v>39807.02</v>
      </c>
      <c r="M21" s="104" t="n">
        <f aca="false">IF($F$2&lt;7,"-",IFERROR(F21/L21-1,"-"))</f>
        <v>-0.658842083632485</v>
      </c>
      <c r="N21" s="103" t="n">
        <f aca="false">IF($F$2&lt;7,"-",IFERROR(F21-L21,"-"))</f>
        <v>-26226.54</v>
      </c>
    </row>
    <row r="22" customFormat="false" ht="15" hidden="false" customHeight="true" outlineLevel="0" collapsed="false">
      <c r="A22" s="105"/>
      <c r="B22" s="106" t="s">
        <v>48</v>
      </c>
      <c r="C22" s="107"/>
      <c r="D22" s="108" t="n">
        <f aca="false">SUM(D5:D18)+SUM(D20:D21)</f>
        <v>17364282.314</v>
      </c>
      <c r="E22" s="108" t="n">
        <f aca="false">SUM(E5:E18)+SUM(E20:E21)</f>
        <v>18146275.432</v>
      </c>
      <c r="F22" s="108" t="n">
        <f aca="false">SUM(F5:F18)+SUM(F20:F21)</f>
        <v>15293738.873</v>
      </c>
      <c r="G22" s="109" t="n">
        <f aca="false">IFERROR(F22/E22-1,"-")</f>
        <v>-0.15719680711832</v>
      </c>
      <c r="H22" s="108" t="n">
        <f aca="false">SUM(H5:H18)+SUM(H20:H21)</f>
        <v>-2852536.55900001</v>
      </c>
      <c r="I22" s="108" t="n">
        <f aca="false">SUM(I5:I18)+SUM(I20:I21)</f>
        <v>31460106.699322</v>
      </c>
      <c r="J22" s="109" t="n">
        <f aca="false">IFERROR(F22/I22-1,"-")</f>
        <v>-0.513868817446522</v>
      </c>
      <c r="K22" s="108" t="n">
        <f aca="false">IFERROR(F22-I22,"-")</f>
        <v>-16166367.826322</v>
      </c>
      <c r="L22" s="108" t="n">
        <f aca="false">IF($F$2&lt;7,"-",SUMIF(L5:L18,"&lt;&gt;-")+SUMIF(L20:L21,"&lt;&gt;-"))</f>
        <v>25152073.0805594</v>
      </c>
      <c r="M22" s="109" t="n">
        <f aca="false">IF($F$2&lt;7,"-",IFERROR(F22/L22-1,"-"))</f>
        <v>-0.391949171584551</v>
      </c>
      <c r="N22" s="108" t="n">
        <f aca="false">IF($F$2&lt;7,"-",IFERROR(F22-L22,"-"))</f>
        <v>-9858334.20755933</v>
      </c>
    </row>
    <row r="23" customFormat="false" ht="15" hidden="false" customHeight="true" outlineLevel="0" collapsed="false">
      <c r="A23" s="100" t="n">
        <v>301</v>
      </c>
      <c r="B23" s="101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SUMIFS(נתונים_שטוחים!C21:N21,נתונים_שטוחים!$C$3:$N$3,"&lt;="&amp;$F$2)</f>
        <v>3501494.53</v>
      </c>
      <c r="E23" s="103" t="n">
        <f aca="false">SUMIFS(נתונים_שטוחים!O21:Z21,נתונים_שטוחים!$O$3:$Z$3,"&lt;="&amp;$F$2)</f>
        <v>2705391.22</v>
      </c>
      <c r="F23" s="103" t="n">
        <f aca="false">SUMIFS(נתונים_שטוחים!AA21:AL21,נתונים_שטוחים!$AA$3:$AL$3,"&lt;="&amp;$F$2)</f>
        <v>1879662.74</v>
      </c>
      <c r="G23" s="104" t="n">
        <f aca="false">IFERROR(F23/E23-1,"-")</f>
        <v>-0.305215923632664</v>
      </c>
      <c r="H23" s="103" t="n">
        <f aca="false">F23-E23</f>
        <v>-825728.48</v>
      </c>
      <c r="I23" s="103" t="n">
        <f aca="false">IFERROR(INDEX('תקציב  '!$A:$AW,MATCH($B23,'תקציב  '!$C:$C,0),INDEX(נתונים_שטוחים!$AP$2:$AP$13,$F$2)),"-")</f>
        <v>4776579.3532875</v>
      </c>
      <c r="J23" s="104" t="n">
        <f aca="false">IFERROR(F23/I23-1,"-")</f>
        <v>-0.606483510274709</v>
      </c>
      <c r="K23" s="103" t="n">
        <f aca="false">IFERROR(F23-I23,"-")</f>
        <v>-2896916.6132875</v>
      </c>
      <c r="L23" s="103" t="n">
        <f aca="false">IF($F$2&lt;7,"-",IFERROR(INDEX('תקציב  '!$A:$AW,MATCH($B23,'תקציב  '!$C:$C,0),INDEX(נתונים_שטוחים!$AQ$2:$AQ$13,$F$2)),"-"))</f>
        <v>3098024.51</v>
      </c>
      <c r="M23" s="104" t="n">
        <f aca="false">IF($F$2&lt;7,"-",IFERROR(F23/L23-1,"-"))</f>
        <v>-0.393270539360581</v>
      </c>
      <c r="N23" s="103" t="n">
        <f aca="false">IF($F$2&lt;7,"-",IFERROR(F23-L23,"-"))</f>
        <v>-1218361.77</v>
      </c>
    </row>
    <row r="24" customFormat="false" ht="15" hidden="false" customHeight="true" outlineLevel="0" collapsed="false">
      <c r="A24" s="100" t="n">
        <v>202</v>
      </c>
      <c r="B24" s="101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SUMIFS(נתונים_שטוחים!C22:N22,נתונים_שטוחים!$C$3:$N$3,"&lt;="&amp;$F$2)</f>
        <v>879383.45</v>
      </c>
      <c r="E24" s="103" t="n">
        <f aca="false">SUMIFS(נתונים_שטוחים!O22:Z22,נתונים_שטוחים!$O$3:$Z$3,"&lt;="&amp;$F$2)</f>
        <v>902537.64</v>
      </c>
      <c r="F24" s="103" t="n">
        <f aca="false">SUMIFS(נתונים_שטוחים!AA22:AL22,נתונים_שטוחים!$AA$3:$AL$3,"&lt;="&amp;$F$2)</f>
        <v>474182.59</v>
      </c>
      <c r="G24" s="104" t="n">
        <f aca="false">IFERROR(F24/E24-1,"-")</f>
        <v>-0.474611840011459</v>
      </c>
      <c r="H24" s="103" t="n">
        <f aca="false">F24-E24</f>
        <v>-428355.05</v>
      </c>
      <c r="I24" s="103" t="n">
        <f aca="false">IFERROR(INDEX('תקציב  '!$A:$AW,MATCH($B24,'תקציב  '!$C:$C,0),INDEX(נתונים_שטוחים!$AP$2:$AP$13,$F$2)),"-")</f>
        <v>980000</v>
      </c>
      <c r="J24" s="104" t="n">
        <f aca="false">IFERROR(F24/I24-1,"-")</f>
        <v>-0.516140214285714</v>
      </c>
      <c r="K24" s="103" t="n">
        <f aca="false">IFERROR(F24-I24,"-")</f>
        <v>-505817.41</v>
      </c>
      <c r="L24" s="103" t="n">
        <f aca="false">IF($F$2&lt;7,"-",IFERROR(INDEX('תקציב  '!$A:$AW,MATCH($B24,'תקציב  '!$C:$C,0),INDEX(נתונים_שטוחים!$AQ$2:$AQ$13,$F$2)),"-"))</f>
        <v>922081.02</v>
      </c>
      <c r="M24" s="104" t="n">
        <f aca="false">IF($F$2&lt;7,"-",IFERROR(F24/L24-1,"-"))</f>
        <v>-0.485747369574964</v>
      </c>
      <c r="N24" s="103" t="n">
        <f aca="false">IF($F$2&lt;7,"-",IFERROR(F24-L24,"-"))</f>
        <v>-447898.43</v>
      </c>
    </row>
    <row r="25" customFormat="false" ht="15" hidden="false" customHeight="true" outlineLevel="0" collapsed="false">
      <c r="A25" s="100" t="n">
        <v>203</v>
      </c>
      <c r="B25" s="101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SUMIFS(נתונים_שטוחים!C23:N23,נתונים_שטוחים!$C$3:$N$3,"&lt;="&amp;$F$2)</f>
        <v>633752.75</v>
      </c>
      <c r="E25" s="103" t="n">
        <f aca="false">SUMIFS(נתונים_שטוחים!O23:Z23,נתונים_שטוחים!$O$3:$Z$3,"&lt;="&amp;$F$2)</f>
        <v>405920.85</v>
      </c>
      <c r="F25" s="103" t="n">
        <f aca="false">SUMIFS(נתונים_שטוחים!AA23:AL23,נתונים_שטוחים!$AA$3:$AL$3,"&lt;="&amp;$F$2)</f>
        <v>344263.09</v>
      </c>
      <c r="G25" s="104" t="n">
        <f aca="false">IFERROR(F25/E25-1,"-")</f>
        <v>-0.15189601618148</v>
      </c>
      <c r="H25" s="103" t="n">
        <f aca="false">F25-E25</f>
        <v>-61657.7600000001</v>
      </c>
      <c r="I25" s="103" t="n">
        <f aca="false">IFERROR(INDEX('תקציב  '!$A:$AW,MATCH($B25,'תקציב  '!$C:$C,0),INDEX(נתונים_שטוחים!$AP$2:$AP$13,$F$2)),"-")</f>
        <v>650000.27</v>
      </c>
      <c r="J25" s="104" t="n">
        <f aca="false">IFERROR(F25/I25-1,"-")</f>
        <v>-0.470364696925434</v>
      </c>
      <c r="K25" s="103" t="n">
        <f aca="false">IFERROR(F25-I25,"-")</f>
        <v>-305737.18</v>
      </c>
      <c r="L25" s="103" t="n">
        <f aca="false">IF($F$2&lt;7,"-",IFERROR(INDEX('תקציב  '!$A:$AW,MATCH($B25,'תקציב  '!$C:$C,0),INDEX(נתונים_שטוחים!$AQ$2:$AQ$13,$F$2)),"-"))</f>
        <v>613276.52</v>
      </c>
      <c r="M25" s="104" t="n">
        <f aca="false">IF($F$2&lt;7,"-",IFERROR(F25/L25-1,"-"))</f>
        <v>-0.438649485553434</v>
      </c>
      <c r="N25" s="103" t="n">
        <f aca="false">IF($F$2&lt;7,"-",IFERROR(F25-L25,"-"))</f>
        <v>-269013.43</v>
      </c>
    </row>
    <row r="26" customFormat="false" ht="15" hidden="false" customHeight="true" outlineLevel="0" collapsed="false">
      <c r="A26" s="100" t="n">
        <v>204</v>
      </c>
      <c r="B26" s="101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SUMIFS(נתונים_שטוחים!C24:N24,נתונים_שטוחים!$C$3:$N$3,"&lt;="&amp;$F$2)</f>
        <v>489809</v>
      </c>
      <c r="E26" s="103" t="n">
        <f aca="false">SUMIFS(נתונים_שטוחים!O24:Z24,נתונים_שטוחים!$O$3:$Z$3,"&lt;="&amp;$F$2)</f>
        <v>414072.64</v>
      </c>
      <c r="F26" s="103" t="n">
        <f aca="false">SUMIFS(נתונים_שטוחים!AA24:AL24,נתונים_שטוחים!$AA$3:$AL$3,"&lt;="&amp;$F$2)</f>
        <v>358276.36</v>
      </c>
      <c r="G26" s="104" t="n">
        <f aca="false">IFERROR(F26/E26-1,"-")</f>
        <v>-0.13474998010011</v>
      </c>
      <c r="H26" s="103" t="n">
        <f aca="false">F26-E26</f>
        <v>-55796.28</v>
      </c>
      <c r="I26" s="103" t="n">
        <f aca="false">IFERROR(INDEX('תקציב  '!$A:$AW,MATCH($B26,'תקציב  '!$C:$C,0),INDEX(נתונים_שטוחים!$AP$2:$AP$13,$F$2)),"-")</f>
        <v>499999.97</v>
      </c>
      <c r="J26" s="104" t="n">
        <f aca="false">IFERROR(F26/I26-1,"-")</f>
        <v>-0.283447237006834</v>
      </c>
      <c r="K26" s="103" t="n">
        <f aca="false">IFERROR(F26-I26,"-")</f>
        <v>-141723.61</v>
      </c>
      <c r="L26" s="103" t="n">
        <f aca="false">IF($F$2&lt;7,"-",IFERROR(INDEX('תקציב  '!$A:$AW,MATCH($B26,'תקציב  '!$C:$C,0),INDEX(נתונים_שטוחים!$AQ$2:$AQ$13,$F$2)),"-"))</f>
        <v>457053.13</v>
      </c>
      <c r="M26" s="104" t="n">
        <f aca="false">IF($F$2&lt;7,"-",IFERROR(F26/L26-1,"-"))</f>
        <v>-0.216116603336684</v>
      </c>
      <c r="N26" s="103" t="n">
        <f aca="false">IF($F$2&lt;7,"-",IFERROR(F26-L26,"-"))</f>
        <v>-98776.77</v>
      </c>
    </row>
    <row r="27" customFormat="false" ht="15" hidden="false" customHeight="true" outlineLevel="0" collapsed="false">
      <c r="A27" s="100" t="n">
        <v>205</v>
      </c>
      <c r="B27" s="101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SUMIFS(נתונים_שטוחים!C25:N25,נתונים_שטוחים!$C$3:$N$3,"&lt;="&amp;$F$2)</f>
        <v>128758.9</v>
      </c>
      <c r="E27" s="103" t="n">
        <f aca="false">SUMIFS(נתונים_שטוחים!O25:Z25,נתונים_שטוחים!$O$3:$Z$3,"&lt;="&amp;$F$2)</f>
        <v>122339</v>
      </c>
      <c r="F27" s="103" t="n">
        <f aca="false">SUMIFS(נתונים_שטוחים!AA25:AL25,נתונים_שטוחים!$AA$3:$AL$3,"&lt;="&amp;$F$2)</f>
        <v>111290.53</v>
      </c>
      <c r="G27" s="104" t="n">
        <f aca="false">IFERROR(F27/E27-1,"-")</f>
        <v>-0.0903102853546294</v>
      </c>
      <c r="H27" s="103" t="n">
        <f aca="false">F27-E27</f>
        <v>-11048.47</v>
      </c>
      <c r="I27" s="103" t="n">
        <f aca="false">IFERROR(INDEX('תקציב  '!$A:$AW,MATCH($B27,'תקציב  '!$C:$C,0),INDEX(נתונים_שטוחים!$AP$2:$AP$13,$F$2)),"-")</f>
        <v>139999.92</v>
      </c>
      <c r="J27" s="104" t="n">
        <f aca="false">IFERROR(F27/I27-1,"-")</f>
        <v>-0.205067188609822</v>
      </c>
      <c r="K27" s="103" t="n">
        <f aca="false">IFERROR(F27-I27,"-")</f>
        <v>-28709.39</v>
      </c>
      <c r="L27" s="103" t="n">
        <f aca="false">IF($F$2&lt;7,"-",IFERROR(INDEX('תקציב  '!$A:$AW,MATCH($B27,'תקציב  '!$C:$C,0),INDEX(נתונים_שטוחים!$AQ$2:$AQ$13,$F$2)),"-"))</f>
        <v>131678.59</v>
      </c>
      <c r="M27" s="104" t="n">
        <f aca="false">IF($F$2&lt;7,"-",IFERROR(F27/L27-1,"-"))</f>
        <v>-0.154832004200531</v>
      </c>
      <c r="N27" s="103" t="n">
        <f aca="false">IF($F$2&lt;7,"-",IFERROR(F27-L27,"-"))</f>
        <v>-20388.06</v>
      </c>
    </row>
    <row r="28" customFormat="false" ht="15" hidden="false" customHeight="true" outlineLevel="0" collapsed="false">
      <c r="A28" s="100" t="n">
        <v>206</v>
      </c>
      <c r="B28" s="101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SUMIFS(נתונים_שטוחים!C26:N26,נתונים_שטוחים!$C$3:$N$3,"&lt;="&amp;$F$2)</f>
        <v>160712.5</v>
      </c>
      <c r="E28" s="103" t="n">
        <f aca="false">SUMIFS(נתונים_שטוחים!O26:Z26,נתונים_שטוחים!$O$3:$Z$3,"&lt;="&amp;$F$2)</f>
        <v>52899.82</v>
      </c>
      <c r="F28" s="103" t="n">
        <f aca="false">SUMIFS(נתונים_שטוחים!AA26:AL26,נתונים_שטוחים!$AA$3:$AL$3,"&lt;="&amp;$F$2)</f>
        <v>0</v>
      </c>
      <c r="G28" s="104" t="n">
        <f aca="false">IFERROR(F28/E28-1,"-")</f>
        <v>-1</v>
      </c>
      <c r="H28" s="103" t="n">
        <f aca="false">F28-E28</f>
        <v>-52899.82</v>
      </c>
      <c r="I28" s="103" t="n">
        <f aca="false">IFERROR(INDEX('תקציב  '!$A:$AW,MATCH($B28,'תקציב  '!$C:$C,0),INDEX(נתונים_שטוחים!$AP$2:$AP$13,$F$2)),"-")</f>
        <v>50000</v>
      </c>
      <c r="J28" s="104" t="n">
        <f aca="false">IFERROR(F28/I28-1,"-")</f>
        <v>-1</v>
      </c>
      <c r="K28" s="103" t="n">
        <f aca="false">IFERROR(F28-I28,"-")</f>
        <v>-50000</v>
      </c>
      <c r="L28" s="103" t="n">
        <f aca="false">IF($F$2&lt;7,"-",IFERROR(INDEX('תקציב  '!$A:$AW,MATCH($B28,'תקציב  '!$C:$C,0),INDEX(נתונים_שטוחים!$AQ$2:$AQ$13,$F$2)),"-"))</f>
        <v>0</v>
      </c>
      <c r="M28" s="104" t="str">
        <f aca="false">IF($F$2&lt;7,"-",IFERROR(F28/L28-1,"-"))</f>
        <v>-</v>
      </c>
      <c r="N28" s="103" t="n">
        <f aca="false">IF($F$2&lt;7,"-",IFERROR(F28-L28,"-"))</f>
        <v>0</v>
      </c>
    </row>
    <row r="29" customFormat="false" ht="15" hidden="false" customHeight="true" outlineLevel="0" collapsed="false">
      <c r="A29" s="100" t="n">
        <v>207</v>
      </c>
      <c r="B29" s="101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SUMIFS(נתונים_שטוחים!C27:N27,נתונים_שטוחים!$C$3:$N$3,"&lt;="&amp;$F$2)</f>
        <v>471280.16</v>
      </c>
      <c r="E29" s="103" t="n">
        <f aca="false">SUMIFS(נתונים_שטוחים!O27:Z27,נתונים_שטוחים!$O$3:$Z$3,"&lt;="&amp;$F$2)</f>
        <v>319558.55</v>
      </c>
      <c r="F29" s="103" t="n">
        <f aca="false">SUMIFS(נתונים_שטוחים!AA27:AL27,נתונים_שטוחים!$AA$3:$AL$3,"&lt;="&amp;$F$2)</f>
        <v>365555.25</v>
      </c>
      <c r="G29" s="104" t="n">
        <f aca="false">IFERROR(F29/E29-1,"-")</f>
        <v>0.143938254820595</v>
      </c>
      <c r="H29" s="103" t="n">
        <f aca="false">F29-E29</f>
        <v>45996.7</v>
      </c>
      <c r="I29" s="103" t="n">
        <f aca="false">IFERROR(INDEX('תקציב  '!$A:$AW,MATCH($B29,'תקציב  '!$C:$C,0),INDEX(נתונים_שטוחים!$AP$2:$AP$13,$F$2)),"-")</f>
        <v>450000</v>
      </c>
      <c r="J29" s="104" t="n">
        <f aca="false">IFERROR(F29/I29-1,"-")</f>
        <v>-0.187655</v>
      </c>
      <c r="K29" s="103" t="n">
        <f aca="false">IFERROR(F29-I29,"-")</f>
        <v>-84444.75</v>
      </c>
      <c r="L29" s="103" t="n">
        <f aca="false">IF($F$2&lt;7,"-",IFERROR(INDEX('תקציב  '!$A:$AW,MATCH($B29,'תקציב  '!$C:$C,0),INDEX(נתונים_שטוחים!$AQ$2:$AQ$13,$F$2)),"-"))</f>
        <v>524147.47</v>
      </c>
      <c r="M29" s="104" t="n">
        <f aca="false">IF($F$2&lt;7,"-",IFERROR(F29/L29-1,"-"))</f>
        <v>-0.30257175523522</v>
      </c>
      <c r="N29" s="103" t="n">
        <f aca="false">IF($F$2&lt;7,"-",IFERROR(F29-L29,"-"))</f>
        <v>-158592.22</v>
      </c>
    </row>
    <row r="30" customFormat="false" ht="15" hidden="false" customHeight="true" outlineLevel="0" collapsed="false">
      <c r="A30" s="100" t="n">
        <v>216</v>
      </c>
      <c r="B30" s="101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SUMIFS(נתונים_שטוחים!C28:N28,נתונים_שטוחים!$C$3:$N$3,"&lt;="&amp;$F$2)</f>
        <v>162967.91</v>
      </c>
      <c r="E30" s="103" t="n">
        <f aca="false">SUMIFS(נתונים_שטוחים!O28:Z28,נתונים_שטוחים!$O$3:$Z$3,"&lt;="&amp;$F$2)</f>
        <v>86855.65</v>
      </c>
      <c r="F30" s="103" t="n">
        <f aca="false">SUMIFS(נתונים_שטוחים!AA28:AL28,נתונים_שטוחים!$AA$3:$AL$3,"&lt;="&amp;$F$2)</f>
        <v>60694.01</v>
      </c>
      <c r="G30" s="104" t="n">
        <f aca="false">IFERROR(F30/E30-1,"-")</f>
        <v>-0.301208269122389</v>
      </c>
      <c r="H30" s="103" t="n">
        <f aca="false">F30-E30</f>
        <v>-26161.64</v>
      </c>
      <c r="I30" s="103" t="n">
        <f aca="false">IFERROR(INDEX('תקציב  '!$A:$AW,MATCH($B30,'תקציב  '!$C:$C,0),INDEX(נתונים_שטוחים!$AP$2:$AP$13,$F$2)),"-")</f>
        <v>200000</v>
      </c>
      <c r="J30" s="104" t="n">
        <f aca="false">IFERROR(F30/I30-1,"-")</f>
        <v>-0.69652995</v>
      </c>
      <c r="K30" s="103" t="n">
        <f aca="false">IFERROR(F30-I30,"-")</f>
        <v>-139305.99</v>
      </c>
      <c r="L30" s="103" t="n">
        <f aca="false">IF($F$2&lt;7,"-",IFERROR(INDEX('תקציב  '!$A:$AW,MATCH($B30,'תקציב  '!$C:$C,0),INDEX(נתונים_שטוחים!$AQ$2:$AQ$13,$F$2)),"-"))</f>
        <v>100694.01</v>
      </c>
      <c r="M30" s="104" t="n">
        <f aca="false">IF($F$2&lt;7,"-",IFERROR(F30/L30-1,"-"))</f>
        <v>-0.397243093208822</v>
      </c>
      <c r="N30" s="103" t="n">
        <f aca="false">IF($F$2&lt;7,"-",IFERROR(F30-L30,"-"))</f>
        <v>-40000</v>
      </c>
    </row>
    <row r="31" customFormat="false" ht="15" hidden="false" customHeight="true" outlineLevel="0" collapsed="false">
      <c r="A31" s="100" t="n">
        <v>208</v>
      </c>
      <c r="B31" s="101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SUMIFS(נתונים_שטוחים!C29:N29,נתונים_שטוחים!$C$3:$N$3,"&lt;="&amp;$F$2)</f>
        <v>370614.64</v>
      </c>
      <c r="E31" s="103" t="n">
        <f aca="false">SUMIFS(נתונים_שטוחים!O29:Z29,נתונים_שטוחים!$O$3:$Z$3,"&lt;="&amp;$F$2)</f>
        <v>256772.1</v>
      </c>
      <c r="F31" s="103" t="n">
        <f aca="false">SUMIFS(נתונים_שטוחים!AA29:AL29,נתונים_שטוחים!$AA$3:$AL$3,"&lt;="&amp;$F$2)</f>
        <v>0</v>
      </c>
      <c r="G31" s="104" t="n">
        <f aca="false">IFERROR(F31/E31-1,"-")</f>
        <v>-1</v>
      </c>
      <c r="H31" s="103" t="n">
        <f aca="false">F31-E31</f>
        <v>-256772.1</v>
      </c>
      <c r="I31" s="103" t="n">
        <f aca="false">IFERROR(INDEX('תקציב  '!$A:$AW,MATCH($B31,'תקציב  '!$C:$C,0),INDEX(נתונים_שטוחים!$AP$2:$AP$13,$F$2)),"-")</f>
        <v>250000</v>
      </c>
      <c r="J31" s="104" t="n">
        <f aca="false">IFERROR(F31/I31-1,"-")</f>
        <v>-1</v>
      </c>
      <c r="K31" s="103" t="n">
        <f aca="false">IFERROR(F31-I31,"-")</f>
        <v>-250000</v>
      </c>
      <c r="L31" s="103" t="n">
        <f aca="false">IF($F$2&lt;7,"-",IFERROR(INDEX('תקציב  '!$A:$AW,MATCH($B31,'תקציב  '!$C:$C,0),INDEX(נתונים_שטוחים!$AQ$2:$AQ$13,$F$2)),"-"))</f>
        <v>250000</v>
      </c>
      <c r="M31" s="104" t="n">
        <f aca="false">IF($F$2&lt;7,"-",IFERROR(F31/L31-1,"-"))</f>
        <v>-1</v>
      </c>
      <c r="N31" s="103" t="n">
        <f aca="false">IF($F$2&lt;7,"-",IFERROR(F31-L31,"-"))</f>
        <v>-250000</v>
      </c>
    </row>
    <row r="32" customFormat="false" ht="15" hidden="false" customHeight="true" outlineLevel="0" collapsed="false">
      <c r="A32" s="100" t="n">
        <v>209</v>
      </c>
      <c r="B32" s="101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SUMIFS(נתונים_שטוחים!C30:N30,נתונים_שטוחים!$C$3:$N$3,"&lt;="&amp;$F$2)</f>
        <v>348874.04</v>
      </c>
      <c r="E32" s="103" t="n">
        <f aca="false">SUMIFS(נתונים_שטוחים!O30:Z30,נתונים_שטוחים!$O$3:$Z$3,"&lt;="&amp;$F$2)</f>
        <v>405953.63</v>
      </c>
      <c r="F32" s="103" t="n">
        <f aca="false">SUMIFS(נתונים_שטוחים!AA30:AL30,נתונים_שטוחים!$AA$3:$AL$3,"&lt;="&amp;$F$2)</f>
        <v>300835.11</v>
      </c>
      <c r="G32" s="104" t="n">
        <f aca="false">IFERROR(F32/E32-1,"-")</f>
        <v>-0.258942185096362</v>
      </c>
      <c r="H32" s="103" t="n">
        <f aca="false">F32-E32</f>
        <v>-105118.52</v>
      </c>
      <c r="I32" s="103" t="n">
        <f aca="false">IFERROR(INDEX('תקציב  '!$A:$AW,MATCH($B32,'תקציב  '!$C:$C,0),INDEX(נתונים_שטוחים!$AP$2:$AP$13,$F$2)),"-")</f>
        <v>450000</v>
      </c>
      <c r="J32" s="104" t="n">
        <f aca="false">IFERROR(F32/I32-1,"-")</f>
        <v>-0.331477533333333</v>
      </c>
      <c r="K32" s="103" t="n">
        <f aca="false">IFERROR(F32-I32,"-")</f>
        <v>-149164.89</v>
      </c>
      <c r="L32" s="103" t="n">
        <f aca="false">IF($F$2&lt;7,"-",IFERROR(INDEX('תקציב  '!$A:$AW,MATCH($B32,'תקציב  '!$C:$C,0),INDEX(נתונים_שטוחים!$AQ$2:$AQ$13,$F$2)),"-"))</f>
        <v>378207.09</v>
      </c>
      <c r="M32" s="104" t="n">
        <f aca="false">IF($F$2&lt;7,"-",IFERROR(F32/L32-1,"-"))</f>
        <v>-0.204575699519541</v>
      </c>
      <c r="N32" s="103" t="n">
        <f aca="false">IF($F$2&lt;7,"-",IFERROR(F32-L32,"-"))</f>
        <v>-77371.98</v>
      </c>
    </row>
    <row r="33" customFormat="false" ht="15" hidden="false" customHeight="true" outlineLevel="0" collapsed="false">
      <c r="A33" s="100" t="n">
        <v>210</v>
      </c>
      <c r="B33" s="101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SUMIFS(נתונים_שטוחים!C31:N31,נתונים_שטוחים!$C$3:$N$3,"&lt;="&amp;$F$2)</f>
        <v>107690.85</v>
      </c>
      <c r="E33" s="103" t="n">
        <f aca="false">SUMIFS(נתונים_שטוחים!O31:Z31,נתונים_שטוחים!$O$3:$Z$3,"&lt;="&amp;$F$2)</f>
        <v>64554.59</v>
      </c>
      <c r="F33" s="103" t="n">
        <f aca="false">SUMIFS(נתונים_שטוחים!AA31:AL31,נתונים_שטוחים!$AA$3:$AL$3,"&lt;="&amp;$F$2)</f>
        <v>43116.44</v>
      </c>
      <c r="G33" s="104" t="n">
        <f aca="false">IFERROR(F33/E33-1,"-")</f>
        <v>-0.332093349210335</v>
      </c>
      <c r="H33" s="103" t="n">
        <f aca="false">F33-E33</f>
        <v>-21438.15</v>
      </c>
      <c r="I33" s="103" t="n">
        <f aca="false">IFERROR(INDEX('תקציב  '!$A:$AW,MATCH($B33,'תקציב  '!$C:$C,0),INDEX(נתונים_שטוחים!$AP$2:$AP$13,$F$2)),"-")</f>
        <v>70000</v>
      </c>
      <c r="J33" s="104" t="n">
        <f aca="false">IFERROR(F33/I33-1,"-")</f>
        <v>-0.384050857142857</v>
      </c>
      <c r="K33" s="103" t="n">
        <f aca="false">IFERROR(F33-I33,"-")</f>
        <v>-26883.56</v>
      </c>
      <c r="L33" s="103" t="n">
        <f aca="false">IF($F$2&lt;7,"-",IFERROR(INDEX('תקציב  '!$A:$AW,MATCH($B33,'תקציב  '!$C:$C,0),INDEX(נתונים_שטוחים!$AQ$2:$AQ$13,$F$2)),"-"))</f>
        <v>73116.44</v>
      </c>
      <c r="M33" s="104" t="n">
        <f aca="false">IF($F$2&lt;7,"-",IFERROR(F33/L33-1,"-"))</f>
        <v>-0.410304440424069</v>
      </c>
      <c r="N33" s="103" t="n">
        <f aca="false">IF($F$2&lt;7,"-",IFERROR(F33-L33,"-"))</f>
        <v>-30000</v>
      </c>
    </row>
    <row r="34" customFormat="false" ht="15" hidden="false" customHeight="true" outlineLevel="0" collapsed="false">
      <c r="A34" s="100" t="n">
        <v>201</v>
      </c>
      <c r="B34" s="101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SUMIFS(נתונים_שטוחים!C32:N32,נתונים_שטוחים!$C$3:$N$3,"&lt;="&amp;$F$2)</f>
        <v>41028.36</v>
      </c>
      <c r="E34" s="103" t="n">
        <f aca="false">SUMIFS(נתונים_שטוחים!O32:Z32,נתונים_שטוחים!$O$3:$Z$3,"&lt;="&amp;$F$2)</f>
        <v>60908.2</v>
      </c>
      <c r="F34" s="103" t="n">
        <f aca="false">SUMIFS(נתונים_שטוחים!AA32:AL32,נתונים_שטוחים!$AA$3:$AL$3,"&lt;="&amp;$F$2)</f>
        <v>39400.13</v>
      </c>
      <c r="G34" s="104" t="n">
        <f aca="false">IFERROR(F34/E34-1,"-")</f>
        <v>-0.353122732242949</v>
      </c>
      <c r="H34" s="103" t="n">
        <f aca="false">F34-E34</f>
        <v>-21508.07</v>
      </c>
      <c r="I34" s="103" t="n">
        <f aca="false">IFERROR(INDEX('תקציב  '!$A:$AW,MATCH($B34,'תקציב  '!$C:$C,0),INDEX(נתונים_שטוחים!$AP$2:$AP$13,$F$2)),"-")</f>
        <v>59793</v>
      </c>
      <c r="J34" s="104" t="n">
        <f aca="false">IFERROR(F34/I34-1,"-")</f>
        <v>-0.341057816132323</v>
      </c>
      <c r="K34" s="103" t="n">
        <f aca="false">IFERROR(F34-I34,"-")</f>
        <v>-20392.87</v>
      </c>
      <c r="L34" s="103" t="n">
        <f aca="false">IF($F$2&lt;7,"-",IFERROR(INDEX('תקציב  '!$A:$AW,MATCH($B34,'תקציב  '!$C:$C,0),INDEX(נתונים_שטוחים!$AQ$2:$AQ$13,$F$2)),"-"))</f>
        <v>42809.5</v>
      </c>
      <c r="M34" s="104" t="n">
        <f aca="false">IF($F$2&lt;7,"-",IFERROR(F34/L34-1,"-"))</f>
        <v>-0.0796405003562293</v>
      </c>
      <c r="N34" s="103" t="n">
        <f aca="false">IF($F$2&lt;7,"-",IFERROR(F34-L34,"-"))</f>
        <v>-3409.37</v>
      </c>
    </row>
    <row r="35" customFormat="false" ht="15" hidden="false" customHeight="true" outlineLevel="0" collapsed="false">
      <c r="A35" s="100" t="n">
        <v>211</v>
      </c>
      <c r="B35" s="101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SUMIFS(נתונים_שטוחים!C33:N33,נתונים_שטוחים!$C$3:$N$3,"&lt;="&amp;$F$2)</f>
        <v>31722.98</v>
      </c>
      <c r="E35" s="103" t="n">
        <f aca="false">SUMIFS(נתונים_שטוחים!O33:Z33,נתונים_שטוחים!$O$3:$Z$3,"&lt;="&amp;$F$2)</f>
        <v>81786.57</v>
      </c>
      <c r="F35" s="103" t="n">
        <f aca="false">SUMIFS(נתונים_שטוחים!AA33:AL33,נתונים_שטוחים!$AA$3:$AL$3,"&lt;="&amp;$F$2)</f>
        <v>10037.15</v>
      </c>
      <c r="G35" s="104" t="n">
        <f aca="false">IFERROR(F35/E35-1,"-")</f>
        <v>-0.877276305877603</v>
      </c>
      <c r="H35" s="103" t="n">
        <f aca="false">F35-E35</f>
        <v>-71749.42</v>
      </c>
      <c r="I35" s="103" t="n">
        <f aca="false">IFERROR(INDEX('תקציב  '!$A:$AW,MATCH($B35,'תקציב  '!$C:$C,0),INDEX(נתונים_שטוחים!$AP$2:$AP$13,$F$2)),"-")</f>
        <v>85000</v>
      </c>
      <c r="J35" s="104" t="n">
        <f aca="false">IFERROR(F35/I35-1,"-")</f>
        <v>-0.881915882352941</v>
      </c>
      <c r="K35" s="103" t="n">
        <f aca="false">IFERROR(F35-I35,"-")</f>
        <v>-74962.85</v>
      </c>
      <c r="L35" s="103" t="n">
        <f aca="false">IF($F$2&lt;7,"-",IFERROR(INDEX('תקציב  '!$A:$AW,MATCH($B35,'תקציב  '!$C:$C,0),INDEX(נתונים_שטוחים!$AQ$2:$AQ$13,$F$2)),"-"))</f>
        <v>17500</v>
      </c>
      <c r="M35" s="104" t="n">
        <f aca="false">IF($F$2&lt;7,"-",IFERROR(F35/L35-1,"-"))</f>
        <v>-0.426448571428571</v>
      </c>
      <c r="N35" s="103" t="n">
        <f aca="false">IF($F$2&lt;7,"-",IFERROR(F35-L35,"-"))</f>
        <v>-7462.85</v>
      </c>
    </row>
    <row r="36" customFormat="false" ht="15" hidden="false" customHeight="true" outlineLevel="0" collapsed="false">
      <c r="A36" s="100" t="n">
        <v>304</v>
      </c>
      <c r="B36" s="101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SUMIFS(נתונים_שטוחים!C34:N34,נתונים_שטוחים!$C$3:$N$3,"&lt;="&amp;$F$2)</f>
        <v>0</v>
      </c>
      <c r="E36" s="103" t="n">
        <f aca="false">SUMIFS(נתונים_שטוחים!O34:Z34,נתונים_שטוחים!$O$3:$Z$3,"&lt;="&amp;$F$2)</f>
        <v>0</v>
      </c>
      <c r="F36" s="103" t="n">
        <f aca="false">SUMIFS(נתונים_שטוחים!AA34:AL34,נתונים_שטוחים!$AA$3:$AL$3,"&lt;="&amp;$F$2)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'!$A:$AW,MATCH($B36,'תקציב  '!$C:$C,0),INDEX(נתונים_שטוחים!$AP$2:$AP$13,$F$2)),"-")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IF($F$2&lt;7,"-",IFERROR(INDEX('תקציב  '!$A:$AW,MATCH($B36,'תקציב  '!$C:$C,0),INDEX(נתונים_שטוחים!$AQ$2:$AQ$13,$F$2)),"-"))</f>
        <v>-</v>
      </c>
      <c r="M36" s="104" t="str">
        <f aca="false">IF($F$2&lt;7,"-",IFERROR(F36/L36-1,"-"))</f>
        <v>-</v>
      </c>
      <c r="N36" s="103" t="str">
        <f aca="false">IF($F$2&lt;7,"-",IFERROR(F36-L36,"-"))</f>
        <v>-</v>
      </c>
    </row>
    <row r="37" customFormat="false" ht="15" hidden="false" customHeight="true" outlineLevel="0" collapsed="false">
      <c r="A37" s="100" t="n">
        <v>213</v>
      </c>
      <c r="B37" s="101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SUMIFS(נתונים_שטוחים!C35:N35,נתונים_שטוחים!$C$3:$N$3,"&lt;="&amp;$F$2)</f>
        <v>35826.78</v>
      </c>
      <c r="E37" s="103" t="n">
        <f aca="false">SUMIFS(נתונים_שטוחים!O35:Z35,נתונים_שטוחים!$O$3:$Z$3,"&lt;="&amp;$F$2)</f>
        <v>39713.57</v>
      </c>
      <c r="F37" s="103" t="n">
        <f aca="false">SUMIFS(נתונים_שטוחים!AA35:AL35,נתונים_שטוחים!$AA$3:$AL$3,"&lt;="&amp;$F$2)</f>
        <v>37142.71</v>
      </c>
      <c r="G37" s="104" t="n">
        <f aca="false">IFERROR(F37/E37-1,"-")</f>
        <v>-0.0647350515201731</v>
      </c>
      <c r="H37" s="103" t="n">
        <f aca="false">F37-E37</f>
        <v>-2570.86</v>
      </c>
      <c r="I37" s="103" t="n">
        <f aca="false">IFERROR(INDEX('תקציב  '!$A:$AW,MATCH($B37,'תקציב  '!$C:$C,0),INDEX(נתונים_שטוחים!$AP$2:$AP$13,$F$2)),"-")</f>
        <v>40000</v>
      </c>
      <c r="J37" s="104" t="n">
        <f aca="false">IFERROR(F37/I37-1,"-")</f>
        <v>-0.07143225</v>
      </c>
      <c r="K37" s="103" t="n">
        <f aca="false">IFERROR(F37-I37,"-")</f>
        <v>-2857.29</v>
      </c>
      <c r="L37" s="103" t="n">
        <f aca="false">IF($F$2&lt;7,"-",IFERROR(INDEX('תקציב  '!$A:$AW,MATCH($B37,'תקציב  '!$C:$C,0),INDEX(נתונים_שטוחים!$AQ$2:$AQ$13,$F$2)),"-"))</f>
        <v>38792.66</v>
      </c>
      <c r="M37" s="104" t="n">
        <f aca="false">IF($F$2&lt;7,"-",IFERROR(F37/L37-1,"-"))</f>
        <v>-0.0425325306385281</v>
      </c>
      <c r="N37" s="103" t="n">
        <f aca="false">IF($F$2&lt;7,"-",IFERROR(F37-L37,"-"))</f>
        <v>-1649.95</v>
      </c>
    </row>
    <row r="38" customFormat="false" ht="15" hidden="false" customHeight="true" outlineLevel="0" collapsed="false">
      <c r="A38" s="100" t="n">
        <v>214</v>
      </c>
      <c r="B38" s="101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SUMIFS(נתונים_שטוחים!C36:N36,נתונים_שטוחים!$C$3:$N$3,"&lt;="&amp;$F$2)</f>
        <v>59175.03</v>
      </c>
      <c r="E38" s="103" t="n">
        <f aca="false">SUMIFS(נתונים_שטוחים!O36:Z36,נתונים_שטוחים!$O$3:$Z$3,"&lt;="&amp;$F$2)</f>
        <v>53863.18</v>
      </c>
      <c r="F38" s="103" t="n">
        <f aca="false">SUMIFS(נתונים_שטוחים!AA36:AL36,נתונים_שטוחים!$AA$3:$AL$3,"&lt;="&amp;$F$2)</f>
        <v>26105.72</v>
      </c>
      <c r="G38" s="104" t="n">
        <f aca="false">IFERROR(F38/E38-1,"-")</f>
        <v>-0.515332737502687</v>
      </c>
      <c r="H38" s="103" t="n">
        <f aca="false">F38-E38</f>
        <v>-27757.46</v>
      </c>
      <c r="I38" s="103" t="n">
        <f aca="false">IFERROR(INDEX('תקציב  '!$A:$AW,MATCH($B38,'תקציב  '!$C:$C,0),INDEX(נתונים_שטוחים!$AP$2:$AP$13,$F$2)),"-")</f>
        <v>80000</v>
      </c>
      <c r="J38" s="104" t="n">
        <f aca="false">IFERROR(F38/I38-1,"-")</f>
        <v>-0.6736785</v>
      </c>
      <c r="K38" s="103" t="n">
        <f aca="false">IFERROR(F38-I38,"-")</f>
        <v>-53894.28</v>
      </c>
      <c r="L38" s="103" t="n">
        <f aca="false">IF($F$2&lt;7,"-",IFERROR(INDEX('תקציב  '!$A:$AW,MATCH($B38,'תקציב  '!$C:$C,0),INDEX(נתונים_שטוחים!$AQ$2:$AQ$13,$F$2)),"-"))</f>
        <v>25000</v>
      </c>
      <c r="M38" s="104" t="n">
        <f aca="false">IF($F$2&lt;7,"-",IFERROR(F38/L38-1,"-"))</f>
        <v>0.0442288</v>
      </c>
      <c r="N38" s="103" t="n">
        <f aca="false">IF($F$2&lt;7,"-",IFERROR(F38-L38,"-"))</f>
        <v>1105.72</v>
      </c>
    </row>
    <row r="39" customFormat="false" ht="15" hidden="false" customHeight="true" outlineLevel="0" collapsed="false">
      <c r="A39" s="100" t="n">
        <v>212</v>
      </c>
      <c r="B39" s="101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SUMIFS(נתונים_שטוחים!C37:N37,נתונים_שטוחים!$C$3:$N$3,"&lt;="&amp;$F$2)</f>
        <v>41531.96</v>
      </c>
      <c r="E39" s="103" t="n">
        <f aca="false">SUMIFS(נתונים_שטוחים!O37:Z37,נתונים_שטוחים!$O$3:$Z$3,"&lt;="&amp;$F$2)</f>
        <v>0</v>
      </c>
      <c r="F39" s="103" t="n">
        <f aca="false">SUMIFS(נתונים_שטוחים!AA37:AL37,נתונים_שטוחים!$AA$3:$AL$3,"&lt;="&amp;$F$2)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'!$A:$AW,MATCH($B39,'תקציב  '!$C:$C,0),INDEX(נתונים_שטוחים!$AP$2:$AP$13,$F$2)),"-")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IF($F$2&lt;7,"-",IFERROR(INDEX('תקציב  '!$A:$AW,MATCH($B39,'תקציב  '!$C:$C,0),INDEX(נתונים_שטוחים!$AQ$2:$AQ$13,$F$2)),"-"))</f>
        <v>-</v>
      </c>
      <c r="M39" s="104" t="str">
        <f aca="false">IF($F$2&lt;7,"-",IFERROR(F39/L39-1,"-"))</f>
        <v>-</v>
      </c>
      <c r="N39" s="103" t="str">
        <f aca="false">IF($F$2&lt;7,"-",IFERROR(F39-L39,"-"))</f>
        <v>-</v>
      </c>
    </row>
    <row r="40" customFormat="false" ht="15" hidden="false" customHeight="true" outlineLevel="0" collapsed="false">
      <c r="A40" s="100" t="n">
        <v>215</v>
      </c>
      <c r="B40" s="101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SUMIFS(נתונים_שטוחים!C38:N38,נתונים_שטוחים!$C$3:$N$3,"&lt;="&amp;$F$2)</f>
        <v>22310.96</v>
      </c>
      <c r="E40" s="103" t="n">
        <f aca="false">SUMIFS(נתונים_שטוחים!O38:Z38,נתונים_שטוחים!$O$3:$Z$3,"&lt;="&amp;$F$2)</f>
        <v>0</v>
      </c>
      <c r="F40" s="103" t="n">
        <f aca="false">SUMIFS(נתונים_שטוחים!AA38:AL38,נתונים_שטוחים!$AA$3:$AL$3,"&lt;="&amp;$F$2)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'!$A:$AW,MATCH($B40,'תקציב  '!$C:$C,0),INDEX(נתונים_שטוחים!$AP$2:$AP$13,$F$2)),"-")</f>
        <v>0</v>
      </c>
      <c r="J40" s="104" t="str">
        <f aca="false">IFERROR(F40/I40-1,"-")</f>
        <v>-</v>
      </c>
      <c r="K40" s="103" t="n">
        <f aca="false">IFERROR(F40-I40,"-")</f>
        <v>0</v>
      </c>
      <c r="L40" s="103" t="n">
        <f aca="false">IF($F$2&lt;7,"-",IFERROR(INDEX('תקציב  '!$A:$AW,MATCH($B40,'תקציב  '!$C:$C,0),INDEX(נתונים_שטוחים!$AQ$2:$AQ$13,$F$2)),"-"))</f>
        <v>0</v>
      </c>
      <c r="M40" s="104" t="str">
        <f aca="false">IF($F$2&lt;7,"-",IFERROR(F40/L40-1,"-"))</f>
        <v>-</v>
      </c>
      <c r="N40" s="103" t="n">
        <f aca="false">IF($F$2&lt;7,"-",IFERROR(F40-L40,"-"))</f>
        <v>0</v>
      </c>
    </row>
    <row r="41" customFormat="false" ht="15" hidden="false" customHeight="true" outlineLevel="0" collapsed="false">
      <c r="A41" s="100" t="n">
        <v>217</v>
      </c>
      <c r="B41" s="101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SUMIFS(נתונים_שטוחים!C39:N39,נתונים_שטוחים!$C$3:$N$3,"&lt;="&amp;$F$2)</f>
        <v>161574.82</v>
      </c>
      <c r="E41" s="103" t="n">
        <f aca="false">SUMIFS(נתונים_שטוחים!O39:Z39,נתונים_שטוחים!$O$3:$Z$3,"&lt;="&amp;$F$2)</f>
        <v>248.59</v>
      </c>
      <c r="F41" s="103" t="n">
        <f aca="false">SUMIFS(נתונים_שטוחים!AA39:AL39,נתונים_שטוחים!$AA$3:$AL$3,"&lt;="&amp;$F$2)</f>
        <v>0</v>
      </c>
      <c r="G41" s="104" t="n">
        <f aca="false">IFERROR(F41/E41-1,"-")</f>
        <v>-1</v>
      </c>
      <c r="H41" s="103" t="n">
        <f aca="false">F41-E41</f>
        <v>-248.59</v>
      </c>
      <c r="I41" s="103" t="n">
        <f aca="false">IFERROR(INDEX('תקציב  '!$A:$AW,MATCH($B41,'תקציב  '!$C:$C,0),INDEX(נתונים_שטוחים!$AP$2:$AP$13,$F$2)),"-")</f>
        <v>600000</v>
      </c>
      <c r="J41" s="104" t="n">
        <f aca="false">IFERROR(F41/I41-1,"-")</f>
        <v>-1</v>
      </c>
      <c r="K41" s="103" t="n">
        <f aca="false">IFERROR(F41-I41,"-")</f>
        <v>-600000</v>
      </c>
      <c r="L41" s="103" t="n">
        <f aca="false">IF($F$2&lt;7,"-",IFERROR(INDEX('תקציב  '!$A:$AW,MATCH($B41,'תקציב  '!$C:$C,0),INDEX(נתונים_שטוחים!$AQ$2:$AQ$13,$F$2)),"-"))</f>
        <v>0</v>
      </c>
      <c r="M41" s="104" t="str">
        <f aca="false">IF($F$2&lt;7,"-",IFERROR(F41/L41-1,"-"))</f>
        <v>-</v>
      </c>
      <c r="N41" s="103" t="n">
        <f aca="false">IF($F$2&lt;7,"-",IFERROR(F41-L41,"-"))</f>
        <v>0</v>
      </c>
    </row>
    <row r="42" customFormat="false" ht="15" hidden="false" customHeight="true" outlineLevel="0" collapsed="false">
      <c r="A42" s="100" t="n">
        <v>303</v>
      </c>
      <c r="B42" s="101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SUMIFS(נתונים_שטוחים!C40:N40,נתונים_שטוחים!$C$3:$N$3,"&lt;="&amp;$F$2)</f>
        <v>0</v>
      </c>
      <c r="E42" s="103" t="n">
        <f aca="false">SUMIFS(נתונים_שטוחים!O40:Z40,נתונים_שטוחים!$O$3:$Z$3,"&lt;="&amp;$F$2)</f>
        <v>0</v>
      </c>
      <c r="F42" s="103" t="n">
        <f aca="false">SUMIFS(נתונים_שטוחים!AA40:AL40,נתונים_שטוחים!$AA$3:$AL$3,"&lt;="&amp;$F$2)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'!$A:$AW,MATCH($B42,'תקציב  '!$C:$C,0),INDEX(נתונים_שטוחים!$AP$2:$AP$13,$F$2)),"-")</f>
        <v>400000</v>
      </c>
      <c r="J42" s="104" t="n">
        <f aca="false">IFERROR(F42/I42-1,"-")</f>
        <v>-1</v>
      </c>
      <c r="K42" s="103" t="n">
        <f aca="false">IFERROR(F42-I42,"-")</f>
        <v>-400000</v>
      </c>
      <c r="L42" s="103" t="n">
        <f aca="false">IF($F$2&lt;7,"-",IFERROR(INDEX('תקציב  '!$A:$AW,MATCH($B42,'תקציב  '!$C:$C,0),INDEX(נתונים_שטוחים!$AQ$2:$AQ$13,$F$2)),"-"))</f>
        <v>100000</v>
      </c>
      <c r="M42" s="104" t="n">
        <f aca="false">IF($F$2&lt;7,"-",IFERROR(F42/L42-1,"-"))</f>
        <v>-1</v>
      </c>
      <c r="N42" s="103" t="n">
        <f aca="false">IF($F$2&lt;7,"-",IFERROR(F42-L42,"-"))</f>
        <v>-100000</v>
      </c>
    </row>
    <row r="43" customFormat="false" ht="15" hidden="false" customHeight="true" outlineLevel="0" collapsed="false">
      <c r="A43" s="100" t="n">
        <v>305</v>
      </c>
      <c r="B43" s="101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SUMIFS(נתונים_שטוחים!C41:N41,נתונים_שטוחים!$C$3:$N$3,"&lt;="&amp;$F$2)</f>
        <v>0</v>
      </c>
      <c r="E43" s="103" t="n">
        <f aca="false">SUMIFS(נתונים_שטוחים!O41:Z41,נתונים_שטוחים!$O$3:$Z$3,"&lt;="&amp;$F$2)</f>
        <v>0</v>
      </c>
      <c r="F43" s="103" t="n">
        <f aca="false">SUMIFS(נתונים_שטוחים!AA41:AL41,נתונים_שטוחים!$AA$3:$AL$3,"&lt;="&amp;$F$2)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'!$A:$AW,MATCH($B43,'תקציב  '!$C:$C,0),INDEX(נתונים_שטוחים!$AP$2:$AP$13,$F$2)),"-")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IF($F$2&lt;7,"-",IFERROR(INDEX('תקציב  '!$A:$AW,MATCH($B43,'תקציב  '!$C:$C,0),INDEX(נתונים_שטוחים!$AQ$2:$AQ$13,$F$2)),"-"))</f>
        <v>-</v>
      </c>
      <c r="M43" s="104" t="str">
        <f aca="false">IF($F$2&lt;7,"-",IFERROR(F43/L43-1,"-"))</f>
        <v>-</v>
      </c>
      <c r="N43" s="103" t="str">
        <f aca="false">IF($F$2&lt;7,"-",IFERROR(F43-L43,"-"))</f>
        <v>-</v>
      </c>
    </row>
    <row r="44" customFormat="false" ht="15" hidden="false" customHeight="true" outlineLevel="0" collapsed="false">
      <c r="A44" s="100" t="n">
        <v>302</v>
      </c>
      <c r="B44" s="101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SUMIFS(נתונים_שטוחים!C42:N42,נתונים_שטוחים!$C$3:$N$3,"&lt;="&amp;$F$2)</f>
        <v>0</v>
      </c>
      <c r="E44" s="103" t="n">
        <f aca="false">SUMIFS(נתונים_שטוחים!O42:Z42,נתונים_שטוחים!$O$3:$Z$3,"&lt;="&amp;$F$2)</f>
        <v>0</v>
      </c>
      <c r="F44" s="103" t="n">
        <f aca="false">SUMIFS(נתונים_שטוחים!AA42:AL42,נתונים_שטוחים!$AA$3:$AL$3,"&lt;="&amp;$F$2)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'!$A:$AW,MATCH($B44,'תקציב  '!$C:$C,0),INDEX(נתונים_שטוחים!$AP$2:$AP$13,$F$2)),"-")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IF($F$2&lt;7,"-",IFERROR(INDEX('תקציב  '!$A:$AW,MATCH($B44,'תקציב  '!$C:$C,0),INDEX(נתונים_שטוחים!$AQ$2:$AQ$13,$F$2)),"-"))</f>
        <v>-</v>
      </c>
      <c r="M44" s="104" t="str">
        <f aca="false">IF($F$2&lt;7,"-",IFERROR(F44/L44-1,"-"))</f>
        <v>-</v>
      </c>
      <c r="N44" s="103" t="str">
        <f aca="false">IF($F$2&lt;7,"-",IFERROR(F44-L44,"-"))</f>
        <v>-</v>
      </c>
    </row>
    <row r="45" customFormat="false" ht="15" hidden="false" customHeight="true" outlineLevel="0" collapsed="false">
      <c r="A45" s="105"/>
      <c r="B45" s="106" t="s">
        <v>98</v>
      </c>
      <c r="C45" s="107"/>
      <c r="D45" s="108" t="n">
        <f aca="false">SUM(D23:D44)</f>
        <v>7648509.62</v>
      </c>
      <c r="E45" s="108" t="n">
        <f aca="false">SUM(E23:E44)</f>
        <v>5973375.8</v>
      </c>
      <c r="F45" s="108" t="n">
        <f aca="false">SUM(F23:F44)</f>
        <v>4050561.83</v>
      </c>
      <c r="G45" s="109" t="n">
        <f aca="false">IFERROR(F45/E45-1,"-")</f>
        <v>-0.321897371667123</v>
      </c>
      <c r="H45" s="108" t="n">
        <f aca="false">SUM(H23:H44)</f>
        <v>-1922813.97</v>
      </c>
      <c r="I45" s="108" t="n">
        <f aca="false">SUM(I23:I44)</f>
        <v>9781372.5132875</v>
      </c>
      <c r="J45" s="109" t="n">
        <f aca="false">IFERROR(F45/I45-1,"-")</f>
        <v>-0.585890239381282</v>
      </c>
      <c r="K45" s="108" t="n">
        <f aca="false">IFERROR(F45-I45,"-")</f>
        <v>-5730810.6832875</v>
      </c>
      <c r="L45" s="108" t="n">
        <f aca="false">IF($F$2&lt;7,"-",SUMIF(L23:L44,"&lt;&gt;-"))</f>
        <v>6772380.94</v>
      </c>
      <c r="M45" s="109" t="n">
        <f aca="false">IF($F$2&lt;7,"-",IFERROR(F45/L45-1,"-"))</f>
        <v>-0.401899883381339</v>
      </c>
      <c r="N45" s="108" t="n">
        <f aca="false">IF($F$2&lt;7,"-",IFERROR(F45-L45,"-"))</f>
        <v>-2721819.11</v>
      </c>
    </row>
    <row r="46" customFormat="false" ht="15" hidden="false" customHeight="true" outlineLevel="0" collapsed="false">
      <c r="A46" s="110"/>
      <c r="B46" s="111" t="s">
        <v>116</v>
      </c>
      <c r="C46" s="112"/>
      <c r="D46" s="113" t="n">
        <f aca="false">SUM(D5:D18)+SUM(D20:D21)+SUM(D23:D44)</f>
        <v>25012791.934</v>
      </c>
      <c r="E46" s="113" t="n">
        <f aca="false">SUM(E5:E18)+SUM(E20:E21)+SUM(E23:E44)</f>
        <v>24119651.232</v>
      </c>
      <c r="F46" s="113" t="n">
        <f aca="false">SUM(F5:F18)+SUM(F20:F21)+SUM(F23:F44)</f>
        <v>19344300.703</v>
      </c>
      <c r="G46" s="114" t="n">
        <f aca="false">IFERROR(F46/E46-1,"-")</f>
        <v>-0.197985886407199</v>
      </c>
      <c r="H46" s="113" t="n">
        <f aca="false">SUM(H5:H18)+SUM(H20:H21)+SUM(H23:H44)</f>
        <v>-4775350.52900001</v>
      </c>
      <c r="I46" s="113" t="n">
        <f aca="false">SUM(I5:I18)+SUM(I20:I21)+SUM(I23:I44)</f>
        <v>41241479.2126095</v>
      </c>
      <c r="J46" s="114" t="n">
        <f aca="false">IFERROR(F46/I46-1,"-")</f>
        <v>-0.530950366661787</v>
      </c>
      <c r="K46" s="113" t="n">
        <f aca="false">IFERROR(F46-I46,"-")</f>
        <v>-21897178.5096095</v>
      </c>
      <c r="L46" s="113" t="n">
        <f aca="false">IF($F$2&lt;7,"-",SUMIF(L5:L18,"&lt;&gt;-")+SUMIF(L20:L21,"&lt;&gt;-")+SUMIF(L23:L44,"&lt;&gt;-"))</f>
        <v>31924454.0205594</v>
      </c>
      <c r="M46" s="114" t="n">
        <f aca="false">IF($F$2&lt;7,"-",IFERROR(F46/L46-1,"-"))</f>
        <v>-0.394060092913655</v>
      </c>
      <c r="N46" s="113" t="n">
        <f aca="false">IF($F$2&lt;7,"-",IFERROR(F46-L46,"-"))</f>
        <v>-12580153.3175593</v>
      </c>
    </row>
    <row r="47" customFormat="false" ht="15" hidden="false" customHeight="true" outlineLevel="0" collapsed="false">
      <c r="A47" s="115"/>
      <c r="B47" s="92" t="s">
        <v>117</v>
      </c>
      <c r="D47" s="116" t="n">
        <f aca="false">D45/D46</f>
        <v>0.305783922090015</v>
      </c>
      <c r="E47" s="116" t="n">
        <f aca="false">E45/E46</f>
        <v>0.247655977383081</v>
      </c>
      <c r="F47" s="116" t="n">
        <f aca="false">F45/F46</f>
        <v>0.20939303478527</v>
      </c>
    </row>
  </sheetData>
  <mergeCells count="1">
    <mergeCell ref="A1:N1"/>
  </mergeCells>
  <dataValidations count="1">
    <dataValidation allowBlank="false" error="בחר חודש מהרשימה" errorStyle="stop" operator="between" prompt="בחר חודש (ינואר עד דצמבר)" showDropDown="false" showErrorMessage="false" showInputMessage="false" sqref="D2" type="list">
      <formula1>"ינואר,פברואר,מרץ,אפריל,מאי,יוני,יולי,אוגוסט,ספטמבר,אוקטובר,נובמבר,דצמבר"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4" activeCellId="0" sqref="B34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9.87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11"/>
    <col collapsed="false" customWidth="true" hidden="false" outlineLevel="0" max="11" min="11" style="1" width="14"/>
    <col collapsed="false" customWidth="true" hidden="false" outlineLevel="0" max="12" min="12" style="1" width="9.87"/>
    <col collapsed="false" customWidth="true" hidden="false" outlineLevel="0" max="13" min="13" style="1" width="11"/>
    <col collapsed="false" customWidth="true" hidden="false" outlineLevel="0" max="14" min="14" style="1" width="14"/>
  </cols>
  <sheetData>
    <row r="1" customFormat="false" ht="16.5" hidden="false" customHeight="true" outlineLevel="0" collapsed="false">
      <c r="A1" s="91" t="s">
        <v>118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5" t="s">
        <v>119</v>
      </c>
      <c r="D2" s="93" t="s">
        <v>120</v>
      </c>
      <c r="E2" s="94" t="s">
        <v>121</v>
      </c>
      <c r="F2" s="94" t="n">
        <f aca="false">VALUE(MID($D$2,2,1))</f>
        <v>4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117"/>
    </row>
    <row r="4" customFormat="false" ht="15" hidden="false" customHeight="true" outlineLevel="0" collapsed="false">
      <c r="A4" s="98" t="s">
        <v>105</v>
      </c>
      <c r="B4" s="98" t="s">
        <v>106</v>
      </c>
      <c r="C4" s="98" t="s">
        <v>107</v>
      </c>
      <c r="D4" s="98" t="s">
        <v>122</v>
      </c>
      <c r="E4" s="98" t="s">
        <v>123</v>
      </c>
      <c r="F4" s="98" t="s">
        <v>124</v>
      </c>
      <c r="G4" s="98" t="s">
        <v>108</v>
      </c>
      <c r="H4" s="98" t="s">
        <v>109</v>
      </c>
      <c r="I4" s="98" t="s">
        <v>125</v>
      </c>
      <c r="J4" s="98" t="s">
        <v>111</v>
      </c>
      <c r="K4" s="98" t="s">
        <v>112</v>
      </c>
      <c r="L4" s="98" t="s">
        <v>126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2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SUMIFS(נתונים_שטוחים!C5:N5,נתונים_שטוחים!$C$4:$N$4,$F$2)</f>
        <v>501891.94</v>
      </c>
      <c r="E5" s="103" t="n">
        <f aca="false">SUMIFS(נתונים_שטוחים!O5:Z5,נתונים_שטוחים!$O$4:$Z$4,$F$2)</f>
        <v>397235.16</v>
      </c>
      <c r="F5" s="103" t="n">
        <f aca="false">SUMIFS(נתונים_שטוחים!AA5:AL5,נתונים_שטוחים!$AA$4:$AL$4,$F$2)</f>
        <v>20995.2</v>
      </c>
      <c r="G5" s="104" t="n">
        <f aca="false">IFERROR(F5/E5-1,"-")</f>
        <v>-0.947146672515092</v>
      </c>
      <c r="H5" s="103" t="n">
        <f aca="false">F5-E5</f>
        <v>-376239.96</v>
      </c>
      <c r="I5" s="103" t="n">
        <f aca="false">IFERROR(INDEX('תקציב  '!$A:$P,MATCH($B5,'תקציב  '!$C:$C,0),5+3*($F$2-1))+INDEX('תקציב  '!$A:$P,MATCH($B5,'תקציב  '!$C:$C,0),6+3*($F$2-1))+INDEX('תקציב  '!$A:$P,MATCH($B5,'תקציב  '!$C:$C,0),7+3*($F$2-1)),"-")</f>
        <v>705238.095238096</v>
      </c>
      <c r="J5" s="104" t="n">
        <f aca="false">IFERROR(F5/I5-1,"-")</f>
        <v>-0.970229628629305</v>
      </c>
      <c r="K5" s="103" t="n">
        <f aca="false">IFERROR(F5-I5,"-")</f>
        <v>-684242.895238096</v>
      </c>
      <c r="L5" s="103" t="n">
        <f aca="false">IF($F$2&lt;3,"-",IFERROR(INDEX('תקציב  '!$A:$AN,MATCH($B5,'תקציב  '!$C:$C,0),35+3*($F$2-3))+INDEX('תקציב  '!$A:$AN,MATCH($B5,'תקציב  '!$C:$C,0),36+3*($F$2-3))+INDEX('תקציב  '!$A:$AN,MATCH($B5,'תקציב  '!$C:$C,0),37+3*($F$2-3)),"-"))</f>
        <v>600000</v>
      </c>
      <c r="M5" s="104" t="n">
        <f aca="false">IF($F$2&lt;3,"-",IFERROR(F5/L5-1,"-"))</f>
        <v>-0.965008</v>
      </c>
      <c r="N5" s="103" t="n">
        <f aca="false">IF($F$2&lt;3,"-",IFERROR(F5-L5,"-"))</f>
        <v>-579004.8</v>
      </c>
    </row>
    <row r="6" customFormat="false" ht="15" hidden="false" customHeight="true" outlineLevel="0" collapsed="false">
      <c r="A6" s="100" t="n">
        <v>1</v>
      </c>
      <c r="B6" s="102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SUMIFS(נתונים_שטוחים!C6:N6,נתונים_שטוחים!$C$4:$N$4,$F$2)</f>
        <v>1256467.849</v>
      </c>
      <c r="E6" s="103" t="n">
        <f aca="false">SUMIFS(נתונים_שטוחים!O6:Z6,נתונים_שטוחים!$O$4:$Z$4,$F$2)</f>
        <v>1377947.48</v>
      </c>
      <c r="F6" s="103" t="n">
        <f aca="false">SUMIFS(נתונים_שטוחים!AA6:AL6,נתונים_שטוחים!$AA$4:$AL$4,$F$2)</f>
        <v>0</v>
      </c>
      <c r="G6" s="104" t="n">
        <f aca="false">IFERROR(F6/E6-1,"-")</f>
        <v>-1</v>
      </c>
      <c r="H6" s="103" t="n">
        <f aca="false">F6-E6</f>
        <v>-1377947.48</v>
      </c>
      <c r="I6" s="103" t="n">
        <f aca="false">IFERROR(INDEX('תקציב  '!$A:$P,MATCH($B6,'תקציב  '!$C:$C,0),5+3*($F$2-1))+INDEX('תקציב  '!$A:$P,MATCH($B6,'תקציב  '!$C:$C,0),6+3*($F$2-1))+INDEX('תקציב  '!$A:$P,MATCH($B6,'תקציב  '!$C:$C,0),7+3*($F$2-1)),"-")</f>
        <v>1720095.23809524</v>
      </c>
      <c r="J6" s="104" t="n">
        <f aca="false">IFERROR(F6/I6-1,"-")</f>
        <v>-1</v>
      </c>
      <c r="K6" s="103" t="n">
        <f aca="false">IFERROR(F6-I6,"-")</f>
        <v>-1720095.23809524</v>
      </c>
      <c r="L6" s="103" t="n">
        <f aca="false">IF($F$2&lt;3,"-",IFERROR(INDEX('תקציב  '!$A:$AN,MATCH($B6,'תקציב  '!$C:$C,0),35+3*($F$2-3))+INDEX('תקציב  '!$A:$AN,MATCH($B6,'תקציב  '!$C:$C,0),36+3*($F$2-3))+INDEX('תקציב  '!$A:$AN,MATCH($B6,'תקציב  '!$C:$C,0),37+3*($F$2-3)),"-"))</f>
        <v>1650000</v>
      </c>
      <c r="M6" s="104" t="n">
        <f aca="false">IF($F$2&lt;3,"-",IFERROR(F6/L6-1,"-"))</f>
        <v>-1</v>
      </c>
      <c r="N6" s="103" t="n">
        <f aca="false">IF($F$2&lt;3,"-",IFERROR(F6-L6,"-"))</f>
        <v>-1650000</v>
      </c>
    </row>
    <row r="7" customFormat="false" ht="15" hidden="false" customHeight="true" outlineLevel="0" collapsed="false">
      <c r="A7" s="100" t="n">
        <v>2</v>
      </c>
      <c r="B7" s="102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SUMIFS(נתונים_שטוחים!C7:N7,נתונים_שטוחים!$C$4:$N$4,$F$2)</f>
        <v>249549.937</v>
      </c>
      <c r="E7" s="103" t="n">
        <f aca="false">SUMIFS(נתונים_שטוחים!O7:Z7,נתונים_שטוחים!$O$4:$Z$4,$F$2)</f>
        <v>208571.09</v>
      </c>
      <c r="F7" s="103" t="n">
        <f aca="false">SUMIFS(נתונים_שטוחים!AA7:AL7,נתונים_שטוחים!$AA$4:$AL$4,$F$2)</f>
        <v>0</v>
      </c>
      <c r="G7" s="104" t="n">
        <f aca="false">IFERROR(F7/E7-1,"-")</f>
        <v>-1</v>
      </c>
      <c r="H7" s="103" t="n">
        <f aca="false">F7-E7</f>
        <v>-208571.09</v>
      </c>
      <c r="I7" s="103" t="n">
        <f aca="false">IFERROR(INDEX('תקציב  '!$A:$P,MATCH($B7,'תקציב  '!$C:$C,0),5+3*($F$2-1))+INDEX('תקציב  '!$A:$P,MATCH($B7,'תקציב  '!$C:$C,0),6+3*($F$2-1))+INDEX('תקציב  '!$A:$P,MATCH($B7,'תקציב  '!$C:$C,0),7+3*($F$2-1)),"-")</f>
        <v>235714.285714286</v>
      </c>
      <c r="J7" s="104" t="n">
        <f aca="false">IFERROR(F7/I7-1,"-")</f>
        <v>-1</v>
      </c>
      <c r="K7" s="103" t="n">
        <f aca="false">IFERROR(F7-I7,"-")</f>
        <v>-235714.285714286</v>
      </c>
      <c r="L7" s="103" t="n">
        <f aca="false">IF($F$2&lt;3,"-",IFERROR(INDEX('תקציב  '!$A:$AN,MATCH($B7,'תקציב  '!$C:$C,0),35+3*($F$2-3))+INDEX('תקציב  '!$A:$AN,MATCH($B7,'תקציב  '!$C:$C,0),36+3*($F$2-3))+INDEX('תקציב  '!$A:$AN,MATCH($B7,'תקציב  '!$C:$C,0),37+3*($F$2-3)),"-"))</f>
        <v>300000</v>
      </c>
      <c r="M7" s="104" t="n">
        <f aca="false">IF($F$2&lt;3,"-",IFERROR(F7/L7-1,"-"))</f>
        <v>-1</v>
      </c>
      <c r="N7" s="103" t="n">
        <f aca="false">IF($F$2&lt;3,"-",IFERROR(F7-L7,"-"))</f>
        <v>-300000</v>
      </c>
    </row>
    <row r="8" customFormat="false" ht="15" hidden="false" customHeight="true" outlineLevel="0" collapsed="false">
      <c r="A8" s="100" t="n">
        <v>3</v>
      </c>
      <c r="B8" s="102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SUMIFS(נתונים_שטוחים!C8:N8,נתונים_שטוחים!$C$4:$N$4,$F$2)</f>
        <v>423029.488</v>
      </c>
      <c r="E8" s="103" t="n">
        <f aca="false">SUMIFS(נתונים_שטוחים!O8:Z8,נתונים_שטוחים!$O$4:$Z$4,$F$2)</f>
        <v>462437.99</v>
      </c>
      <c r="F8" s="103" t="n">
        <f aca="false">SUMIFS(נתונים_שטוחים!AA8:AL8,נתונים_שטוחים!$AA$4:$AL$4,$F$2)</f>
        <v>0</v>
      </c>
      <c r="G8" s="104" t="n">
        <f aca="false">IFERROR(F8/E8-1,"-")</f>
        <v>-1</v>
      </c>
      <c r="H8" s="103" t="n">
        <f aca="false">F8-E8</f>
        <v>-462437.99</v>
      </c>
      <c r="I8" s="103" t="n">
        <f aca="false">IFERROR(INDEX('תקציב  '!$A:$P,MATCH($B8,'תקציב  '!$C:$C,0),5+3*($F$2-1))+INDEX('תקציב  '!$A:$P,MATCH($B8,'תקציב  '!$C:$C,0),6+3*($F$2-1))+INDEX('תקציב  '!$A:$P,MATCH($B8,'תקציב  '!$C:$C,0),7+3*($F$2-1)),"-")</f>
        <v>506619.047619047</v>
      </c>
      <c r="J8" s="104" t="n">
        <f aca="false">IFERROR(F8/I8-1,"-")</f>
        <v>-1</v>
      </c>
      <c r="K8" s="103" t="n">
        <f aca="false">IFERROR(F8-I8,"-")</f>
        <v>-506619.047619047</v>
      </c>
      <c r="L8" s="103" t="n">
        <f aca="false">IF($F$2&lt;3,"-",IFERROR(INDEX('תקציב  '!$A:$AN,MATCH($B8,'תקציב  '!$C:$C,0),35+3*($F$2-3))+INDEX('תקציב  '!$A:$AN,MATCH($B8,'תקציב  '!$C:$C,0),36+3*($F$2-3))+INDEX('תקציב  '!$A:$AN,MATCH($B8,'תקציב  '!$C:$C,0),37+3*($F$2-3)),"-"))</f>
        <v>600000</v>
      </c>
      <c r="M8" s="104" t="n">
        <f aca="false">IF($F$2&lt;3,"-",IFERROR(F8/L8-1,"-"))</f>
        <v>-1</v>
      </c>
      <c r="N8" s="103" t="n">
        <f aca="false">IF($F$2&lt;3,"-",IFERROR(F8-L8,"-"))</f>
        <v>-600000</v>
      </c>
    </row>
    <row r="9" customFormat="false" ht="15" hidden="false" customHeight="true" outlineLevel="0" collapsed="false">
      <c r="A9" s="100" t="n">
        <v>112</v>
      </c>
      <c r="B9" s="102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SUMIFS(נתונים_שטוחים!C9:N9,נתונים_שטוחים!$C$4:$N$4,$F$2)</f>
        <v>988830.3</v>
      </c>
      <c r="E9" s="103" t="n">
        <f aca="false">SUMIFS(נתונים_שטוחים!O9:Z9,נתונים_שטוחים!$O$4:$Z$4,$F$2)</f>
        <v>860724.67</v>
      </c>
      <c r="F9" s="103" t="n">
        <f aca="false">SUMIFS(נתונים_שטוחים!AA9:AL9,נתונים_שטוחים!$AA$4:$AL$4,$F$2)</f>
        <v>0</v>
      </c>
      <c r="G9" s="104" t="n">
        <f aca="false">IFERROR(F9/E9-1,"-")</f>
        <v>-1</v>
      </c>
      <c r="H9" s="103" t="n">
        <f aca="false">F9-E9</f>
        <v>-860724.67</v>
      </c>
      <c r="I9" s="103" t="n">
        <f aca="false">IFERROR(INDEX('תקציב  '!$A:$P,MATCH($B9,'תקציב  '!$C:$C,0),5+3*($F$2-1))+INDEX('תקציב  '!$A:$P,MATCH($B9,'תקציב  '!$C:$C,0),6+3*($F$2-1))+INDEX('תקציב  '!$A:$P,MATCH($B9,'תקציב  '!$C:$C,0),7+3*($F$2-1)),"-")</f>
        <v>1096000</v>
      </c>
      <c r="J9" s="104" t="n">
        <f aca="false">IFERROR(F9/I9-1,"-")</f>
        <v>-1</v>
      </c>
      <c r="K9" s="103" t="n">
        <f aca="false">IFERROR(F9-I9,"-")</f>
        <v>-1096000</v>
      </c>
      <c r="L9" s="103" t="n">
        <f aca="false">IF($F$2&lt;3,"-",IFERROR(INDEX('תקציב  '!$A:$AN,MATCH($B9,'תקציב  '!$C:$C,0),35+3*($F$2-3))+INDEX('תקציב  '!$A:$AN,MATCH($B9,'תקציב  '!$C:$C,0),36+3*($F$2-3))+INDEX('תקציב  '!$A:$AN,MATCH($B9,'תקציב  '!$C:$C,0),37+3*($F$2-3)),"-"))</f>
        <v>990000</v>
      </c>
      <c r="M9" s="104" t="n">
        <f aca="false">IF($F$2&lt;3,"-",IFERROR(F9/L9-1,"-"))</f>
        <v>-1</v>
      </c>
      <c r="N9" s="103" t="n">
        <f aca="false">IF($F$2&lt;3,"-",IFERROR(F9-L9,"-"))</f>
        <v>-990000</v>
      </c>
    </row>
    <row r="10" customFormat="false" ht="15" hidden="false" customHeight="true" outlineLevel="0" collapsed="false">
      <c r="A10" s="100" t="n">
        <v>113</v>
      </c>
      <c r="B10" s="102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SUMIFS(נתונים_שטוחים!C10:N10,נתונים_שטוחים!$C$4:$N$4,$F$2)</f>
        <v>175743.18</v>
      </c>
      <c r="E10" s="103" t="n">
        <f aca="false">SUMIFS(נתונים_שטוחים!O10:Z10,נתונים_שטוחים!$O$4:$Z$4,$F$2)</f>
        <v>198828.06</v>
      </c>
      <c r="F10" s="103" t="n">
        <f aca="false">SUMIFS(נתונים_שטוחים!AA10:AL10,נתונים_שטוחים!$AA$4:$AL$4,$F$2)</f>
        <v>0</v>
      </c>
      <c r="G10" s="104" t="n">
        <f aca="false">IFERROR(F10/E10-1,"-")</f>
        <v>-1</v>
      </c>
      <c r="H10" s="103" t="n">
        <f aca="false">F10-E10</f>
        <v>-198828.06</v>
      </c>
      <c r="I10" s="103" t="n">
        <f aca="false">IFERROR(INDEX('תקציב  '!$A:$P,MATCH($B10,'תקציב  '!$C:$C,0),5+3*($F$2-1))+INDEX('תקציב  '!$A:$P,MATCH($B10,'תקציב  '!$C:$C,0),6+3*($F$2-1))+INDEX('תקציב  '!$A:$P,MATCH($B10,'תקציב  '!$C:$C,0),7+3*($F$2-1)),"-")</f>
        <v>301904.761904761</v>
      </c>
      <c r="J10" s="104" t="n">
        <f aca="false">IFERROR(F10/I10-1,"-")</f>
        <v>-1</v>
      </c>
      <c r="K10" s="103" t="n">
        <f aca="false">IFERROR(F10-I10,"-")</f>
        <v>-301904.761904761</v>
      </c>
      <c r="L10" s="103" t="n">
        <f aca="false">IF($F$2&lt;3,"-",IFERROR(INDEX('תקציב  '!$A:$AN,MATCH($B10,'תקציב  '!$C:$C,0),35+3*($F$2-3))+INDEX('תקציב  '!$A:$AN,MATCH($B10,'תקציב  '!$C:$C,0),36+3*($F$2-3))+INDEX('תקציב  '!$A:$AN,MATCH($B10,'תקציב  '!$C:$C,0),37+3*($F$2-3)),"-"))</f>
        <v>300000</v>
      </c>
      <c r="M10" s="104" t="n">
        <f aca="false">IF($F$2&lt;3,"-",IFERROR(F10/L10-1,"-"))</f>
        <v>-1</v>
      </c>
      <c r="N10" s="103" t="n">
        <f aca="false">IF($F$2&lt;3,"-",IFERROR(F10-L10,"-"))</f>
        <v>-300000</v>
      </c>
    </row>
    <row r="11" customFormat="false" ht="15" hidden="false" customHeight="true" outlineLevel="0" collapsed="false">
      <c r="A11" s="100" t="n">
        <v>4</v>
      </c>
      <c r="B11" s="102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SUMIFS(נתונים_שטוחים!C11:N11,נתונים_שטוחים!$C$4:$N$4,$F$2)</f>
        <v>0</v>
      </c>
      <c r="E11" s="103" t="n">
        <f aca="false">SUMIFS(נתונים_שטוחים!O11:Z11,נתונים_שטוחים!$O$4:$Z$4,$F$2)</f>
        <v>0</v>
      </c>
      <c r="F11" s="103" t="n">
        <f aca="false">SUMIFS(נתונים_שטוחים!AA11:AL11,נתונים_שטוחים!$AA$4:$AL$4,$F$2)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'!$A:$P,MATCH($B11,'תקציב  '!$C:$C,0),5+3*($F$2-1))+INDEX('תקציב  '!$A:$P,MATCH($B11,'תקציב  '!$C:$C,0),6+3*($F$2-1))+INDEX('תקציב  '!$A:$P,MATCH($B11,'תקציב  '!$C:$C,0),7+3*($F$2-1)),"-")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IF($F$2&lt;3,"-",IFERROR(INDEX('תקציב  '!$A:$AN,MATCH($B11,'תקציב  '!$C:$C,0),35+3*($F$2-3))+INDEX('תקציב  '!$A:$AN,MATCH($B11,'תקציב  '!$C:$C,0),36+3*($F$2-3))+INDEX('תקציב  '!$A:$AN,MATCH($B11,'תקציב  '!$C:$C,0),37+3*($F$2-3)),"-"))</f>
        <v>-</v>
      </c>
      <c r="M11" s="104" t="str">
        <f aca="false">IF($F$2&lt;3,"-",IFERROR(F11/L11-1,"-"))</f>
        <v>-</v>
      </c>
      <c r="N11" s="103" t="str">
        <f aca="false">IF($F$2&lt;3,"-",IFERROR(F11-L11,"-"))</f>
        <v>-</v>
      </c>
    </row>
    <row r="12" customFormat="false" ht="15" hidden="false" customHeight="true" outlineLevel="0" collapsed="false">
      <c r="A12" s="100" t="n">
        <v>102</v>
      </c>
      <c r="B12" s="102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SUMIFS(נתונים_שטוחים!C12:N12,נתונים_שטוחים!$C$4:$N$4,$F$2)</f>
        <v>184800.08</v>
      </c>
      <c r="E12" s="103" t="n">
        <f aca="false">SUMIFS(נתונים_שטוחים!O12:Z12,נתונים_שטוחים!$O$4:$Z$4,$F$2)</f>
        <v>223581.68</v>
      </c>
      <c r="F12" s="103" t="n">
        <f aca="false">SUMIFS(נתונים_שטוחים!AA12:AL12,נתונים_שטוחים!$AA$4:$AL$4,$F$2)</f>
        <v>0</v>
      </c>
      <c r="G12" s="104" t="n">
        <f aca="false">IFERROR(F12/E12-1,"-")</f>
        <v>-1</v>
      </c>
      <c r="H12" s="103" t="n">
        <f aca="false">F12-E12</f>
        <v>-223581.68</v>
      </c>
      <c r="I12" s="103" t="n">
        <f aca="false">IFERROR(INDEX('תקציב  '!$A:$P,MATCH($B12,'תקציב  '!$C:$C,0),5+3*($F$2-1))+INDEX('תקציב  '!$A:$P,MATCH($B12,'תקציב  '!$C:$C,0),6+3*($F$2-1))+INDEX('תקציב  '!$A:$P,MATCH($B12,'תקציב  '!$C:$C,0),7+3*($F$2-1)),"-")</f>
        <v>528261.904761905</v>
      </c>
      <c r="J12" s="104" t="n">
        <f aca="false">IFERROR(F12/I12-1,"-")</f>
        <v>-1</v>
      </c>
      <c r="K12" s="103" t="n">
        <f aca="false">IFERROR(F12-I12,"-")</f>
        <v>-528261.904761905</v>
      </c>
      <c r="L12" s="103" t="n">
        <f aca="false">IF($F$2&lt;3,"-",IFERROR(INDEX('תקציב  '!$A:$AN,MATCH($B12,'תקציב  '!$C:$C,0),35+3*($F$2-3))+INDEX('תקציב  '!$A:$AN,MATCH($B12,'תקציב  '!$C:$C,0),36+3*($F$2-3))+INDEX('תקציב  '!$A:$AN,MATCH($B12,'תקציב  '!$C:$C,0),37+3*($F$2-3)),"-"))</f>
        <v>300000</v>
      </c>
      <c r="M12" s="104" t="n">
        <f aca="false">IF($F$2&lt;3,"-",IFERROR(F12/L12-1,"-"))</f>
        <v>-1</v>
      </c>
      <c r="N12" s="103" t="n">
        <f aca="false">IF($F$2&lt;3,"-",IFERROR(F12-L12,"-"))</f>
        <v>-300000</v>
      </c>
    </row>
    <row r="13" customFormat="false" ht="15" hidden="false" customHeight="true" outlineLevel="0" collapsed="false">
      <c r="A13" s="100" t="n">
        <v>101</v>
      </c>
      <c r="B13" s="102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SUMIFS(נתונים_שטוחים!C13:N13,נתונים_שטוחים!$C$4:$N$4,$F$2)</f>
        <v>38609.45</v>
      </c>
      <c r="E13" s="103" t="n">
        <f aca="false">SUMIFS(נתונים_שטוחים!O13:Z13,נתונים_שטוחים!$O$4:$Z$4,$F$2)</f>
        <v>48810.03</v>
      </c>
      <c r="F13" s="103" t="n">
        <f aca="false">SUMIFS(נתונים_שטוחים!AA13:AL13,נתונים_שטוחים!$AA$4:$AL$4,$F$2)</f>
        <v>0</v>
      </c>
      <c r="G13" s="104" t="n">
        <f aca="false">IFERROR(F13/E13-1,"-")</f>
        <v>-1</v>
      </c>
      <c r="H13" s="103" t="n">
        <f aca="false">F13-E13</f>
        <v>-48810.03</v>
      </c>
      <c r="I13" s="103" t="n">
        <f aca="false">IFERROR(INDEX('תקציב  '!$A:$P,MATCH($B13,'תקציב  '!$C:$C,0),5+3*($F$2-1))+INDEX('תקציב  '!$A:$P,MATCH($B13,'תקציב  '!$C:$C,0),6+3*($F$2-1))+INDEX('תקציב  '!$A:$P,MATCH($B13,'תקציב  '!$C:$C,0),7+3*($F$2-1)),"-")</f>
        <v>49761.9047619047</v>
      </c>
      <c r="J13" s="104" t="n">
        <f aca="false">IFERROR(F13/I13-1,"-")</f>
        <v>-1</v>
      </c>
      <c r="K13" s="103" t="n">
        <f aca="false">IFERROR(F13-I13,"-")</f>
        <v>-49761.9047619047</v>
      </c>
      <c r="L13" s="103" t="n">
        <f aca="false">IF($F$2&lt;3,"-",IFERROR(INDEX('תקציב  '!$A:$AN,MATCH($B13,'תקציב  '!$C:$C,0),35+3*($F$2-3))+INDEX('תקציב  '!$A:$AN,MATCH($B13,'תקציב  '!$C:$C,0),36+3*($F$2-3))+INDEX('תקציב  '!$A:$AN,MATCH($B13,'תקציב  '!$C:$C,0),37+3*($F$2-3)),"-"))</f>
        <v>45000</v>
      </c>
      <c r="M13" s="104" t="n">
        <f aca="false">IF($F$2&lt;3,"-",IFERROR(F13/L13-1,"-"))</f>
        <v>-1</v>
      </c>
      <c r="N13" s="103" t="n">
        <f aca="false">IF($F$2&lt;3,"-",IFERROR(F13-L13,"-"))</f>
        <v>-45000</v>
      </c>
    </row>
    <row r="14" customFormat="false" ht="15" hidden="false" customHeight="true" outlineLevel="0" collapsed="false">
      <c r="A14" s="100" t="n">
        <v>109</v>
      </c>
      <c r="B14" s="102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SUMIFS(נתונים_שטוחים!C14:N14,נתונים_שטוחים!$C$4:$N$4,$F$2)</f>
        <v>39179.29</v>
      </c>
      <c r="E14" s="103" t="n">
        <f aca="false">SUMIFS(נתונים_שטוחים!O14:Z14,נתונים_שטוחים!$O$4:$Z$4,$F$2)</f>
        <v>11043.34</v>
      </c>
      <c r="F14" s="103" t="n">
        <f aca="false">SUMIFS(נתונים_שטוחים!AA14:AL14,נתונים_שטוחים!$AA$4:$AL$4,$F$2)</f>
        <v>0</v>
      </c>
      <c r="G14" s="104" t="n">
        <f aca="false">IFERROR(F14/E14-1,"-")</f>
        <v>-1</v>
      </c>
      <c r="H14" s="103" t="n">
        <f aca="false">F14-E14</f>
        <v>-11043.34</v>
      </c>
      <c r="I14" s="103" t="n">
        <f aca="false">IFERROR(INDEX('תקציב  '!$A:$P,MATCH($B14,'תקציב  '!$C:$C,0),5+3*($F$2-1))+INDEX('תקציב  '!$A:$P,MATCH($B14,'תקציב  '!$C:$C,0),6+3*($F$2-1))+INDEX('תקציב  '!$A:$P,MATCH($B14,'תקציב  '!$C:$C,0),7+3*($F$2-1)),"-")</f>
        <v>27190.4761904762</v>
      </c>
      <c r="J14" s="104" t="n">
        <f aca="false">IFERROR(F14/I14-1,"-")</f>
        <v>-1</v>
      </c>
      <c r="K14" s="103" t="n">
        <f aca="false">IFERROR(F14-I14,"-")</f>
        <v>-27190.4761904762</v>
      </c>
      <c r="L14" s="103" t="n">
        <f aca="false">IF($F$2&lt;3,"-",IFERROR(INDEX('תקציב  '!$A:$AN,MATCH($B14,'תקציב  '!$C:$C,0),35+3*($F$2-3))+INDEX('תקציב  '!$A:$AN,MATCH($B14,'תקציב  '!$C:$C,0),36+3*($F$2-3))+INDEX('תקציב  '!$A:$AN,MATCH($B14,'תקציב  '!$C:$C,0),37+3*($F$2-3)),"-"))</f>
        <v>30000</v>
      </c>
      <c r="M14" s="104" t="n">
        <f aca="false">IF($F$2&lt;3,"-",IFERROR(F14/L14-1,"-"))</f>
        <v>-1</v>
      </c>
      <c r="N14" s="103" t="n">
        <f aca="false">IF($F$2&lt;3,"-",IFERROR(F14-L14,"-"))</f>
        <v>-30000</v>
      </c>
    </row>
    <row r="15" customFormat="false" ht="15" hidden="false" customHeight="true" outlineLevel="0" collapsed="false">
      <c r="A15" s="100" t="n">
        <v>105</v>
      </c>
      <c r="B15" s="102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SUMIFS(נתונים_שטוחים!C15:N15,נתונים_שטוחים!$C$4:$N$4,$F$2)</f>
        <v>850.4</v>
      </c>
      <c r="E15" s="103" t="n">
        <f aca="false">SUMIFS(נתונים_שטוחים!O15:Z15,נתונים_שטוחים!$O$4:$Z$4,$F$2)</f>
        <v>1168.54</v>
      </c>
      <c r="F15" s="103" t="n">
        <f aca="false">SUMIFS(נתונים_שטוחים!AA15:AL15,נתונים_שטוחים!$AA$4:$AL$4,$F$2)</f>
        <v>0</v>
      </c>
      <c r="G15" s="104" t="n">
        <f aca="false">IFERROR(F15/E15-1,"-")</f>
        <v>-1</v>
      </c>
      <c r="H15" s="103" t="n">
        <f aca="false">F15-E15</f>
        <v>-1168.54</v>
      </c>
      <c r="I15" s="103" t="n">
        <f aca="false">IFERROR(INDEX('תקציב  '!$A:$P,MATCH($B15,'תקציב  '!$C:$C,0),5+3*($F$2-1))+INDEX('תקציב  '!$A:$P,MATCH($B15,'תקציב  '!$C:$C,0),6+3*($F$2-1))+INDEX('תקציב  '!$A:$P,MATCH($B15,'תקציב  '!$C:$C,0),7+3*($F$2-1)),"-")</f>
        <v>0</v>
      </c>
      <c r="J15" s="104" t="str">
        <f aca="false">IFERROR(F15/I15-1,"-")</f>
        <v>-</v>
      </c>
      <c r="K15" s="103" t="n">
        <f aca="false">IFERROR(F15-I15,"-")</f>
        <v>0</v>
      </c>
      <c r="L15" s="103" t="n">
        <f aca="false">IF($F$2&lt;3,"-",IFERROR(INDEX('תקציב  '!$A:$AN,MATCH($B15,'תקציב  '!$C:$C,0),35+3*($F$2-3))+INDEX('תקציב  '!$A:$AN,MATCH($B15,'תקציב  '!$C:$C,0),36+3*($F$2-3))+INDEX('תקציב  '!$A:$AN,MATCH($B15,'תקציב  '!$C:$C,0),37+3*($F$2-3)),"-"))</f>
        <v>15000</v>
      </c>
      <c r="M15" s="104" t="n">
        <f aca="false">IF($F$2&lt;3,"-",IFERROR(F15/L15-1,"-"))</f>
        <v>-1</v>
      </c>
      <c r="N15" s="103" t="n">
        <f aca="false">IF($F$2&lt;3,"-",IFERROR(F15-L15,"-"))</f>
        <v>-15000</v>
      </c>
    </row>
    <row r="16" customFormat="false" ht="15" hidden="false" customHeight="true" outlineLevel="0" collapsed="false">
      <c r="A16" s="100" t="n">
        <v>104</v>
      </c>
      <c r="B16" s="102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SUMIFS(נתונים_שטוחים!C16:N16,נתונים_שטוחים!$C$4:$N$4,$F$2)</f>
        <v>-14.28</v>
      </c>
      <c r="E16" s="103" t="n">
        <f aca="false">SUMIFS(נתונים_שטוחים!O16:Z16,נתונים_שטוחים!$O$4:$Z$4,$F$2)</f>
        <v>514.2</v>
      </c>
      <c r="F16" s="103" t="n">
        <f aca="false">SUMIFS(נתונים_שטוחים!AA16:AL16,נתונים_שטוחים!$AA$4:$AL$4,$F$2)</f>
        <v>0</v>
      </c>
      <c r="G16" s="104" t="n">
        <f aca="false">IFERROR(F16/E16-1,"-")</f>
        <v>-1</v>
      </c>
      <c r="H16" s="103" t="n">
        <f aca="false">F16-E16</f>
        <v>-514.2</v>
      </c>
      <c r="I16" s="103" t="n">
        <f aca="false">IFERROR(INDEX('תקציב  '!$A:$P,MATCH($B16,'תקציב  '!$C:$C,0),5+3*($F$2-1))+INDEX('תקציב  '!$A:$P,MATCH($B16,'תקציב  '!$C:$C,0),6+3*($F$2-1))+INDEX('תקציב  '!$A:$P,MATCH($B16,'תקציב  '!$C:$C,0),7+3*($F$2-1)),"-")</f>
        <v>12500</v>
      </c>
      <c r="J16" s="104" t="n">
        <f aca="false">IFERROR(F16/I16-1,"-")</f>
        <v>-1</v>
      </c>
      <c r="K16" s="103" t="n">
        <f aca="false">IFERROR(F16-I16,"-")</f>
        <v>-12500</v>
      </c>
      <c r="L16" s="103" t="n">
        <f aca="false">IF($F$2&lt;3,"-",IFERROR(INDEX('תקציב  '!$A:$AN,MATCH($B16,'תקציב  '!$C:$C,0),35+3*($F$2-3))+INDEX('תקציב  '!$A:$AN,MATCH($B16,'תקציב  '!$C:$C,0),36+3*($F$2-3))+INDEX('תקציב  '!$A:$AN,MATCH($B16,'תקציב  '!$C:$C,0),37+3*($F$2-3)),"-"))</f>
        <v>15000</v>
      </c>
      <c r="M16" s="104" t="n">
        <f aca="false">IF($F$2&lt;3,"-",IFERROR(F16/L16-1,"-"))</f>
        <v>-1</v>
      </c>
      <c r="N16" s="103" t="n">
        <f aca="false">IF($F$2&lt;3,"-",IFERROR(F16-L16,"-"))</f>
        <v>-15000</v>
      </c>
    </row>
    <row r="17" customFormat="false" ht="15" hidden="false" customHeight="true" outlineLevel="0" collapsed="false">
      <c r="A17" s="100" t="n">
        <v>106</v>
      </c>
      <c r="B17" s="102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SUMIFS(נתונים_שטוחים!C17:N17,נתונים_שטוחים!$C$4:$N$4,$F$2)</f>
        <v>3722.65</v>
      </c>
      <c r="E17" s="103" t="n">
        <f aca="false">SUMIFS(נתונים_שטוחים!O17:Z17,נתונים_שטוחים!$O$4:$Z$4,$F$2)</f>
        <v>1813.57</v>
      </c>
      <c r="F17" s="103" t="n">
        <f aca="false">SUMIFS(נתונים_שטוחים!AA17:AL17,נתונים_שטוחים!$AA$4:$AL$4,$F$2)</f>
        <v>0</v>
      </c>
      <c r="G17" s="104" t="n">
        <f aca="false">IFERROR(F17/E17-1,"-")</f>
        <v>-1</v>
      </c>
      <c r="H17" s="103" t="n">
        <f aca="false">F17-E17</f>
        <v>-1813.57</v>
      </c>
      <c r="I17" s="103" t="n">
        <f aca="false">IFERROR(INDEX('תקציב  '!$A:$P,MATCH($B17,'תקציב  '!$C:$C,0),5+3*($F$2-1))+INDEX('תקציב  '!$A:$P,MATCH($B17,'תקציב  '!$C:$C,0),6+3*($F$2-1))+INDEX('תקציב  '!$A:$P,MATCH($B17,'תקציב  '!$C:$C,0),7+3*($F$2-1)),"-")</f>
        <v>100000</v>
      </c>
      <c r="J17" s="104" t="n">
        <f aca="false">IFERROR(F17/I17-1,"-")</f>
        <v>-1</v>
      </c>
      <c r="K17" s="103" t="n">
        <f aca="false">IFERROR(F17-I17,"-")</f>
        <v>-100000</v>
      </c>
      <c r="L17" s="103" t="n">
        <f aca="false">IF($F$2&lt;3,"-",IFERROR(INDEX('תקציב  '!$A:$AN,MATCH($B17,'תקציב  '!$C:$C,0),35+3*($F$2-3))+INDEX('תקציב  '!$A:$AN,MATCH($B17,'תקציב  '!$C:$C,0),36+3*($F$2-3))+INDEX('תקציב  '!$A:$AN,MATCH($B17,'תקציב  '!$C:$C,0),37+3*($F$2-3)),"-"))</f>
        <v>15000</v>
      </c>
      <c r="M17" s="104" t="n">
        <f aca="false">IF($F$2&lt;3,"-",IFERROR(F17/L17-1,"-"))</f>
        <v>-1</v>
      </c>
      <c r="N17" s="103" t="n">
        <f aca="false">IF($F$2&lt;3,"-",IFERROR(F17-L17,"-"))</f>
        <v>-15000</v>
      </c>
    </row>
    <row r="18" customFormat="false" ht="15" hidden="false" customHeight="true" outlineLevel="0" collapsed="false">
      <c r="A18" s="100" t="n">
        <v>103</v>
      </c>
      <c r="B18" s="102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SUMIFS(נתונים_שטוחים!C18:N18,נתונים_שטוחים!$C$4:$N$4,$F$2)</f>
        <v>11626.65</v>
      </c>
      <c r="E18" s="103" t="n">
        <f aca="false">SUMIFS(נתונים_שטוחים!O18:Z18,נתונים_שטוחים!$O$4:$Z$4,$F$2)</f>
        <v>17330.93</v>
      </c>
      <c r="F18" s="103" t="n">
        <f aca="false">SUMIFS(נתונים_שטוחים!AA18:AL18,נתונים_שטוחים!$AA$4:$AL$4,$F$2)</f>
        <v>0</v>
      </c>
      <c r="G18" s="104" t="n">
        <f aca="false">IFERROR(F18/E18-1,"-")</f>
        <v>-1</v>
      </c>
      <c r="H18" s="103" t="n">
        <f aca="false">F18-E18</f>
        <v>-17330.93</v>
      </c>
      <c r="I18" s="103" t="n">
        <f aca="false">IFERROR(INDEX('תקציב  '!$A:$P,MATCH($B18,'תקציב  '!$C:$C,0),5+3*($F$2-1))+INDEX('תקציב  '!$A:$P,MATCH($B18,'תקציב  '!$C:$C,0),6+3*($F$2-1))+INDEX('תקציב  '!$A:$P,MATCH($B18,'תקציב  '!$C:$C,0),7+3*($F$2-1)),"-")</f>
        <v>52380.9523809525</v>
      </c>
      <c r="J18" s="104" t="n">
        <f aca="false">IFERROR(F18/I18-1,"-")</f>
        <v>-1</v>
      </c>
      <c r="K18" s="103" t="n">
        <f aca="false">IFERROR(F18-I18,"-")</f>
        <v>-52380.9523809525</v>
      </c>
      <c r="L18" s="103" t="n">
        <f aca="false">IF($F$2&lt;3,"-",IFERROR(INDEX('תקציב  '!$A:$AN,MATCH($B18,'תקציב  '!$C:$C,0),35+3*($F$2-3))+INDEX('תקציב  '!$A:$AN,MATCH($B18,'תקציב  '!$C:$C,0),36+3*($F$2-3))+INDEX('תקציב  '!$A:$AN,MATCH($B18,'תקציב  '!$C:$C,0),37+3*($F$2-3)),"-"))</f>
        <v>75000</v>
      </c>
      <c r="M18" s="104" t="n">
        <f aca="false">IF($F$2&lt;3,"-",IFERROR(F18/L18-1,"-"))</f>
        <v>-1</v>
      </c>
      <c r="N18" s="103" t="n">
        <f aca="false">IF($F$2&lt;3,"-",IFERROR(F18-L18,"-"))</f>
        <v>-75000</v>
      </c>
    </row>
    <row r="19" customFormat="false" ht="15" hidden="false" customHeight="true" outlineLevel="0" collapsed="false">
      <c r="A19" s="105"/>
      <c r="B19" s="107" t="s">
        <v>115</v>
      </c>
      <c r="C19" s="107"/>
      <c r="D19" s="108" t="n">
        <f aca="false">SUM(D5:D18)</f>
        <v>3874286.934</v>
      </c>
      <c r="E19" s="108" t="n">
        <f aca="false">SUM(E5:E18)</f>
        <v>3810006.74</v>
      </c>
      <c r="F19" s="108" t="n">
        <f aca="false">SUM(F5:F18)</f>
        <v>20995.2</v>
      </c>
      <c r="G19" s="109" t="n">
        <f aca="false">IFERROR(F19/E19-1,"-")</f>
        <v>-0.994489458567205</v>
      </c>
      <c r="H19" s="108" t="n">
        <f aca="false">SUM(H5:H18)</f>
        <v>-3789011.54</v>
      </c>
      <c r="I19" s="108" t="n">
        <f aca="false">SUM(I5:I18)</f>
        <v>5335666.66666667</v>
      </c>
      <c r="J19" s="109" t="n">
        <f aca="false">IFERROR(F19/I19-1,"-")</f>
        <v>-0.99606512150934</v>
      </c>
      <c r="K19" s="108" t="n">
        <f aca="false">SUM(K5:K18)</f>
        <v>-5314671.46666667</v>
      </c>
      <c r="L19" s="108" t="n">
        <f aca="false">IF($F$2&lt;3,"-",SUM(L5:L18))</f>
        <v>4935000</v>
      </c>
      <c r="M19" s="109" t="n">
        <f aca="false">IF($F$2&lt;3,"-",IFERROR(F19/L19-1,"-"))</f>
        <v>-0.995745653495441</v>
      </c>
      <c r="N19" s="108" t="n">
        <f aca="false">IF($F$2&lt;3,"-",SUM(N5:N18))</f>
        <v>-4914004.8</v>
      </c>
    </row>
    <row r="20" customFormat="false" ht="15" hidden="false" customHeight="true" outlineLevel="0" collapsed="false">
      <c r="A20" s="100" t="n">
        <v>114</v>
      </c>
      <c r="B20" s="102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SUMIFS(נתונים_שטוחים!C19:N19,נתונים_שטוחים!$C$4:$N$4,$F$2)</f>
        <v>253937.589999999</v>
      </c>
      <c r="E20" s="103" t="n">
        <f aca="false">SUMIFS(נתונים_שטוחים!O19:Z19,נתונים_שטוחים!$O$4:$Z$4,$F$2)</f>
        <v>599115.08</v>
      </c>
      <c r="F20" s="103" t="n">
        <f aca="false">SUMIFS(נתונים_שטוחים!AA19:AL19,נתונים_שטוחים!$AA$4:$AL$4,$F$2)</f>
        <v>0</v>
      </c>
      <c r="G20" s="104" t="n">
        <f aca="false">IFERROR(F20/E20-1,"-")</f>
        <v>-1</v>
      </c>
      <c r="H20" s="103" t="n">
        <f aca="false">F20-E20</f>
        <v>-599115.08</v>
      </c>
      <c r="I20" s="103" t="n">
        <f aca="false">IFERROR(INDEX('תקציב  '!$A:$P,MATCH($B20,'תקציב  '!$C:$C,0),5+3*($F$2-1))+INDEX('תקציב  '!$A:$P,MATCH($B20,'תקציב  '!$C:$C,0),6+3*($F$2-1))+INDEX('תקציב  '!$A:$P,MATCH($B20,'תקציב  '!$C:$C,0),7+3*($F$2-1)),"-")</f>
        <v>4474216.10169492</v>
      </c>
      <c r="J20" s="104" t="n">
        <f aca="false">IFERROR(F20/I20-1,"-")</f>
        <v>-1</v>
      </c>
      <c r="K20" s="103" t="n">
        <f aca="false">IFERROR(F20-I20,"-")</f>
        <v>-4474216.10169492</v>
      </c>
      <c r="L20" s="103" t="n">
        <f aca="false">IF($F$2&lt;3,"-",IFERROR(INDEX('תקציב  '!$A:$AN,MATCH($B20,'תקציב  '!$C:$C,0),35+3*($F$2-3))+INDEX('תקציב  '!$A:$AN,MATCH($B20,'תקציב  '!$C:$C,0),36+3*($F$2-3))+INDEX('תקציב  '!$A:$AN,MATCH($B20,'תקציב  '!$C:$C,0),37+3*($F$2-3)),"-"))</f>
        <v>3472877.9661017</v>
      </c>
      <c r="M20" s="104" t="n">
        <f aca="false">IF($F$2&lt;3,"-",IFERROR(F20/L20-1,"-"))</f>
        <v>-1</v>
      </c>
      <c r="N20" s="103" t="n">
        <f aca="false">IF($F$2&lt;3,"-",IFERROR(F20-L20,"-"))</f>
        <v>-3472877.9661017</v>
      </c>
    </row>
    <row r="21" customFormat="false" ht="15" hidden="false" customHeight="true" outlineLevel="0" collapsed="false">
      <c r="A21" s="100" t="n">
        <v>115</v>
      </c>
      <c r="B21" s="102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SUMIFS(נתונים_שטוחים!C20:N20,נתונים_שטוחים!$C$4:$N$4,$F$2)</f>
        <v>10454.96</v>
      </c>
      <c r="E21" s="103" t="n">
        <f aca="false">SUMIFS(נתונים_שטוחים!O20:Z20,נתונים_שטוחים!$O$4:$Z$4,$F$2)</f>
        <v>4382.6</v>
      </c>
      <c r="F21" s="103" t="n">
        <f aca="false">SUMIFS(נתונים_שטוחים!AA20:AL20,נתונים_שטוחים!$AA$4:$AL$4,$F$2)</f>
        <v>0</v>
      </c>
      <c r="G21" s="104" t="n">
        <f aca="false">IFERROR(F21/E21-1,"-")</f>
        <v>-1</v>
      </c>
      <c r="H21" s="103" t="n">
        <f aca="false">F21-E21</f>
        <v>-4382.6</v>
      </c>
      <c r="I21" s="103" t="n">
        <f aca="false">IFERROR(INDEX('תקציב  '!$A:$P,MATCH($B21,'תקציב  '!$C:$C,0),5+3*($F$2-1))+INDEX('תקציב  '!$A:$P,MATCH($B21,'תקציב  '!$C:$C,0),6+3*($F$2-1))+INDEX('תקציב  '!$A:$P,MATCH($B21,'תקציב  '!$C:$C,0),7+3*($F$2-1)),"-")</f>
        <v>7610.78499999999</v>
      </c>
      <c r="J21" s="104" t="n">
        <f aca="false">IFERROR(F21/I21-1,"-")</f>
        <v>-1</v>
      </c>
      <c r="K21" s="103" t="n">
        <f aca="false">IFERROR(F21-I21,"-")</f>
        <v>-7610.78499999999</v>
      </c>
      <c r="L21" s="103" t="n">
        <f aca="false">IF($F$2&lt;3,"-",IFERROR(INDEX('תקציב  '!$A:$AN,MATCH($B21,'תקציב  '!$C:$C,0),35+3*($F$2-3))+INDEX('תקציב  '!$A:$AN,MATCH($B21,'תקציב  '!$C:$C,0),36+3*($F$2-3))+INDEX('תקציב  '!$A:$AN,MATCH($B21,'תקציב  '!$C:$C,0),37+3*($F$2-3)),"-"))</f>
        <v>15000</v>
      </c>
      <c r="M21" s="104" t="n">
        <f aca="false">IF($F$2&lt;3,"-",IFERROR(F21/L21-1,"-"))</f>
        <v>-1</v>
      </c>
      <c r="N21" s="103" t="n">
        <f aca="false">IF($F$2&lt;3,"-",IFERROR(F21-L21,"-"))</f>
        <v>-15000</v>
      </c>
    </row>
    <row r="22" customFormat="false" ht="15" hidden="false" customHeight="true" outlineLevel="0" collapsed="false">
      <c r="A22" s="105"/>
      <c r="B22" s="107" t="s">
        <v>48</v>
      </c>
      <c r="C22" s="107"/>
      <c r="D22" s="108" t="n">
        <f aca="false">SUM(D5:D18)+SUM(D20:D21)</f>
        <v>4138679.484</v>
      </c>
      <c r="E22" s="108" t="n">
        <f aca="false">SUM(E5:E18)+SUM(E20:E21)</f>
        <v>4413504.42</v>
      </c>
      <c r="F22" s="108" t="n">
        <f aca="false">SUM(F5:F18)+SUM(F20:F21)</f>
        <v>20995.2</v>
      </c>
      <c r="G22" s="109" t="n">
        <f aca="false">IFERROR(F22/E22-1,"-")</f>
        <v>-0.995242963866795</v>
      </c>
      <c r="H22" s="108" t="n">
        <f aca="false">SUM(H5:H18)+SUM(H20:H21)</f>
        <v>-4392509.22</v>
      </c>
      <c r="I22" s="108" t="n">
        <f aca="false">SUM(I5:I18)+SUM(I20:I21)</f>
        <v>9817493.55336159</v>
      </c>
      <c r="J22" s="109" t="n">
        <f aca="false">IFERROR(F22/I22-1,"-")</f>
        <v>-0.997861450085413</v>
      </c>
      <c r="K22" s="108" t="n">
        <f aca="false">SUM(K5:K18)+SUM(K20:K21)</f>
        <v>-9796498.35336159</v>
      </c>
      <c r="L22" s="108" t="n">
        <f aca="false">IF($F$2&lt;3,"-",SUM(L5:L18)+SUM(L20:L21))</f>
        <v>8422877.9661017</v>
      </c>
      <c r="M22" s="109" t="n">
        <f aca="false">IF($F$2&lt;3,"-",IFERROR(F22/L22-1,"-"))</f>
        <v>-0.997507360300779</v>
      </c>
      <c r="N22" s="108" t="n">
        <f aca="false">IF($F$2&lt;3,"-",SUM(N5:N18)+SUM(N20:N21))</f>
        <v>-8401882.7661017</v>
      </c>
    </row>
    <row r="23" customFormat="false" ht="15" hidden="false" customHeight="true" outlineLevel="0" collapsed="false">
      <c r="A23" s="100" t="n">
        <v>301</v>
      </c>
      <c r="B23" s="102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SUMIFS(נתונים_שטוחים!C21:N21,נתונים_שטוחים!$C$4:$N$4,$F$2)</f>
        <v>594913.85</v>
      </c>
      <c r="E23" s="103" t="n">
        <f aca="false">SUMIFS(נתונים_שטוחים!O21:Z21,נתונים_שטוחים!$O$4:$Z$4,$F$2)</f>
        <v>676973.71</v>
      </c>
      <c r="F23" s="103" t="n">
        <f aca="false">SUMIFS(נתונים_שטוחים!AA21:AL21,נתונים_שטוחים!$AA$4:$AL$4,$F$2)</f>
        <v>0</v>
      </c>
      <c r="G23" s="104" t="n">
        <f aca="false">IFERROR(F23/E23-1,"-")</f>
        <v>-1</v>
      </c>
      <c r="H23" s="103" t="n">
        <f aca="false">F23-E23</f>
        <v>-676973.71</v>
      </c>
      <c r="I23" s="103" t="n">
        <f aca="false">IFERROR(INDEX('תקציב  '!$A:$P,MATCH($B23,'תקציב  '!$C:$C,0),5+3*($F$2-1))+INDEX('תקציב  '!$A:$P,MATCH($B23,'תקציב  '!$C:$C,0),6+3*($F$2-1))+INDEX('תקציב  '!$A:$P,MATCH($B23,'תקציב  '!$C:$C,0),7+3*($F$2-1)),"-")</f>
        <v>1244673.12915</v>
      </c>
      <c r="J23" s="104" t="n">
        <f aca="false">IFERROR(F23/I23-1,"-")</f>
        <v>-1</v>
      </c>
      <c r="K23" s="103" t="n">
        <f aca="false">IFERROR(F23-I23,"-")</f>
        <v>-1244673.12915</v>
      </c>
      <c r="L23" s="103" t="n">
        <f aca="false">IF($F$2&lt;3,"-",IFERROR(INDEX('תקציב  '!$A:$AN,MATCH($B23,'תקציב  '!$C:$C,0),35+3*($F$2-3))+INDEX('תקציב  '!$A:$AN,MATCH($B23,'תקציב  '!$C:$C,0),36+3*($F$2-3))+INDEX('תקציב  '!$A:$AN,MATCH($B23,'תקציב  '!$C:$C,0),37+3*($F$2-3)),"-"))</f>
        <v>945572.1</v>
      </c>
      <c r="M23" s="104" t="n">
        <f aca="false">IF($F$2&lt;3,"-",IFERROR(F23/L23-1,"-"))</f>
        <v>-1</v>
      </c>
      <c r="N23" s="103" t="n">
        <f aca="false">IF($F$2&lt;3,"-",IFERROR(F23-L23,"-"))</f>
        <v>-945572.1</v>
      </c>
    </row>
    <row r="24" customFormat="false" ht="15" hidden="false" customHeight="true" outlineLevel="0" collapsed="false">
      <c r="A24" s="100" t="n">
        <v>202</v>
      </c>
      <c r="B24" s="102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SUMIFS(נתונים_שטוחים!C22:N22,נתונים_שטוחים!$C$4:$N$4,$F$2)</f>
        <v>137974.18</v>
      </c>
      <c r="E24" s="103" t="n">
        <f aca="false">SUMIFS(נתונים_שטוחים!O22:Z22,נתונים_שטוחים!$O$4:$Z$4,$F$2)</f>
        <v>284867.18</v>
      </c>
      <c r="F24" s="103" t="n">
        <f aca="false">SUMIFS(נתונים_שטוחים!AA22:AL22,נתונים_שטוחים!$AA$4:$AL$4,$F$2)</f>
        <v>0</v>
      </c>
      <c r="G24" s="104" t="n">
        <f aca="false">IFERROR(F24/E24-1,"-")</f>
        <v>-1</v>
      </c>
      <c r="H24" s="103" t="n">
        <f aca="false">F24-E24</f>
        <v>-284867.18</v>
      </c>
      <c r="I24" s="103" t="n">
        <f aca="false">IFERROR(INDEX('תקציב  '!$A:$P,MATCH($B24,'תקציב  '!$C:$C,0),5+3*($F$2-1))+INDEX('תקציב  '!$A:$P,MATCH($B24,'תקציב  '!$C:$C,0),6+3*($F$2-1))+INDEX('תקציב  '!$A:$P,MATCH($B24,'תקציב  '!$C:$C,0),7+3*($F$2-1)),"-")</f>
        <v>303800</v>
      </c>
      <c r="J24" s="104" t="n">
        <f aca="false">IFERROR(F24/I24-1,"-")</f>
        <v>-1</v>
      </c>
      <c r="K24" s="103" t="n">
        <f aca="false">IFERROR(F24-I24,"-")</f>
        <v>-303800</v>
      </c>
      <c r="L24" s="103" t="n">
        <f aca="false">IF($F$2&lt;3,"-",IFERROR(INDEX('תקציב  '!$A:$AN,MATCH($B24,'תקציב  '!$C:$C,0),35+3*($F$2-3))+INDEX('תקציב  '!$A:$AN,MATCH($B24,'תקציב  '!$C:$C,0),36+3*($F$2-3))+INDEX('תקציב  '!$A:$AN,MATCH($B24,'תקציב  '!$C:$C,0),37+3*($F$2-3)),"-"))</f>
        <v>450000</v>
      </c>
      <c r="M24" s="104" t="n">
        <f aca="false">IF($F$2&lt;3,"-",IFERROR(F24/L24-1,"-"))</f>
        <v>-1</v>
      </c>
      <c r="N24" s="103" t="n">
        <f aca="false">IF($F$2&lt;3,"-",IFERROR(F24-L24,"-"))</f>
        <v>-450000</v>
      </c>
    </row>
    <row r="25" customFormat="false" ht="15" hidden="false" customHeight="true" outlineLevel="0" collapsed="false">
      <c r="A25" s="100" t="n">
        <v>203</v>
      </c>
      <c r="B25" s="102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SUMIFS(נתונים_שטוחים!C23:N23,נתונים_שטוחים!$C$4:$N$4,$F$2)</f>
        <v>220830.5</v>
      </c>
      <c r="E25" s="103" t="n">
        <f aca="false">SUMIFS(נתונים_שטוחים!O23:Z23,נתונים_שטוחים!$O$4:$Z$4,$F$2)</f>
        <v>54650.07</v>
      </c>
      <c r="F25" s="103" t="n">
        <f aca="false">SUMIFS(נתונים_שטוחים!AA23:AL23,נתונים_שטוחים!$AA$4:$AL$4,$F$2)</f>
        <v>0</v>
      </c>
      <c r="G25" s="104" t="n">
        <f aca="false">IFERROR(F25/E25-1,"-")</f>
        <v>-1</v>
      </c>
      <c r="H25" s="103" t="n">
        <f aca="false">F25-E25</f>
        <v>-54650.07</v>
      </c>
      <c r="I25" s="103" t="n">
        <f aca="false">IFERROR(INDEX('תקציב  '!$A:$P,MATCH($B25,'תקציב  '!$C:$C,0),5+3*($F$2-1))+INDEX('תקציב  '!$A:$P,MATCH($B25,'תקציב  '!$C:$C,0),6+3*($F$2-1))+INDEX('תקציב  '!$A:$P,MATCH($B25,'תקציב  '!$C:$C,0),7+3*($F$2-1)),"-")</f>
        <v>200000</v>
      </c>
      <c r="J25" s="104" t="n">
        <f aca="false">IFERROR(F25/I25-1,"-")</f>
        <v>-1</v>
      </c>
      <c r="K25" s="103" t="n">
        <f aca="false">IFERROR(F25-I25,"-")</f>
        <v>-200000</v>
      </c>
      <c r="L25" s="103" t="n">
        <f aca="false">IF($F$2&lt;3,"-",IFERROR(INDEX('תקציב  '!$A:$AN,MATCH($B25,'תקציב  '!$C:$C,0),35+3*($F$2-3))+INDEX('תקציב  '!$A:$AN,MATCH($B25,'תקציב  '!$C:$C,0),36+3*($F$2-3))+INDEX('תקציב  '!$A:$AN,MATCH($B25,'תקציב  '!$C:$C,0),37+3*($F$2-3)),"-"))</f>
        <v>220000</v>
      </c>
      <c r="M25" s="104" t="n">
        <f aca="false">IF($F$2&lt;3,"-",IFERROR(F25/L25-1,"-"))</f>
        <v>-1</v>
      </c>
      <c r="N25" s="103" t="n">
        <f aca="false">IF($F$2&lt;3,"-",IFERROR(F25-L25,"-"))</f>
        <v>-220000</v>
      </c>
    </row>
    <row r="26" customFormat="false" ht="15" hidden="false" customHeight="true" outlineLevel="0" collapsed="false">
      <c r="A26" s="100" t="n">
        <v>204</v>
      </c>
      <c r="B26" s="102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SUMIFS(נתונים_שטוחים!C24:N24,נתונים_שטוחים!$C$4:$N$4,$F$2)</f>
        <v>167224.53</v>
      </c>
      <c r="E26" s="103" t="n">
        <f aca="false">SUMIFS(נתונים_שטוחים!O24:Z24,נתונים_שטוחים!$O$4:$Z$4,$F$2)</f>
        <v>83397.79</v>
      </c>
      <c r="F26" s="103" t="n">
        <f aca="false">SUMIFS(נתונים_שטוחים!AA24:AL24,נתונים_שטוחים!$AA$4:$AL$4,$F$2)</f>
        <v>0</v>
      </c>
      <c r="G26" s="104" t="n">
        <f aca="false">IFERROR(F26/E26-1,"-")</f>
        <v>-1</v>
      </c>
      <c r="H26" s="103" t="n">
        <f aca="false">F26-E26</f>
        <v>-83397.79</v>
      </c>
      <c r="I26" s="103" t="n">
        <f aca="false">IFERROR(INDEX('תקציב  '!$A:$P,MATCH($B26,'תקציב  '!$C:$C,0),5+3*($F$2-1))+INDEX('תקציב  '!$A:$P,MATCH($B26,'תקציב  '!$C:$C,0),6+3*($F$2-1))+INDEX('תקציב  '!$A:$P,MATCH($B26,'תקציב  '!$C:$C,0),7+3*($F$2-1)),"-")</f>
        <v>82841</v>
      </c>
      <c r="J26" s="104" t="n">
        <f aca="false">IFERROR(F26/I26-1,"-")</f>
        <v>-1</v>
      </c>
      <c r="K26" s="103" t="n">
        <f aca="false">IFERROR(F26-I26,"-")</f>
        <v>-82841</v>
      </c>
      <c r="L26" s="103" t="n">
        <f aca="false">IF($F$2&lt;3,"-",IFERROR(INDEX('תקציב  '!$A:$AN,MATCH($B26,'תקציב  '!$C:$C,0),35+3*($F$2-3))+INDEX('תקציב  '!$A:$AN,MATCH($B26,'תקציב  '!$C:$C,0),36+3*($F$2-3))+INDEX('תקציב  '!$A:$AN,MATCH($B26,'תקציב  '!$C:$C,0),37+3*($F$2-3)),"-"))</f>
        <v>75000</v>
      </c>
      <c r="M26" s="104" t="n">
        <f aca="false">IF($F$2&lt;3,"-",IFERROR(F26/L26-1,"-"))</f>
        <v>-1</v>
      </c>
      <c r="N26" s="103" t="n">
        <f aca="false">IF($F$2&lt;3,"-",IFERROR(F26-L26,"-"))</f>
        <v>-75000</v>
      </c>
    </row>
    <row r="27" customFormat="false" ht="15" hidden="false" customHeight="true" outlineLevel="0" collapsed="false">
      <c r="A27" s="100" t="n">
        <v>205</v>
      </c>
      <c r="B27" s="102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SUMIFS(נתונים_שטוחים!C25:N25,נתונים_שטוחים!$C$4:$N$4,$F$2)</f>
        <v>17813.97</v>
      </c>
      <c r="E27" s="103" t="n">
        <f aca="false">SUMIFS(נתונים_שטוחים!O25:Z25,נתונים_שטוחים!$O$4:$Z$4,$F$2)</f>
        <v>31158.35</v>
      </c>
      <c r="F27" s="103" t="n">
        <f aca="false">SUMIFS(נתונים_שטוחים!AA25:AL25,נתונים_שטוחים!$AA$4:$AL$4,$F$2)</f>
        <v>0</v>
      </c>
      <c r="G27" s="104" t="n">
        <f aca="false">IFERROR(F27/E27-1,"-")</f>
        <v>-1</v>
      </c>
      <c r="H27" s="103" t="n">
        <f aca="false">F27-E27</f>
        <v>-31158.35</v>
      </c>
      <c r="I27" s="103" t="n">
        <f aca="false">IFERROR(INDEX('תקציב  '!$A:$P,MATCH($B27,'תקציב  '!$C:$C,0),5+3*($F$2-1))+INDEX('תקציב  '!$A:$P,MATCH($B27,'תקציב  '!$C:$C,0),6+3*($F$2-1))+INDEX('תקציב  '!$A:$P,MATCH($B27,'תקציב  '!$C:$C,0),7+3*($F$2-1)),"-")</f>
        <v>26225</v>
      </c>
      <c r="J27" s="104" t="n">
        <f aca="false">IFERROR(F27/I27-1,"-")</f>
        <v>-1</v>
      </c>
      <c r="K27" s="103" t="n">
        <f aca="false">IFERROR(F27-I27,"-")</f>
        <v>-26225</v>
      </c>
      <c r="L27" s="103" t="n">
        <f aca="false">IF($F$2&lt;3,"-",IFERROR(INDEX('תקציב  '!$A:$AN,MATCH($B27,'תקציב  '!$C:$C,0),35+3*($F$2-3))+INDEX('תקציב  '!$A:$AN,MATCH($B27,'תקציב  '!$C:$C,0),36+3*($F$2-3))+INDEX('תקציב  '!$A:$AN,MATCH($B27,'תקציב  '!$C:$C,0),37+3*($F$2-3)),"-"))</f>
        <v>20000</v>
      </c>
      <c r="M27" s="104" t="n">
        <f aca="false">IF($F$2&lt;3,"-",IFERROR(F27/L27-1,"-"))</f>
        <v>-1</v>
      </c>
      <c r="N27" s="103" t="n">
        <f aca="false">IF($F$2&lt;3,"-",IFERROR(F27-L27,"-"))</f>
        <v>-20000</v>
      </c>
    </row>
    <row r="28" customFormat="false" ht="15" hidden="false" customHeight="true" outlineLevel="0" collapsed="false">
      <c r="A28" s="100" t="n">
        <v>206</v>
      </c>
      <c r="B28" s="102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SUMIFS(נתונים_שטוחים!C26:N26,נתונים_שטוחים!$C$4:$N$4,$F$2)</f>
        <v>44572.45</v>
      </c>
      <c r="E28" s="103" t="n">
        <f aca="false">SUMIFS(נתונים_שטוחים!O26:Z26,נתונים_שטוחים!$O$4:$Z$4,$F$2)</f>
        <v>0</v>
      </c>
      <c r="F28" s="103" t="n">
        <f aca="false">SUMIFS(נתונים_שטוחים!AA26:AL26,נתונים_שטוחים!$AA$4:$AL$4,$F$2)</f>
        <v>0</v>
      </c>
      <c r="G28" s="104" t="str">
        <f aca="false">IFERROR(F28/E28-1,"-")</f>
        <v>-</v>
      </c>
      <c r="H28" s="103" t="n">
        <f aca="false">F28-E28</f>
        <v>0</v>
      </c>
      <c r="I28" s="103" t="n">
        <f aca="false">IFERROR(INDEX('תקציב  '!$A:$P,MATCH($B28,'תקציב  '!$C:$C,0),5+3*($F$2-1))+INDEX('תקציב  '!$A:$P,MATCH($B28,'תקציב  '!$C:$C,0),6+3*($F$2-1))+INDEX('תקציב  '!$A:$P,MATCH($B28,'תקציב  '!$C:$C,0),7+3*($F$2-1)),"-")</f>
        <v>15000</v>
      </c>
      <c r="J28" s="104" t="n">
        <f aca="false">IFERROR(F28/I28-1,"-")</f>
        <v>-1</v>
      </c>
      <c r="K28" s="103" t="n">
        <f aca="false">IFERROR(F28-I28,"-")</f>
        <v>-15000</v>
      </c>
      <c r="L28" s="103" t="n">
        <f aca="false">IF($F$2&lt;3,"-",IFERROR(INDEX('תקציב  '!$A:$AN,MATCH($B28,'תקציב  '!$C:$C,0),35+3*($F$2-3))+INDEX('תקציב  '!$A:$AN,MATCH($B28,'תקציב  '!$C:$C,0),36+3*($F$2-3))+INDEX('תקציב  '!$A:$AN,MATCH($B28,'תקציב  '!$C:$C,0),37+3*($F$2-3)),"-"))</f>
        <v>0</v>
      </c>
      <c r="M28" s="104" t="str">
        <f aca="false">IF($F$2&lt;3,"-",IFERROR(F28/L28-1,"-"))</f>
        <v>-</v>
      </c>
      <c r="N28" s="103" t="n">
        <f aca="false">IF($F$2&lt;3,"-",IFERROR(F28-L28,"-"))</f>
        <v>0</v>
      </c>
    </row>
    <row r="29" customFormat="false" ht="15" hidden="false" customHeight="true" outlineLevel="0" collapsed="false">
      <c r="A29" s="100" t="n">
        <v>207</v>
      </c>
      <c r="B29" s="102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SUMIFS(נתונים_שטוחים!C27:N27,נתונים_שטוחים!$C$4:$N$4,$F$2)</f>
        <v>222074.04</v>
      </c>
      <c r="E29" s="103" t="n">
        <f aca="false">SUMIFS(נתונים_שטוחים!O27:Z27,נתונים_שטוחים!$O$4:$Z$4,$F$2)</f>
        <v>146752.62</v>
      </c>
      <c r="F29" s="103" t="n">
        <f aca="false">SUMIFS(נתונים_שטוחים!AA27:AL27,נתונים_שטוחים!$AA$4:$AL$4,$F$2)</f>
        <v>0</v>
      </c>
      <c r="G29" s="104" t="n">
        <f aca="false">IFERROR(F29/E29-1,"-")</f>
        <v>-1</v>
      </c>
      <c r="H29" s="103" t="n">
        <f aca="false">F29-E29</f>
        <v>-146752.62</v>
      </c>
      <c r="I29" s="103" t="n">
        <f aca="false">IFERROR(INDEX('תקציב  '!$A:$P,MATCH($B29,'תקציב  '!$C:$C,0),5+3*($F$2-1))+INDEX('תקציב  '!$A:$P,MATCH($B29,'תקציב  '!$C:$C,0),6+3*($F$2-1))+INDEX('תקציב  '!$A:$P,MATCH($B29,'תקציב  '!$C:$C,0),7+3*($F$2-1)),"-")</f>
        <v>150000</v>
      </c>
      <c r="J29" s="104" t="n">
        <f aca="false">IFERROR(F29/I29-1,"-")</f>
        <v>-1</v>
      </c>
      <c r="K29" s="103" t="n">
        <f aca="false">IFERROR(F29-I29,"-")</f>
        <v>-150000</v>
      </c>
      <c r="L29" s="103" t="n">
        <f aca="false">IF($F$2&lt;3,"-",IFERROR(INDEX('תקציב  '!$A:$AN,MATCH($B29,'תקציב  '!$C:$C,0),35+3*($F$2-3))+INDEX('תקציב  '!$A:$AN,MATCH($B29,'תקציב  '!$C:$C,0),36+3*($F$2-3))+INDEX('תקציב  '!$A:$AN,MATCH($B29,'תקציב  '!$C:$C,0),37+3*($F$2-3)),"-"))</f>
        <v>70000</v>
      </c>
      <c r="M29" s="104" t="n">
        <f aca="false">IF($F$2&lt;3,"-",IFERROR(F29/L29-1,"-"))</f>
        <v>-1</v>
      </c>
      <c r="N29" s="103" t="n">
        <f aca="false">IF($F$2&lt;3,"-",IFERROR(F29-L29,"-"))</f>
        <v>-70000</v>
      </c>
    </row>
    <row r="30" customFormat="false" ht="15" hidden="false" customHeight="true" outlineLevel="0" collapsed="false">
      <c r="A30" s="100" t="n">
        <v>216</v>
      </c>
      <c r="B30" s="102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SUMIFS(נתונים_שטוחים!C28:N28,נתונים_שטוחים!$C$4:$N$4,$F$2)</f>
        <v>20724.08</v>
      </c>
      <c r="E30" s="103" t="n">
        <f aca="false">SUMIFS(נתונים_שטוחים!O28:Z28,נתונים_שטוחים!$O$4:$Z$4,$F$2)</f>
        <v>20604.23</v>
      </c>
      <c r="F30" s="103" t="n">
        <f aca="false">SUMIFS(נתונים_שטוחים!AA28:AL28,נתונים_שטוחים!$AA$4:$AL$4,$F$2)</f>
        <v>0</v>
      </c>
      <c r="G30" s="104" t="n">
        <f aca="false">IFERROR(F30/E30-1,"-")</f>
        <v>-1</v>
      </c>
      <c r="H30" s="103" t="n">
        <f aca="false">F30-E30</f>
        <v>-20604.23</v>
      </c>
      <c r="I30" s="103" t="n">
        <f aca="false">IFERROR(INDEX('תקציב  '!$A:$P,MATCH($B30,'תקציב  '!$C:$C,0),5+3*($F$2-1))+INDEX('תקציב  '!$A:$P,MATCH($B30,'תקציב  '!$C:$C,0),6+3*($F$2-1))+INDEX('תקציב  '!$A:$P,MATCH($B30,'תקציב  '!$C:$C,0),7+3*($F$2-1)),"-")</f>
        <v>40000</v>
      </c>
      <c r="J30" s="104" t="n">
        <f aca="false">IFERROR(F30/I30-1,"-")</f>
        <v>-1</v>
      </c>
      <c r="K30" s="103" t="n">
        <f aca="false">IFERROR(F30-I30,"-")</f>
        <v>-40000</v>
      </c>
      <c r="L30" s="103" t="n">
        <f aca="false">IF($F$2&lt;3,"-",IFERROR(INDEX('תקציב  '!$A:$AN,MATCH($B30,'תקציב  '!$C:$C,0),35+3*($F$2-3))+INDEX('תקציב  '!$A:$AN,MATCH($B30,'תקציב  '!$C:$C,0),36+3*($F$2-3))+INDEX('תקציב  '!$A:$AN,MATCH($B30,'תקציב  '!$C:$C,0),37+3*($F$2-3)),"-"))</f>
        <v>20000</v>
      </c>
      <c r="M30" s="104" t="n">
        <f aca="false">IF($F$2&lt;3,"-",IFERROR(F30/L30-1,"-"))</f>
        <v>-1</v>
      </c>
      <c r="N30" s="103" t="n">
        <f aca="false">IF($F$2&lt;3,"-",IFERROR(F30-L30,"-"))</f>
        <v>-20000</v>
      </c>
    </row>
    <row r="31" customFormat="false" ht="15" hidden="false" customHeight="true" outlineLevel="0" collapsed="false">
      <c r="A31" s="100" t="n">
        <v>208</v>
      </c>
      <c r="B31" s="102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SUMIFS(נתונים_שטוחים!C29:N29,נתונים_שטוחים!$C$4:$N$4,$F$2)</f>
        <v>198800.83</v>
      </c>
      <c r="E31" s="103" t="n">
        <f aca="false">SUMIFS(נתונים_שטוחים!O29:Z29,נתונים_שטוחים!$O$4:$Z$4,$F$2)</f>
        <v>256771.88</v>
      </c>
      <c r="F31" s="103" t="n">
        <f aca="false">SUMIFS(נתונים_שטוחים!AA29:AL29,נתונים_שטוחים!$AA$4:$AL$4,$F$2)</f>
        <v>0</v>
      </c>
      <c r="G31" s="104" t="n">
        <f aca="false">IFERROR(F31/E31-1,"-")</f>
        <v>-1</v>
      </c>
      <c r="H31" s="103" t="n">
        <f aca="false">F31-E31</f>
        <v>-256771.88</v>
      </c>
      <c r="I31" s="103" t="n">
        <f aca="false">IFERROR(INDEX('תקציב  '!$A:$P,MATCH($B31,'תקציב  '!$C:$C,0),5+3*($F$2-1))+INDEX('תקציב  '!$A:$P,MATCH($B31,'תקציב  '!$C:$C,0),6+3*($F$2-1))+INDEX('תקציב  '!$A:$P,MATCH($B31,'תקציב  '!$C:$C,0),7+3*($F$2-1)),"-")</f>
        <v>0</v>
      </c>
      <c r="J31" s="104" t="str">
        <f aca="false">IFERROR(F31/I31-1,"-")</f>
        <v>-</v>
      </c>
      <c r="K31" s="103" t="n">
        <f aca="false">IFERROR(F31-I31,"-")</f>
        <v>0</v>
      </c>
      <c r="L31" s="103" t="n">
        <f aca="false">IF($F$2&lt;3,"-",IFERROR(INDEX('תקציב  '!$A:$AN,MATCH($B31,'תקציב  '!$C:$C,0),35+3*($F$2-3))+INDEX('תקציב  '!$A:$AN,MATCH($B31,'תקציב  '!$C:$C,0),36+3*($F$2-3))+INDEX('תקציב  '!$A:$AN,MATCH($B31,'תקציב  '!$C:$C,0),37+3*($F$2-3)),"-"))</f>
        <v>100000</v>
      </c>
      <c r="M31" s="104" t="n">
        <f aca="false">IF($F$2&lt;3,"-",IFERROR(F31/L31-1,"-"))</f>
        <v>-1</v>
      </c>
      <c r="N31" s="103" t="n">
        <f aca="false">IF($F$2&lt;3,"-",IFERROR(F31-L31,"-"))</f>
        <v>-100000</v>
      </c>
    </row>
    <row r="32" customFormat="false" ht="15" hidden="false" customHeight="true" outlineLevel="0" collapsed="false">
      <c r="A32" s="100" t="n">
        <v>209</v>
      </c>
      <c r="B32" s="102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SUMIFS(נתונים_שטוחים!C30:N30,נתונים_שטוחים!$C$4:$N$4,$F$2)</f>
        <v>62633.86</v>
      </c>
      <c r="E32" s="103" t="n">
        <f aca="false">SUMIFS(נתונים_שטוחים!O30:Z30,נתונים_שטוחים!$O$4:$Z$4,$F$2)</f>
        <v>106882.54</v>
      </c>
      <c r="F32" s="103" t="n">
        <f aca="false">SUMIFS(נתונים_שטוחים!AA30:AL30,נתונים_שטוחים!$AA$4:$AL$4,$F$2)</f>
        <v>0</v>
      </c>
      <c r="G32" s="104" t="n">
        <f aca="false">IFERROR(F32/E32-1,"-")</f>
        <v>-1</v>
      </c>
      <c r="H32" s="103" t="n">
        <f aca="false">F32-E32</f>
        <v>-106882.54</v>
      </c>
      <c r="I32" s="103" t="n">
        <f aca="false">IFERROR(INDEX('תקציב  '!$A:$P,MATCH($B32,'תקציב  '!$C:$C,0),5+3*($F$2-1))+INDEX('תקציב  '!$A:$P,MATCH($B32,'תקציב  '!$C:$C,0),6+3*($F$2-1))+INDEX('תקציב  '!$A:$P,MATCH($B32,'תקציב  '!$C:$C,0),7+3*($F$2-1)),"-")</f>
        <v>119295.228</v>
      </c>
      <c r="J32" s="104" t="n">
        <f aca="false">IFERROR(F32/I32-1,"-")</f>
        <v>-1</v>
      </c>
      <c r="K32" s="103" t="n">
        <f aca="false">IFERROR(F32-I32,"-")</f>
        <v>-119295.228</v>
      </c>
      <c r="L32" s="103" t="n">
        <f aca="false">IF($F$2&lt;3,"-",IFERROR(INDEX('תקציב  '!$A:$AN,MATCH($B32,'תקציב  '!$C:$C,0),35+3*($F$2-3))+INDEX('תקציב  '!$A:$AN,MATCH($B32,'תקציב  '!$C:$C,0),36+3*($F$2-3))+INDEX('תקציב  '!$A:$AN,MATCH($B32,'תקציב  '!$C:$C,0),37+3*($F$2-3)),"-"))</f>
        <v>75000</v>
      </c>
      <c r="M32" s="104" t="n">
        <f aca="false">IF($F$2&lt;3,"-",IFERROR(F32/L32-1,"-"))</f>
        <v>-1</v>
      </c>
      <c r="N32" s="103" t="n">
        <f aca="false">IF($F$2&lt;3,"-",IFERROR(F32-L32,"-"))</f>
        <v>-75000</v>
      </c>
    </row>
    <row r="33" customFormat="false" ht="15" hidden="false" customHeight="true" outlineLevel="0" collapsed="false">
      <c r="A33" s="100" t="n">
        <v>210</v>
      </c>
      <c r="B33" s="102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SUMIFS(נתונים_שטוחים!C31:N31,נתונים_שטוחים!$C$4:$N$4,$F$2)</f>
        <v>3920.16</v>
      </c>
      <c r="E33" s="103" t="n">
        <f aca="false">SUMIFS(נתונים_שטוחים!O31:Z31,נתונים_שטוחים!$O$4:$Z$4,$F$2)</f>
        <v>32544.41</v>
      </c>
      <c r="F33" s="103" t="n">
        <f aca="false">SUMIFS(נתונים_שטוחים!AA31:AL31,נתונים_שטוחים!$AA$4:$AL$4,$F$2)</f>
        <v>0</v>
      </c>
      <c r="G33" s="104" t="n">
        <f aca="false">IFERROR(F33/E33-1,"-")</f>
        <v>-1</v>
      </c>
      <c r="H33" s="103" t="n">
        <f aca="false">F33-E33</f>
        <v>-32544.41</v>
      </c>
      <c r="I33" s="103" t="n">
        <f aca="false">IFERROR(INDEX('תקציב  '!$A:$P,MATCH($B33,'תקציב  '!$C:$C,0),5+3*($F$2-1))+INDEX('תקציב  '!$A:$P,MATCH($B33,'תקציב  '!$C:$C,0),6+3*($F$2-1))+INDEX('תקציב  '!$A:$P,MATCH($B33,'תקציב  '!$C:$C,0),7+3*($F$2-1)),"-")</f>
        <v>35000</v>
      </c>
      <c r="J33" s="104" t="n">
        <f aca="false">IFERROR(F33/I33-1,"-")</f>
        <v>-1</v>
      </c>
      <c r="K33" s="103" t="n">
        <f aca="false">IFERROR(F33-I33,"-")</f>
        <v>-35000</v>
      </c>
      <c r="L33" s="103" t="n">
        <f aca="false">IF($F$2&lt;3,"-",IFERROR(INDEX('תקציב  '!$A:$AN,MATCH($B33,'תקציב  '!$C:$C,0),35+3*($F$2-3))+INDEX('תקציב  '!$A:$AN,MATCH($B33,'תקציב  '!$C:$C,0),36+3*($F$2-3))+INDEX('תקציב  '!$A:$AN,MATCH($B33,'תקציב  '!$C:$C,0),37+3*($F$2-3)),"-"))</f>
        <v>30000</v>
      </c>
      <c r="M33" s="104" t="n">
        <f aca="false">IF($F$2&lt;3,"-",IFERROR(F33/L33-1,"-"))</f>
        <v>-1</v>
      </c>
      <c r="N33" s="103" t="n">
        <f aca="false">IF($F$2&lt;3,"-",IFERROR(F33-L33,"-"))</f>
        <v>-30000</v>
      </c>
    </row>
    <row r="34" customFormat="false" ht="15" hidden="false" customHeight="true" outlineLevel="0" collapsed="false">
      <c r="A34" s="100" t="n">
        <v>201</v>
      </c>
      <c r="B34" s="102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SUMIFS(נתונים_שטוחים!C32:N32,נתונים_שטוחים!$C$4:$N$4,$F$2)</f>
        <v>0</v>
      </c>
      <c r="E34" s="103" t="n">
        <f aca="false">SUMIFS(נתונים_שטוחים!O32:Z32,נתונים_שטוחים!$O$4:$Z$4,$F$2)</f>
        <v>22174.9</v>
      </c>
      <c r="F34" s="103" t="n">
        <f aca="false">SUMIFS(נתונים_שטוחים!AA32:AL32,נתונים_שטוחים!$AA$4:$AL$4,$F$2)</f>
        <v>0</v>
      </c>
      <c r="G34" s="104" t="n">
        <f aca="false">IFERROR(F34/E34-1,"-")</f>
        <v>-1</v>
      </c>
      <c r="H34" s="103" t="n">
        <f aca="false">F34-E34</f>
        <v>-22174.9</v>
      </c>
      <c r="I34" s="103" t="n">
        <f aca="false">IFERROR(INDEX('תקציב  '!$A:$P,MATCH($B34,'תקציב  '!$C:$C,0),5+3*($F$2-1))+INDEX('תקציב  '!$A:$P,MATCH($B34,'תקציב  '!$C:$C,0),6+3*($F$2-1))+INDEX('תקציב  '!$A:$P,MATCH($B34,'תקציב  '!$C:$C,0),7+3*($F$2-1)),"-")</f>
        <v>19793</v>
      </c>
      <c r="J34" s="104" t="n">
        <f aca="false">IFERROR(F34/I34-1,"-")</f>
        <v>-1</v>
      </c>
      <c r="K34" s="103" t="n">
        <f aca="false">IFERROR(F34-I34,"-")</f>
        <v>-19793</v>
      </c>
      <c r="L34" s="103" t="n">
        <f aca="false">IF($F$2&lt;3,"-",IFERROR(INDEX('תקציב  '!$A:$AN,MATCH($B34,'תקציב  '!$C:$C,0),35+3*($F$2-3))+INDEX('תקציב  '!$A:$AN,MATCH($B34,'תקציב  '!$C:$C,0),36+3*($F$2-3))+INDEX('תקציב  '!$A:$AN,MATCH($B34,'תקציב  '!$C:$C,0),37+3*($F$2-3)),"-"))</f>
        <v>0</v>
      </c>
      <c r="M34" s="104" t="str">
        <f aca="false">IF($F$2&lt;3,"-",IFERROR(F34/L34-1,"-"))</f>
        <v>-</v>
      </c>
      <c r="N34" s="103" t="n">
        <f aca="false">IF($F$2&lt;3,"-",IFERROR(F34-L34,"-"))</f>
        <v>0</v>
      </c>
    </row>
    <row r="35" customFormat="false" ht="15" hidden="false" customHeight="true" outlineLevel="0" collapsed="false">
      <c r="A35" s="100" t="n">
        <v>211</v>
      </c>
      <c r="B35" s="102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SUMIFS(נתונים_שטוחים!C33:N33,נתונים_שטוחים!$C$4:$N$4,$F$2)</f>
        <v>0</v>
      </c>
      <c r="E35" s="103" t="n">
        <f aca="false">SUMIFS(נתונים_שטוחים!O33:Z33,נתונים_שטוחים!$O$4:$Z$4,$F$2)</f>
        <v>0</v>
      </c>
      <c r="F35" s="103" t="n">
        <f aca="false">SUMIFS(נתונים_שטוחים!AA33:AL33,נתונים_שטוחים!$AA$4:$AL$4,$F$2)</f>
        <v>0</v>
      </c>
      <c r="G35" s="104" t="str">
        <f aca="false">IFERROR(F35/E35-1,"-")</f>
        <v>-</v>
      </c>
      <c r="H35" s="103" t="n">
        <f aca="false">F35-E35</f>
        <v>0</v>
      </c>
      <c r="I35" s="103" t="n">
        <f aca="false">IFERROR(INDEX('תקציב  '!$A:$P,MATCH($B35,'תקציב  '!$C:$C,0),5+3*($F$2-1))+INDEX('תקציב  '!$A:$P,MATCH($B35,'תקציב  '!$C:$C,0),6+3*($F$2-1))+INDEX('תקציב  '!$A:$P,MATCH($B35,'תקציב  '!$C:$C,0),7+3*($F$2-1)),"-")</f>
        <v>0</v>
      </c>
      <c r="J35" s="104" t="str">
        <f aca="false">IFERROR(F35/I35-1,"-")</f>
        <v>-</v>
      </c>
      <c r="K35" s="103" t="n">
        <f aca="false">IFERROR(F35-I35,"-")</f>
        <v>0</v>
      </c>
      <c r="L35" s="103" t="n">
        <f aca="false">IF($F$2&lt;3,"-",IFERROR(INDEX('תקציב  '!$A:$AN,MATCH($B35,'תקציב  '!$C:$C,0),35+3*($F$2-3))+INDEX('תקציב  '!$A:$AN,MATCH($B35,'תקציב  '!$C:$C,0),36+3*($F$2-3))+INDEX('תקציב  '!$A:$AN,MATCH($B35,'תקציב  '!$C:$C,0),37+3*($F$2-3)),"-"))</f>
        <v>0</v>
      </c>
      <c r="M35" s="104" t="str">
        <f aca="false">IF($F$2&lt;3,"-",IFERROR(F35/L35-1,"-"))</f>
        <v>-</v>
      </c>
      <c r="N35" s="103" t="n">
        <f aca="false">IF($F$2&lt;3,"-",IFERROR(F35-L35,"-"))</f>
        <v>0</v>
      </c>
    </row>
    <row r="36" customFormat="false" ht="15" hidden="false" customHeight="true" outlineLevel="0" collapsed="false">
      <c r="A36" s="100" t="n">
        <v>304</v>
      </c>
      <c r="B36" s="102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SUMIFS(נתונים_שטוחים!C34:N34,נתונים_שטוחים!$C$4:$N$4,$F$2)</f>
        <v>0</v>
      </c>
      <c r="E36" s="103" t="n">
        <f aca="false">SUMIFS(נתונים_שטוחים!O34:Z34,נתונים_שטוחים!$O$4:$Z$4,$F$2)</f>
        <v>0</v>
      </c>
      <c r="F36" s="103" t="n">
        <f aca="false">SUMIFS(נתונים_שטוחים!AA34:AL34,נתונים_שטוחים!$AA$4:$AL$4,$F$2)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'!$A:$P,MATCH($B36,'תקציב  '!$C:$C,0),5+3*($F$2-1))+INDEX('תקציב  '!$A:$P,MATCH($B36,'תקציב  '!$C:$C,0),6+3*($F$2-1))+INDEX('תקציב  '!$A:$P,MATCH($B36,'תקציב  '!$C:$C,0),7+3*($F$2-1)),"-")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IF($F$2&lt;3,"-",IFERROR(INDEX('תקציב  '!$A:$AN,MATCH($B36,'תקציב  '!$C:$C,0),35+3*($F$2-3))+INDEX('תקציב  '!$A:$AN,MATCH($B36,'תקציב  '!$C:$C,0),36+3*($F$2-3))+INDEX('תקציב  '!$A:$AN,MATCH($B36,'תקציב  '!$C:$C,0),37+3*($F$2-3)),"-"))</f>
        <v>-</v>
      </c>
      <c r="M36" s="104" t="str">
        <f aca="false">IF($F$2&lt;3,"-",IFERROR(F36/L36-1,"-"))</f>
        <v>-</v>
      </c>
      <c r="N36" s="103" t="str">
        <f aca="false">IF($F$2&lt;3,"-",IFERROR(F36-L36,"-"))</f>
        <v>-</v>
      </c>
    </row>
    <row r="37" customFormat="false" ht="15" hidden="false" customHeight="true" outlineLevel="0" collapsed="false">
      <c r="A37" s="100" t="n">
        <v>213</v>
      </c>
      <c r="B37" s="102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SUMIFS(נתונים_שטוחים!C35:N35,נתונים_שטוחים!$C$4:$N$4,$F$2)</f>
        <v>0</v>
      </c>
      <c r="E37" s="103" t="n">
        <f aca="false">SUMIFS(נתונים_שטוחים!O35:Z35,נתונים_שטוחים!$O$4:$Z$4,$F$2)</f>
        <v>0</v>
      </c>
      <c r="F37" s="103" t="n">
        <f aca="false">SUMIFS(נתונים_שטוחים!AA35:AL35,נתונים_שטוחים!$AA$4:$AL$4,$F$2)</f>
        <v>0</v>
      </c>
      <c r="G37" s="104" t="str">
        <f aca="false">IFERROR(F37/E37-1,"-")</f>
        <v>-</v>
      </c>
      <c r="H37" s="103" t="n">
        <f aca="false">F37-E37</f>
        <v>0</v>
      </c>
      <c r="I37" s="103" t="n">
        <f aca="false">IFERROR(INDEX('תקציב  '!$A:$P,MATCH($B37,'תקציב  '!$C:$C,0),5+3*($F$2-1))+INDEX('תקציב  '!$A:$P,MATCH($B37,'תקציב  '!$C:$C,0),6+3*($F$2-1))+INDEX('תקציב  '!$A:$P,MATCH($B37,'תקציב  '!$C:$C,0),7+3*($F$2-1)),"-")</f>
        <v>0</v>
      </c>
      <c r="J37" s="104" t="str">
        <f aca="false">IFERROR(F37/I37-1,"-")</f>
        <v>-</v>
      </c>
      <c r="K37" s="103" t="n">
        <f aca="false">IFERROR(F37-I37,"-")</f>
        <v>0</v>
      </c>
      <c r="L37" s="103" t="n">
        <f aca="false">IF($F$2&lt;3,"-",IFERROR(INDEX('תקציב  '!$A:$AN,MATCH($B37,'תקציב  '!$C:$C,0),35+3*($F$2-3))+INDEX('תקציב  '!$A:$AN,MATCH($B37,'תקציב  '!$C:$C,0),36+3*($F$2-3))+INDEX('תקציב  '!$A:$AN,MATCH($B37,'תקציב  '!$C:$C,0),37+3*($F$2-3)),"-"))</f>
        <v>0</v>
      </c>
      <c r="M37" s="104" t="str">
        <f aca="false">IF($F$2&lt;3,"-",IFERROR(F37/L37-1,"-"))</f>
        <v>-</v>
      </c>
      <c r="N37" s="103" t="n">
        <f aca="false">IF($F$2&lt;3,"-",IFERROR(F37-L37,"-"))</f>
        <v>0</v>
      </c>
    </row>
    <row r="38" customFormat="false" ht="15" hidden="false" customHeight="true" outlineLevel="0" collapsed="false">
      <c r="A38" s="100" t="n">
        <v>214</v>
      </c>
      <c r="B38" s="102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SUMIFS(נתונים_שטוחים!C36:N36,נתונים_שטוחים!$C$4:$N$4,$F$2)</f>
        <v>0</v>
      </c>
      <c r="E38" s="103" t="n">
        <f aca="false">SUMIFS(נתונים_שטוחים!O36:Z36,נתונים_שטוחים!$O$4:$Z$4,$F$2)</f>
        <v>23331.65</v>
      </c>
      <c r="F38" s="103" t="n">
        <f aca="false">SUMIFS(נתונים_שטוחים!AA36:AL36,נתונים_שטוחים!$AA$4:$AL$4,$F$2)</f>
        <v>0</v>
      </c>
      <c r="G38" s="104" t="n">
        <f aca="false">IFERROR(F38/E38-1,"-")</f>
        <v>-1</v>
      </c>
      <c r="H38" s="103" t="n">
        <f aca="false">F38-E38</f>
        <v>-23331.65</v>
      </c>
      <c r="I38" s="103" t="n">
        <f aca="false">IFERROR(INDEX('תקציב  '!$A:$P,MATCH($B38,'תקציב  '!$C:$C,0),5+3*($F$2-1))+INDEX('תקציב  '!$A:$P,MATCH($B38,'תקציב  '!$C:$C,0),6+3*($F$2-1))+INDEX('תקציב  '!$A:$P,MATCH($B38,'תקציב  '!$C:$C,0),7+3*($F$2-1)),"-")</f>
        <v>40000</v>
      </c>
      <c r="J38" s="104" t="n">
        <f aca="false">IFERROR(F38/I38-1,"-")</f>
        <v>-1</v>
      </c>
      <c r="K38" s="103" t="n">
        <f aca="false">IFERROR(F38-I38,"-")</f>
        <v>-40000</v>
      </c>
      <c r="L38" s="103" t="n">
        <f aca="false">IF($F$2&lt;3,"-",IFERROR(INDEX('תקציב  '!$A:$AN,MATCH($B38,'תקציב  '!$C:$C,0),35+3*($F$2-3))+INDEX('תקציב  '!$A:$AN,MATCH($B38,'תקציב  '!$C:$C,0),36+3*($F$2-3))+INDEX('תקציב  '!$A:$AN,MATCH($B38,'תקציב  '!$C:$C,0),37+3*($F$2-3)),"-"))</f>
        <v>25000</v>
      </c>
      <c r="M38" s="104" t="n">
        <f aca="false">IF($F$2&lt;3,"-",IFERROR(F38/L38-1,"-"))</f>
        <v>-1</v>
      </c>
      <c r="N38" s="103" t="n">
        <f aca="false">IF($F$2&lt;3,"-",IFERROR(F38-L38,"-"))</f>
        <v>-25000</v>
      </c>
    </row>
    <row r="39" customFormat="false" ht="15" hidden="false" customHeight="true" outlineLevel="0" collapsed="false">
      <c r="A39" s="100" t="n">
        <v>212</v>
      </c>
      <c r="B39" s="102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SUMIFS(נתונים_שטוחים!C37:N37,נתונים_שטוחים!$C$4:$N$4,$F$2)</f>
        <v>0</v>
      </c>
      <c r="E39" s="103" t="n">
        <f aca="false">SUMIFS(נתונים_שטוחים!O37:Z37,נתונים_שטוחים!$O$4:$Z$4,$F$2)</f>
        <v>0</v>
      </c>
      <c r="F39" s="103" t="n">
        <f aca="false">SUMIFS(נתונים_שטוחים!AA37:AL37,נתונים_שטוחים!$AA$4:$AL$4,$F$2)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'!$A:$P,MATCH($B39,'תקציב  '!$C:$C,0),5+3*($F$2-1))+INDEX('תקציב  '!$A:$P,MATCH($B39,'תקציב  '!$C:$C,0),6+3*($F$2-1))+INDEX('תקציב  '!$A:$P,MATCH($B39,'תקציב  '!$C:$C,0),7+3*($F$2-1)),"-")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IF($F$2&lt;3,"-",IFERROR(INDEX('תקציב  '!$A:$AN,MATCH($B39,'תקציב  '!$C:$C,0),35+3*($F$2-3))+INDEX('תקציב  '!$A:$AN,MATCH($B39,'תקציב  '!$C:$C,0),36+3*($F$2-3))+INDEX('תקציב  '!$A:$AN,MATCH($B39,'תקציב  '!$C:$C,0),37+3*($F$2-3)),"-"))</f>
        <v>-</v>
      </c>
      <c r="M39" s="104" t="str">
        <f aca="false">IF($F$2&lt;3,"-",IFERROR(F39/L39-1,"-"))</f>
        <v>-</v>
      </c>
      <c r="N39" s="103" t="str">
        <f aca="false">IF($F$2&lt;3,"-",IFERROR(F39-L39,"-"))</f>
        <v>-</v>
      </c>
    </row>
    <row r="40" customFormat="false" ht="15" hidden="false" customHeight="true" outlineLevel="0" collapsed="false">
      <c r="A40" s="100" t="n">
        <v>215</v>
      </c>
      <c r="B40" s="102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SUMIFS(נתונים_שטוחים!C38:N38,נתונים_שטוחים!$C$4:$N$4,$F$2)</f>
        <v>0</v>
      </c>
      <c r="E40" s="103" t="n">
        <f aca="false">SUMIFS(נתונים_שטוחים!O38:Z38,נתונים_שטוחים!$O$4:$Z$4,$F$2)</f>
        <v>0</v>
      </c>
      <c r="F40" s="103" t="n">
        <f aca="false">SUMIFS(נתונים_שטוחים!AA38:AL38,נתונים_שטוחים!$AA$4:$AL$4,$F$2)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'!$A:$P,MATCH($B40,'תקציב  '!$C:$C,0),5+3*($F$2-1))+INDEX('תקציב  '!$A:$P,MATCH($B40,'תקציב  '!$C:$C,0),6+3*($F$2-1))+INDEX('תקציב  '!$A:$P,MATCH($B40,'תקציב  '!$C:$C,0),7+3*($F$2-1)),"-")</f>
        <v>20000</v>
      </c>
      <c r="J40" s="104" t="n">
        <f aca="false">IFERROR(F40/I40-1,"-")</f>
        <v>-1</v>
      </c>
      <c r="K40" s="103" t="n">
        <f aca="false">IFERROR(F40-I40,"-")</f>
        <v>-20000</v>
      </c>
      <c r="L40" s="103" t="n">
        <f aca="false">IF($F$2&lt;3,"-",IFERROR(INDEX('תקציב  '!$A:$AN,MATCH($B40,'תקציב  '!$C:$C,0),35+3*($F$2-3))+INDEX('תקציב  '!$A:$AN,MATCH($B40,'תקציב  '!$C:$C,0),36+3*($F$2-3))+INDEX('תקציב  '!$A:$AN,MATCH($B40,'תקציב  '!$C:$C,0),37+3*($F$2-3)),"-"))</f>
        <v>0</v>
      </c>
      <c r="M40" s="104" t="str">
        <f aca="false">IF($F$2&lt;3,"-",IFERROR(F40/L40-1,"-"))</f>
        <v>-</v>
      </c>
      <c r="N40" s="103" t="n">
        <f aca="false">IF($F$2&lt;3,"-",IFERROR(F40-L40,"-"))</f>
        <v>0</v>
      </c>
    </row>
    <row r="41" customFormat="false" ht="15" hidden="false" customHeight="true" outlineLevel="0" collapsed="false">
      <c r="A41" s="100" t="n">
        <v>217</v>
      </c>
      <c r="B41" s="102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SUMIFS(נתונים_שטוחים!C39:N39,נתונים_שטוחים!$C$4:$N$4,$F$2)</f>
        <v>161576.19</v>
      </c>
      <c r="E41" s="103" t="n">
        <f aca="false">SUMIFS(נתונים_שטוחים!O39:Z39,נתונים_שטוחים!$O$4:$Z$4,$F$2)</f>
        <v>0</v>
      </c>
      <c r="F41" s="103" t="n">
        <f aca="false">SUMIFS(נתונים_שטוחים!AA39:AL39,נתונים_שטוחים!$AA$4:$AL$4,$F$2)</f>
        <v>0</v>
      </c>
      <c r="G41" s="104" t="str">
        <f aca="false">IFERROR(F41/E41-1,"-")</f>
        <v>-</v>
      </c>
      <c r="H41" s="103" t="n">
        <f aca="false">F41-E41</f>
        <v>0</v>
      </c>
      <c r="I41" s="103" t="n">
        <f aca="false">IFERROR(INDEX('תקציב  '!$A:$P,MATCH($B41,'תקציב  '!$C:$C,0),5+3*($F$2-1))+INDEX('תקציב  '!$A:$P,MATCH($B41,'תקציב  '!$C:$C,0),6+3*($F$2-1))+INDEX('תקציב  '!$A:$P,MATCH($B41,'תקציב  '!$C:$C,0),7+3*($F$2-1)),"-")</f>
        <v>200000</v>
      </c>
      <c r="J41" s="104" t="n">
        <f aca="false">IFERROR(F41/I41-1,"-")</f>
        <v>-1</v>
      </c>
      <c r="K41" s="103" t="n">
        <f aca="false">IFERROR(F41-I41,"-")</f>
        <v>-200000</v>
      </c>
      <c r="L41" s="103" t="n">
        <f aca="false">IF($F$2&lt;3,"-",IFERROR(INDEX('תקציב  '!$A:$AN,MATCH($B41,'תקציב  '!$C:$C,0),35+3*($F$2-3))+INDEX('תקציב  '!$A:$AN,MATCH($B41,'תקציב  '!$C:$C,0),36+3*($F$2-3))+INDEX('תקציב  '!$A:$AN,MATCH($B41,'תקציב  '!$C:$C,0),37+3*($F$2-3)),"-"))</f>
        <v>0</v>
      </c>
      <c r="M41" s="104" t="str">
        <f aca="false">IF($F$2&lt;3,"-",IFERROR(F41/L41-1,"-"))</f>
        <v>-</v>
      </c>
      <c r="N41" s="103" t="n">
        <f aca="false">IF($F$2&lt;3,"-",IFERROR(F41-L41,"-"))</f>
        <v>0</v>
      </c>
    </row>
    <row r="42" customFormat="false" ht="15" hidden="false" customHeight="true" outlineLevel="0" collapsed="false">
      <c r="A42" s="100" t="n">
        <v>303</v>
      </c>
      <c r="B42" s="102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SUMIFS(נתונים_שטוחים!C40:N40,נתונים_שטוחים!$C$4:$N$4,$F$2)</f>
        <v>0</v>
      </c>
      <c r="E42" s="103" t="n">
        <f aca="false">SUMIFS(נתונים_שטוחים!O40:Z40,נתונים_שטוחים!$O$4:$Z$4,$F$2)</f>
        <v>0</v>
      </c>
      <c r="F42" s="103" t="n">
        <f aca="false">SUMIFS(נתונים_שטוחים!AA40:AL40,נתונים_שטוחים!$AA$4:$AL$4,$F$2)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'!$A:$P,MATCH($B42,'תקציב  '!$C:$C,0),5+3*($F$2-1))+INDEX('תקציב  '!$A:$P,MATCH($B42,'תקציב  '!$C:$C,0),6+3*($F$2-1))+INDEX('תקציב  '!$A:$P,MATCH($B42,'תקציב  '!$C:$C,0),7+3*($F$2-1)),"-")</f>
        <v>200000</v>
      </c>
      <c r="J42" s="104" t="n">
        <f aca="false">IFERROR(F42/I42-1,"-")</f>
        <v>-1</v>
      </c>
      <c r="K42" s="103" t="n">
        <f aca="false">IFERROR(F42-I42,"-")</f>
        <v>-200000</v>
      </c>
      <c r="L42" s="103" t="n">
        <f aca="false">IF($F$2&lt;3,"-",IFERROR(INDEX('תקציב  '!$A:$AN,MATCH($B42,'תקציב  '!$C:$C,0),35+3*($F$2-3))+INDEX('תקציב  '!$A:$AN,MATCH($B42,'תקציב  '!$C:$C,0),36+3*($F$2-3))+INDEX('תקציב  '!$A:$AN,MATCH($B42,'תקציב  '!$C:$C,0),37+3*($F$2-3)),"-"))</f>
        <v>100000</v>
      </c>
      <c r="M42" s="104" t="n">
        <f aca="false">IF($F$2&lt;3,"-",IFERROR(F42/L42-1,"-"))</f>
        <v>-1</v>
      </c>
      <c r="N42" s="103" t="n">
        <f aca="false">IF($F$2&lt;3,"-",IFERROR(F42-L42,"-"))</f>
        <v>-100000</v>
      </c>
    </row>
    <row r="43" customFormat="false" ht="15" hidden="false" customHeight="true" outlineLevel="0" collapsed="false">
      <c r="A43" s="100" t="n">
        <v>305</v>
      </c>
      <c r="B43" s="102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SUMIFS(נתונים_שטוחים!C41:N41,נתונים_שטוחים!$C$4:$N$4,$F$2)</f>
        <v>0</v>
      </c>
      <c r="E43" s="103" t="n">
        <f aca="false">SUMIFS(נתונים_שטוחים!O41:Z41,נתונים_שטוחים!$O$4:$Z$4,$F$2)</f>
        <v>0</v>
      </c>
      <c r="F43" s="103" t="n">
        <f aca="false">SUMIFS(נתונים_שטוחים!AA41:AL41,נתונים_שטוחים!$AA$4:$AL$4,$F$2)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'!$A:$P,MATCH($B43,'תקציב  '!$C:$C,0),5+3*($F$2-1))+INDEX('תקציב  '!$A:$P,MATCH($B43,'תקציב  '!$C:$C,0),6+3*($F$2-1))+INDEX('תקציב  '!$A:$P,MATCH($B43,'תקציב  '!$C:$C,0),7+3*($F$2-1)),"-")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IF($F$2&lt;3,"-",IFERROR(INDEX('תקציב  '!$A:$AN,MATCH($B43,'תקציב  '!$C:$C,0),35+3*($F$2-3))+INDEX('תקציב  '!$A:$AN,MATCH($B43,'תקציב  '!$C:$C,0),36+3*($F$2-3))+INDEX('תקציב  '!$A:$AN,MATCH($B43,'תקציב  '!$C:$C,0),37+3*($F$2-3)),"-"))</f>
        <v>-</v>
      </c>
      <c r="M43" s="104" t="str">
        <f aca="false">IF($F$2&lt;3,"-",IFERROR(F43/L43-1,"-"))</f>
        <v>-</v>
      </c>
      <c r="N43" s="103" t="str">
        <f aca="false">IF($F$2&lt;3,"-",IFERROR(F43-L43,"-"))</f>
        <v>-</v>
      </c>
    </row>
    <row r="44" customFormat="false" ht="15" hidden="false" customHeight="true" outlineLevel="0" collapsed="false">
      <c r="A44" s="100" t="n">
        <v>302</v>
      </c>
      <c r="B44" s="102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SUMIFS(נתונים_שטוחים!C42:N42,נתונים_שטוחים!$C$4:$N$4,$F$2)</f>
        <v>0</v>
      </c>
      <c r="E44" s="103" t="n">
        <f aca="false">SUMIFS(נתונים_שטוחים!O42:Z42,נתונים_שטוחים!$O$4:$Z$4,$F$2)</f>
        <v>0</v>
      </c>
      <c r="F44" s="103" t="n">
        <f aca="false">SUMIFS(נתונים_שטוחים!AA42:AL42,נתונים_שטוחים!$AA$4:$AL$4,$F$2)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'!$A:$P,MATCH($B44,'תקציב  '!$C:$C,0),5+3*($F$2-1))+INDEX('תקציב  '!$A:$P,MATCH($B44,'תקציב  '!$C:$C,0),6+3*($F$2-1))+INDEX('תקציב  '!$A:$P,MATCH($B44,'תקציב  '!$C:$C,0),7+3*($F$2-1)),"-")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IF($F$2&lt;3,"-",IFERROR(INDEX('תקציב  '!$A:$AN,MATCH($B44,'תקציב  '!$C:$C,0),35+3*($F$2-3))+INDEX('תקציב  '!$A:$AN,MATCH($B44,'תקציב  '!$C:$C,0),36+3*($F$2-3))+INDEX('תקציב  '!$A:$AN,MATCH($B44,'תקציב  '!$C:$C,0),37+3*($F$2-3)),"-"))</f>
        <v>-</v>
      </c>
      <c r="M44" s="104" t="str">
        <f aca="false">IF($F$2&lt;3,"-",IFERROR(F44/L44-1,"-"))</f>
        <v>-</v>
      </c>
      <c r="N44" s="103" t="str">
        <f aca="false">IF($F$2&lt;3,"-",IFERROR(F44-L44,"-"))</f>
        <v>-</v>
      </c>
    </row>
    <row r="45" customFormat="false" ht="15" hidden="false" customHeight="true" outlineLevel="0" collapsed="false">
      <c r="A45" s="105"/>
      <c r="B45" s="107" t="s">
        <v>98</v>
      </c>
      <c r="C45" s="107"/>
      <c r="D45" s="108" t="n">
        <f aca="false">SUM(D23:D44)</f>
        <v>1853058.64</v>
      </c>
      <c r="E45" s="108" t="n">
        <f aca="false">SUM(E23:E44)</f>
        <v>1740109.33</v>
      </c>
      <c r="F45" s="108" t="n">
        <f aca="false">SUM(F23:F44)</f>
        <v>0</v>
      </c>
      <c r="G45" s="109" t="n">
        <f aca="false">IFERROR(F45/E45-1,"-")</f>
        <v>-1</v>
      </c>
      <c r="H45" s="108" t="n">
        <f aca="false">SUM(H23:H44)</f>
        <v>-1740109.33</v>
      </c>
      <c r="I45" s="108" t="n">
        <f aca="false">SUM(I23:I44)</f>
        <v>2696627.35715</v>
      </c>
      <c r="J45" s="109" t="n">
        <f aca="false">IFERROR(F45/I45-1,"-")</f>
        <v>-1</v>
      </c>
      <c r="K45" s="108" t="n">
        <f aca="false">SUM(K23:K44)</f>
        <v>-2696627.35715</v>
      </c>
      <c r="L45" s="108" t="n">
        <f aca="false">IF($F$2&lt;3,"-",SUM(L23:L44))</f>
        <v>2130572.1</v>
      </c>
      <c r="M45" s="109" t="n">
        <f aca="false">IF($F$2&lt;3,"-",IFERROR(F45/L45-1,"-"))</f>
        <v>-1</v>
      </c>
      <c r="N45" s="108" t="n">
        <f aca="false">IF($F$2&lt;3,"-",SUM(N23:N44))</f>
        <v>-2130572.1</v>
      </c>
    </row>
    <row r="46" customFormat="false" ht="15" hidden="false" customHeight="true" outlineLevel="0" collapsed="false">
      <c r="A46" s="110"/>
      <c r="B46" s="112" t="s">
        <v>116</v>
      </c>
      <c r="C46" s="112"/>
      <c r="D46" s="113" t="n">
        <f aca="false">SUM(D5:D18)+SUM(D20:D21)+SUM(D23:D44)</f>
        <v>5991738.124</v>
      </c>
      <c r="E46" s="113" t="n">
        <f aca="false">SUM(E5:E18)+SUM(E20:E21)+SUM(E23:E44)</f>
        <v>6153613.75</v>
      </c>
      <c r="F46" s="113" t="n">
        <f aca="false">SUM(F5:F18)+SUM(F20:F21)+SUM(F23:F44)</f>
        <v>20995.2</v>
      </c>
      <c r="G46" s="114" t="n">
        <f aca="false">IFERROR(F46/E46-1,"-")</f>
        <v>-0.996588151149396</v>
      </c>
      <c r="H46" s="113" t="n">
        <f aca="false">SUM(H5:H18)+SUM(H20:H21)+SUM(H23:H44)</f>
        <v>-6132618.55</v>
      </c>
      <c r="I46" s="113" t="n">
        <f aca="false">SUM(I5:I18)+SUM(I20:I21)+SUM(I23:I44)</f>
        <v>12514120.9105116</v>
      </c>
      <c r="J46" s="114" t="n">
        <f aca="false">IFERROR(F46/I46-1,"-")</f>
        <v>-0.998322279275537</v>
      </c>
      <c r="K46" s="113" t="n">
        <f aca="false">SUM(K5:K18)+SUM(K20:K21)+SUM(K23:K44)</f>
        <v>-12493125.7105116</v>
      </c>
      <c r="L46" s="113" t="n">
        <f aca="false">IF($F$2&lt;3,"-",SUM(L5:L18)+SUM(L20:L21)+SUM(L23:L44))</f>
        <v>10553450.0661017</v>
      </c>
      <c r="M46" s="114" t="n">
        <f aca="false">IF($F$2&lt;3,"-",IFERROR(F46/L46-1,"-"))</f>
        <v>-0.998010584228997</v>
      </c>
      <c r="N46" s="113" t="n">
        <f aca="false">IF($F$2&lt;3,"-",SUM(N5:N18)+SUM(N20:N21)+SUM(N23:N44))</f>
        <v>-10532454.8661017</v>
      </c>
    </row>
    <row r="47" customFormat="false" ht="15" hidden="false" customHeight="true" outlineLevel="0" collapsed="false">
      <c r="A47" s="115"/>
      <c r="B47" s="95" t="s">
        <v>117</v>
      </c>
      <c r="D47" s="116" t="n">
        <f aca="false">D45/D46</f>
        <v>0.309268963638038</v>
      </c>
      <c r="E47" s="116" t="n">
        <f aca="false">E45/E46</f>
        <v>0.282778445429728</v>
      </c>
      <c r="F47" s="116" t="n">
        <f aca="false">F45/F46</f>
        <v>0</v>
      </c>
    </row>
  </sheetData>
  <mergeCells count="1">
    <mergeCell ref="A1:N1"/>
  </mergeCells>
  <dataValidations count="1">
    <dataValidation allowBlank="false" error="בחר רבעון מהרשימה (Q1-Q4)" errorStyle="stop" operator="between" prompt="בחר רבעון" showDropDown="false" showErrorMessage="false" showInputMessage="false" sqref="D2" type="list">
      <formula1>"Q1,Q2,Q3,Q4"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7" activeCellId="0" sqref="F37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5.38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127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1.2024</v>
      </c>
      <c r="F2" s="120" t="n">
        <v>1.2025</v>
      </c>
      <c r="G2" s="120" t="n">
        <v>1.2026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-594.08</v>
      </c>
      <c r="F3" s="125" t="n">
        <v>58427.8</v>
      </c>
      <c r="G3" s="125" t="n">
        <v>63104</v>
      </c>
      <c r="H3" s="126" t="n">
        <f aca="false">G3/F3-1</f>
        <v>0.0800338195174215</v>
      </c>
      <c r="I3" s="127" t="n">
        <f aca="false">G3-F3</f>
        <v>4676.2</v>
      </c>
      <c r="J3" s="128" t="n">
        <f aca="false">VLOOKUP(B3,'תקציב  '!$B:$S,4,0)*1</f>
        <v>176666.666666667</v>
      </c>
      <c r="K3" s="126" t="n">
        <f aca="false">G3/J3-1</f>
        <v>-0.642807547169812</v>
      </c>
      <c r="L3" s="129" t="n">
        <f aca="false">G3-J3</f>
        <v>-113562.666666667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452441.08</v>
      </c>
      <c r="F4" s="125" t="n">
        <v>670882.199700005</v>
      </c>
      <c r="G4" s="125" t="n">
        <f aca="false">465886*0.91</f>
        <v>423956.26</v>
      </c>
      <c r="H4" s="126" t="n">
        <f aca="false">G4/F4-1</f>
        <v>-0.36806154614092</v>
      </c>
      <c r="I4" s="127" t="n">
        <f aca="false">G4-F4</f>
        <v>-246925.939700005</v>
      </c>
      <c r="J4" s="128" t="n">
        <f aca="false">VLOOKUP(B4,'תקציב  '!$B:$S,4,0)*1</f>
        <v>536666.666666667</v>
      </c>
      <c r="K4" s="126" t="n">
        <f aca="false">G4/J4-1</f>
        <v>-0.210019391304348</v>
      </c>
      <c r="L4" s="129" t="n">
        <f aca="false">G4-J4</f>
        <v>-112710.406666667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63301.42</v>
      </c>
      <c r="F5" s="125" t="n">
        <v>54489.89</v>
      </c>
      <c r="G5" s="125" t="n">
        <f aca="false">(74936-611)*0.91</f>
        <v>67635.75</v>
      </c>
      <c r="H5" s="126" t="n">
        <f aca="false">G5/F5-1</f>
        <v>0.241253193941115</v>
      </c>
      <c r="I5" s="127" t="n">
        <f aca="false">G5-F5</f>
        <v>13145.86</v>
      </c>
      <c r="J5" s="128" t="n">
        <f aca="false">VLOOKUP(B5,'תקציב  '!$B:$S,4,0)*1</f>
        <v>73000</v>
      </c>
      <c r="K5" s="126" t="n">
        <f aca="false">G5/J5-1</f>
        <v>-0.0734828767123288</v>
      </c>
      <c r="L5" s="129" t="n">
        <f aca="false">G5-J5</f>
        <v>-5364.25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164714.584</v>
      </c>
      <c r="F6" s="125" t="n">
        <v>136160.380299998</v>
      </c>
      <c r="G6" s="125" t="n">
        <f aca="false">675284.8-G5-G4+8477</f>
        <v>192169.79</v>
      </c>
      <c r="H6" s="126" t="n">
        <f aca="false">G6/F6-1</f>
        <v>0.411348804818246</v>
      </c>
      <c r="I6" s="127" t="n">
        <f aca="false">G6-F6</f>
        <v>56009.409700002</v>
      </c>
      <c r="J6" s="128" t="n">
        <f aca="false">VLOOKUP(A6,'תקציב  '!$B:$S,4,0)*1</f>
        <v>152333.333333333</v>
      </c>
      <c r="K6" s="126" t="n">
        <f aca="false">G6/J6-1</f>
        <v>0.261508468271338</v>
      </c>
      <c r="L6" s="129" t="n">
        <f aca="false">G6-J6</f>
        <v>39836.456666667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414961</v>
      </c>
      <c r="F7" s="125" t="n">
        <v>326467.5</v>
      </c>
      <c r="G7" s="125" t="n">
        <v>320186.2</v>
      </c>
      <c r="H7" s="126" t="n">
        <f aca="false">G7/F7-1</f>
        <v>-0.0192402000199101</v>
      </c>
      <c r="I7" s="127" t="n">
        <f aca="false">G7-F7</f>
        <v>-6281.29999999999</v>
      </c>
      <c r="J7" s="128" t="n">
        <f aca="false">VLOOKUP(B7,'תקציב  '!$B:$S,4,0)*1</f>
        <v>365000</v>
      </c>
      <c r="K7" s="126" t="n">
        <f aca="false">G7/J7-1</f>
        <v>-0.122777534246575</v>
      </c>
      <c r="L7" s="129" t="n">
        <f aca="false">G7-J7</f>
        <v>-44813.8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74817.97</v>
      </c>
      <c r="F8" s="125" t="n">
        <v>57834.64</v>
      </c>
      <c r="G8" s="125" t="n">
        <v>60425.14</v>
      </c>
      <c r="H8" s="126" t="n">
        <f aca="false">G8/F8-1</f>
        <v>0.0447914952008002</v>
      </c>
      <c r="I8" s="127" t="n">
        <f aca="false">G8-F8</f>
        <v>2590.5</v>
      </c>
      <c r="J8" s="128" t="n">
        <f aca="false">VLOOKUP(B8,'תקציב  '!$B:$S,4,0)*1</f>
        <v>83333.3333333333</v>
      </c>
      <c r="K8" s="126" t="n">
        <f aca="false">G8/J8-1</f>
        <v>-0.27489832</v>
      </c>
      <c r="L8" s="129" t="n">
        <f aca="false">G8-J8</f>
        <v>-22908.1933333333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91890.1</v>
      </c>
      <c r="F9" s="125" t="n">
        <v>72633.3</v>
      </c>
      <c r="G9" s="125" t="n">
        <v>86618.03</v>
      </c>
      <c r="H9" s="126" t="n">
        <f aca="false">G9/F9-1</f>
        <v>0.192538821725021</v>
      </c>
      <c r="I9" s="127" t="n">
        <f aca="false">G9-F9</f>
        <v>13984.73</v>
      </c>
      <c r="J9" s="128" t="n">
        <f aca="false">VLOOKUP(B9,'תקציב  '!$B:$S,4,0)*1</f>
        <v>127583.333333333</v>
      </c>
      <c r="K9" s="126" t="n">
        <f aca="false">G9/J9-1</f>
        <v>-0.321086636185498</v>
      </c>
      <c r="L9" s="129" t="n">
        <f aca="false">G9-J9</f>
        <v>-40965.303333333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15878.93</v>
      </c>
      <c r="F10" s="125" t="n">
        <v>16402.68</v>
      </c>
      <c r="G10" s="125" t="n">
        <v>18073.66</v>
      </c>
      <c r="H10" s="126" t="n">
        <f aca="false">G10/F10-1</f>
        <v>0.101872376953035</v>
      </c>
      <c r="I10" s="127" t="n">
        <f aca="false">G10-F10</f>
        <v>1670.98</v>
      </c>
      <c r="J10" s="128" t="n">
        <f aca="false">VLOOKUP(B10,'תקציב  '!$B:$S,4,0)*1</f>
        <v>15833.3333333333</v>
      </c>
      <c r="K10" s="126" t="n">
        <f aca="false">G10/J10-1</f>
        <v>0.141494315789476</v>
      </c>
      <c r="L10" s="129" t="n">
        <f aca="false">G10-J10</f>
        <v>2240.3266666667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5667.68</v>
      </c>
      <c r="F11" s="125" t="n">
        <v>6025.5</v>
      </c>
      <c r="G11" s="125" t="n">
        <v>5894.68</v>
      </c>
      <c r="H11" s="126" t="n">
        <f aca="false">G11/F11-1</f>
        <v>-0.0217110613227117</v>
      </c>
      <c r="I11" s="127" t="n">
        <f aca="false">G11-F11</f>
        <v>-130.82</v>
      </c>
      <c r="J11" s="128" t="n">
        <f aca="false">VLOOKUP(B11,'תקציב  '!$B:$S,4,0)*1</f>
        <v>6333.33333333333</v>
      </c>
      <c r="K11" s="126" t="n">
        <f aca="false">G11/J11-1</f>
        <v>-0.0692610526315785</v>
      </c>
      <c r="L11" s="129" t="n">
        <f aca="false">G11-J11</f>
        <v>-438.65333333333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1162.85</v>
      </c>
      <c r="G12" s="125" t="n">
        <v>810.6</v>
      </c>
      <c r="H12" s="126" t="n">
        <f aca="false">G12/F12-1</f>
        <v>-0.302919551102894</v>
      </c>
      <c r="I12" s="127" t="n">
        <f aca="false">G12-F12</f>
        <v>-352.25</v>
      </c>
      <c r="J12" s="128" t="n">
        <f aca="false">VLOOKUP(B12,'תקציב  '!$B:$S,4,0)*1</f>
        <v>0</v>
      </c>
      <c r="K12" s="126"/>
      <c r="L12" s="129" t="n">
        <f aca="false">G12-J12</f>
        <v>810.6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'!$B:$S,4,0)*1</f>
        <v>0</v>
      </c>
      <c r="K13" s="126"/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2523.6</v>
      </c>
      <c r="H14" s="126" t="str">
        <f aca="false">IFERROR(G14/F14-1,"-")</f>
        <v>-</v>
      </c>
      <c r="I14" s="127" t="n">
        <f aca="false">G14-F14</f>
        <v>2523.6</v>
      </c>
      <c r="J14" s="128" t="n">
        <f aca="false">VLOOKUP(B14,'תקציב  '!$B:$S,4,0)*1</f>
        <v>0</v>
      </c>
      <c r="K14" s="126"/>
      <c r="L14" s="129" t="n">
        <f aca="false">G14-J14</f>
        <v>2523.6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4135.49</v>
      </c>
      <c r="F15" s="125" t="n">
        <v>15213.91</v>
      </c>
      <c r="G15" s="125" t="n">
        <v>11467.92</v>
      </c>
      <c r="H15" s="126" t="n">
        <f aca="false">G15/F15-1</f>
        <v>-0.246221385560977</v>
      </c>
      <c r="I15" s="127" t="n">
        <f aca="false">G15-F15</f>
        <v>-3745.99</v>
      </c>
      <c r="J15" s="128" t="n">
        <f aca="false">VLOOKUP(B15,'תקציב  '!$B:$S,4,0)*1</f>
        <v>16666.6666666667</v>
      </c>
      <c r="K15" s="126" t="n">
        <f aca="false">G15/J15-1</f>
        <v>-0.311924800000001</v>
      </c>
      <c r="L15" s="129" t="n">
        <f aca="false">G15-J15</f>
        <v>-5198.7466666667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1287214.174</v>
      </c>
      <c r="F16" s="131" t="n">
        <f aca="false">SUM(F3:F15)+F50</f>
        <v>1415700.65</v>
      </c>
      <c r="G16" s="131" t="n">
        <f aca="false">SUM(G3:G15)+G50</f>
        <v>1252865.63</v>
      </c>
      <c r="H16" s="132" t="n">
        <f aca="false">G16/F16-1</f>
        <v>-0.115020799065115</v>
      </c>
      <c r="I16" s="131" t="n">
        <f aca="false">SUM(I3:I15)+I50</f>
        <v>-162835.020000003</v>
      </c>
      <c r="J16" s="131" t="n">
        <f aca="false">SUM(J3:J15)+J50</f>
        <v>1553416.66666667</v>
      </c>
      <c r="K16" s="132" t="n">
        <f aca="false">G16/J16-1</f>
        <v>-0.193477412156</v>
      </c>
      <c r="L16" s="131" t="n">
        <f aca="false">SUM(L3:L15)+L50</f>
        <v>-300551.036666667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42663.04</v>
      </c>
      <c r="F17" s="125" t="n">
        <v>92988.1699999996</v>
      </c>
      <c r="G17" s="125" t="n">
        <v>212354.119999999</v>
      </c>
      <c r="H17" s="126" t="n">
        <f aca="false">G17/F17-1</f>
        <v>1.28366812681656</v>
      </c>
      <c r="I17" s="127" t="n">
        <f aca="false">G17-F17</f>
        <v>119365.949999999</v>
      </c>
      <c r="J17" s="128" t="n">
        <f aca="false">VLOOKUP(B17,'תקציב  '!$B:$S,4,0)*1</f>
        <v>296610.169491525</v>
      </c>
      <c r="K17" s="126" t="n">
        <f aca="false">G17/J17-1</f>
        <v>-0.284063252571431</v>
      </c>
      <c r="L17" s="129" t="n">
        <f aca="false">G17-J17</f>
        <v>-84256.049491526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1654.88</v>
      </c>
      <c r="F18" s="125" t="n">
        <v>2032.3</v>
      </c>
      <c r="G18" s="125" t="n">
        <v>1274.4</v>
      </c>
      <c r="H18" s="126" t="n">
        <f aca="false">G18/F18-1</f>
        <v>-0.372927225311224</v>
      </c>
      <c r="I18" s="127" t="n">
        <f aca="false">G18-F18</f>
        <v>-757.9</v>
      </c>
      <c r="J18" s="128" t="n">
        <f aca="false">VLOOKUP(B18,'תקציב  '!$B:$S,4,0)*1</f>
        <v>2536.92833333333</v>
      </c>
      <c r="K18" s="126" t="n">
        <f aca="false">G18/J18-1</f>
        <v>-0.497660228215617</v>
      </c>
      <c r="L18" s="129" t="n">
        <f aca="false">G18-J18</f>
        <v>-1262.52833333333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1331532.094</v>
      </c>
      <c r="F19" s="133" t="n">
        <f aca="false">F16+F17+F18</f>
        <v>1510721.12</v>
      </c>
      <c r="G19" s="133" t="n">
        <f aca="false">G16+G17+G18</f>
        <v>1466494.15</v>
      </c>
      <c r="H19" s="134" t="n">
        <f aca="false">G19/F19-1</f>
        <v>-0.0292754032590764</v>
      </c>
      <c r="I19" s="133" t="n">
        <f aca="false">I16+I17+I18</f>
        <v>-44226.9700000036</v>
      </c>
      <c r="J19" s="133" t="n">
        <f aca="false">J16+J17+J18</f>
        <v>1852563.76449153</v>
      </c>
      <c r="K19" s="134" t="n">
        <f aca="false">G19/J19-1</f>
        <v>-0.208397476994532</v>
      </c>
      <c r="L19" s="133" t="n">
        <f aca="false">L16+L17+L18</f>
        <v>-386069.614491526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391520.95</v>
      </c>
      <c r="F20" s="125" t="n">
        <v>187395.64</v>
      </c>
      <c r="G20" s="125" t="n">
        <v>178026.69</v>
      </c>
      <c r="H20" s="126" t="n">
        <f aca="false">G20/F20-1</f>
        <v>-0.0499955601955308</v>
      </c>
      <c r="I20" s="127" t="n">
        <f aca="false">G20-F20</f>
        <v>-9368.95000000001</v>
      </c>
      <c r="J20" s="128" t="n">
        <f aca="false">VLOOKUP(B20,'תקציב  '!$B:$S,4,0)*1</f>
        <v>272275.1101125</v>
      </c>
      <c r="K20" s="126" t="n">
        <f aca="false">G20/J20-1</f>
        <v>-0.346151435118539</v>
      </c>
      <c r="L20" s="129" t="n">
        <f aca="false">G20-J20</f>
        <v>-94248.4201125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203.73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'!$B:$S,4,0)*1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49158.59</v>
      </c>
      <c r="F22" s="125" t="n">
        <v>18517.61</v>
      </c>
      <c r="G22" s="125" t="n">
        <v>124895.37</v>
      </c>
      <c r="H22" s="126" t="n">
        <f aca="false">G22/F22-1</f>
        <v>5.74468087404368</v>
      </c>
      <c r="I22" s="127" t="n">
        <f aca="false">G22-F22</f>
        <v>106377.76</v>
      </c>
      <c r="J22" s="128" t="n">
        <f aca="false">VLOOKUP(B22,'תקציב  '!$B:$S,4,0)*1</f>
        <v>124895.37</v>
      </c>
      <c r="K22" s="126" t="n">
        <f aca="false">G22/J22-1</f>
        <v>0</v>
      </c>
      <c r="L22" s="129" t="n">
        <f aca="false">G22-J22</f>
        <v>0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68604.55</v>
      </c>
      <c r="F23" s="125" t="n">
        <v>0</v>
      </c>
      <c r="G23" s="125" t="n">
        <v>67158.97</v>
      </c>
      <c r="H23" s="126" t="str">
        <f aca="false">IFERROR(G23/F23-1,"-")</f>
        <v>-</v>
      </c>
      <c r="I23" s="127" t="n">
        <f aca="false">G23-F23</f>
        <v>67158.97</v>
      </c>
      <c r="J23" s="128" t="n">
        <f aca="false">VLOOKUP(B23,'תקציב  '!$B:$S,4,0)*1</f>
        <v>67158.97</v>
      </c>
      <c r="K23" s="126" t="n">
        <f aca="false">G23/J23-1</f>
        <v>0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15923.68</v>
      </c>
      <c r="F24" s="125" t="n">
        <v>0</v>
      </c>
      <c r="G24" s="125" t="n">
        <v>15774.92</v>
      </c>
      <c r="H24" s="126" t="str">
        <f aca="false">IFERROR(G24/F24-1,"-")</f>
        <v>-</v>
      </c>
      <c r="I24" s="127" t="n">
        <f aca="false">G24-F24</f>
        <v>15774.92</v>
      </c>
      <c r="J24" s="128" t="n">
        <f aca="false">VLOOKUP(B24,'תקציב  '!$B:$S,4,0)*1</f>
        <v>15774.92</v>
      </c>
      <c r="K24" s="126" t="n">
        <f aca="false">G24/J24-1</f>
        <v>0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50777.76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'!$B:$S,4,0)*1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249206.12</v>
      </c>
      <c r="F26" s="125" t="n">
        <v>0</v>
      </c>
      <c r="G26" s="125" t="n">
        <v>-1269.06</v>
      </c>
      <c r="H26" s="126" t="str">
        <f aca="false">IFERROR(G26/F26-1,"-")</f>
        <v>-</v>
      </c>
      <c r="I26" s="127" t="n">
        <f aca="false">G26-F26</f>
        <v>-1269.06</v>
      </c>
      <c r="J26" s="128" t="n">
        <f aca="false">VLOOKUP(B26,'תקציב  '!$B:$S,4,0)*1</f>
        <v>0</v>
      </c>
      <c r="K26" s="126" t="str">
        <f aca="false">IFERROR(G26/J26-1,"-")</f>
        <v>-</v>
      </c>
      <c r="L26" s="129" t="n">
        <f aca="false">G26-J26</f>
        <v>-1269.06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'!$B:$S,4,0)*1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'!$B:$S,4,0)*1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0</v>
      </c>
      <c r="F29" s="125" t="n">
        <v>0</v>
      </c>
      <c r="G29" s="125" t="n">
        <v>27429.74</v>
      </c>
      <c r="H29" s="126" t="str">
        <f aca="false">IFERROR(G29/F29-1,"-")</f>
        <v>-</v>
      </c>
      <c r="I29" s="127" t="n">
        <f aca="false">G29-F29</f>
        <v>27429.74</v>
      </c>
      <c r="J29" s="128" t="n">
        <f aca="false">VLOOKUP(B29,'תקציב  '!$B:$S,4,0)*1</f>
        <v>27429.74</v>
      </c>
      <c r="K29" s="126" t="n">
        <f aca="false">G29/J29-1</f>
        <v>0</v>
      </c>
      <c r="L29" s="129" t="n">
        <f aca="false">G29-J29</f>
        <v>0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'!$B:$S,4,0)*1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19897.57</v>
      </c>
      <c r="G31" s="125"/>
      <c r="H31" s="126" t="n">
        <f aca="false">G31/F31-1</f>
        <v>-1</v>
      </c>
      <c r="I31" s="127" t="n">
        <f aca="false">G31-F31</f>
        <v>-19897.57</v>
      </c>
      <c r="J31" s="128" t="n">
        <f aca="false">VLOOKUP(B31,'תקציב  '!$B:$S,4,0)*1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'!$B:$S,4,0)*1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20732.48</v>
      </c>
      <c r="F34" s="125" t="n">
        <v>19111.37</v>
      </c>
      <c r="G34" s="125" t="n">
        <v>18792.66</v>
      </c>
      <c r="H34" s="126" t="n">
        <f aca="false">G34/F34-1</f>
        <v>-0.0166764601386504</v>
      </c>
      <c r="I34" s="127" t="n">
        <f aca="false">G34-F34</f>
        <v>-318.709999999999</v>
      </c>
      <c r="J34" s="128" t="n">
        <f aca="false">VLOOKUP(B34,'תקציב  '!$B:$S,4,0)*1</f>
        <v>18792.66</v>
      </c>
      <c r="K34" s="126" t="n">
        <f aca="false">G34/J34-1</f>
        <v>0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'!$B:$S,4,0)*1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'!$B:$S,4,0)*1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846127.86</v>
      </c>
      <c r="F40" s="136" t="n">
        <f aca="false">SUM(F20:F39)+F51+F52</f>
        <v>244922.19</v>
      </c>
      <c r="G40" s="136" t="n">
        <f aca="false">SUM(G20:G39)+G51+G52</f>
        <v>430809.29</v>
      </c>
      <c r="H40" s="137" t="n">
        <f aca="false">G40/F40-1</f>
        <v>0.758963897881201</v>
      </c>
      <c r="I40" s="136" t="n">
        <f aca="false">SUM(I20:I39)+I51+I52</f>
        <v>185887.1</v>
      </c>
      <c r="J40" s="136" t="n">
        <f aca="false">SUM(J20:J39)+J51+J52</f>
        <v>526326.7701125</v>
      </c>
      <c r="K40" s="137" t="n">
        <f aca="false">G40/J40-1</f>
        <v>-0.181479425969695</v>
      </c>
      <c r="L40" s="136" t="n">
        <f aca="false">SUM(L20:L39)+L51+L52</f>
        <v>-95517.4801125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2177659.954</v>
      </c>
      <c r="F41" s="139" t="n">
        <f aca="false">F40+F19</f>
        <v>1755643.31</v>
      </c>
      <c r="G41" s="139" t="n">
        <f aca="false">G40+G19</f>
        <v>1897303.44</v>
      </c>
      <c r="H41" s="140" t="n">
        <f aca="false">G41/F41-1</f>
        <v>0.0806884457640751</v>
      </c>
      <c r="I41" s="139" t="n">
        <f aca="false">I40+I19</f>
        <v>141660.129999996</v>
      </c>
      <c r="J41" s="139" t="n">
        <f aca="false">J40+J19</f>
        <v>2378890.53460403</v>
      </c>
      <c r="K41" s="140" t="n">
        <f aca="false">G41/J41-1</f>
        <v>-0.202441889443302</v>
      </c>
      <c r="L41" s="139" t="n">
        <f aca="false">L40+L19</f>
        <v>-481587.094604026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0.388549120557506</v>
      </c>
      <c r="F42" s="142" t="n">
        <f aca="false">F40/F41</f>
        <v>0.139505666444285</v>
      </c>
      <c r="G42" s="142" t="n">
        <f aca="false">G40/G41</f>
        <v>0.227063990354648</v>
      </c>
      <c r="H42" s="143"/>
      <c r="I42" s="5"/>
      <c r="J42" s="76" t="n">
        <f aca="false">J41-'תקציב  '!E41*1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9" activeCellId="0" sqref="F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8.12"/>
    <col collapsed="false" customWidth="true" hidden="tru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2.2024</v>
      </c>
      <c r="F2" s="120" t="n">
        <v>2.2025</v>
      </c>
      <c r="G2" s="120" t="n">
        <v>2.2026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347582.74</v>
      </c>
      <c r="F3" s="125" t="n">
        <v>233209.9</v>
      </c>
      <c r="G3" s="125" t="n">
        <v>364352.2</v>
      </c>
      <c r="H3" s="126" t="n">
        <f aca="false">G3/F3-1</f>
        <v>0.562335904264785</v>
      </c>
      <c r="I3" s="127" t="n">
        <f aca="false">G3-F3</f>
        <v>131142.3</v>
      </c>
      <c r="J3" s="128" t="n">
        <f aca="false">VLOOKUP(B3,'תקציב  '!$B:$S,5,0)*1</f>
        <v>168253.968253968</v>
      </c>
      <c r="K3" s="126" t="n">
        <f aca="false">G3/J3-1</f>
        <v>1.16548949056604</v>
      </c>
      <c r="L3" s="129" t="n">
        <f aca="false">G3-J3</f>
        <v>196098.231746032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422279.312</v>
      </c>
      <c r="F4" s="125" t="n">
        <v>406825.346200003</v>
      </c>
      <c r="G4" s="125" t="n">
        <v>469684.033</v>
      </c>
      <c r="H4" s="126" t="n">
        <f aca="false">G4/F4-1</f>
        <v>0.154510252094997</v>
      </c>
      <c r="I4" s="127" t="n">
        <f aca="false">G4-F4</f>
        <v>62858.686799997</v>
      </c>
      <c r="J4" s="128" t="n">
        <f aca="false">VLOOKUP(B4,'תקציב  '!$B:$S,5,0)*1</f>
        <v>532634.920634921</v>
      </c>
      <c r="K4" s="126" t="n">
        <f aca="false">G4/J4-1</f>
        <v>-0.118187683901538</v>
      </c>
      <c r="L4" s="129" t="n">
        <f aca="false">G4-J4</f>
        <v>-62950.8876349211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82457.193</v>
      </c>
      <c r="F5" s="125" t="n">
        <v>65962.26</v>
      </c>
      <c r="G5" s="125" t="n">
        <v>68397.329</v>
      </c>
      <c r="H5" s="126" t="n">
        <f aca="false">G5/F5-1</f>
        <v>0.0369160941423172</v>
      </c>
      <c r="I5" s="127" t="n">
        <f aca="false">G5-F5</f>
        <v>2435.069</v>
      </c>
      <c r="J5" s="128" t="n">
        <f aca="false">VLOOKUP(B5,'תקציב  '!$B:$S,5,0)*1</f>
        <v>73428.5714285714</v>
      </c>
      <c r="K5" s="126" t="n">
        <f aca="false">G5/J5-1</f>
        <v>-0.0685188657587547</v>
      </c>
      <c r="L5" s="129" t="n">
        <f aca="false">G5-J5</f>
        <v>-5031.24242857141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163451.946</v>
      </c>
      <c r="F6" s="125" t="n">
        <v>133409.823800003</v>
      </c>
      <c r="G6" s="125" t="n">
        <v>140722.24</v>
      </c>
      <c r="H6" s="126" t="n">
        <f aca="false">G6/F6-1</f>
        <v>0.0548116772192064</v>
      </c>
      <c r="I6" s="127" t="n">
        <f aca="false">G6-F6</f>
        <v>7312.41619999698</v>
      </c>
      <c r="J6" s="128" t="n">
        <f aca="false">VLOOKUP(A6,'תקציב  '!$B:$S,5,0)*1</f>
        <v>156793.650793651</v>
      </c>
      <c r="K6" s="126" t="n">
        <f aca="false">G6/J6-1</f>
        <v>-0.102500392792064</v>
      </c>
      <c r="L6" s="129" t="n">
        <f aca="false">G6-J6</f>
        <v>-16071.410793651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385135</v>
      </c>
      <c r="F7" s="125" t="n">
        <v>371734.5</v>
      </c>
      <c r="G7" s="125" t="n">
        <v>299047.35</v>
      </c>
      <c r="H7" s="126" t="n">
        <f aca="false">G7/F7-1</f>
        <v>-0.195535119823422</v>
      </c>
      <c r="I7" s="127" t="n">
        <f aca="false">G7-F7</f>
        <v>-72687.15</v>
      </c>
      <c r="J7" s="128" t="n">
        <f aca="false">VLOOKUP(B7,'תקציב  '!$B:$S,5,0)*1</f>
        <v>365000</v>
      </c>
      <c r="K7" s="126" t="n">
        <f aca="false">G7/J7-1</f>
        <v>-0.180692191780822</v>
      </c>
      <c r="L7" s="129" t="n">
        <f aca="false">G7-J7</f>
        <v>-65952.65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91523.03</v>
      </c>
      <c r="F8" s="125" t="n">
        <v>82146.14</v>
      </c>
      <c r="G8" s="125" t="n">
        <v>59215.28</v>
      </c>
      <c r="H8" s="126" t="n">
        <f aca="false">G8/F8-1</f>
        <v>-0.279147139476061</v>
      </c>
      <c r="I8" s="127" t="n">
        <f aca="false">G8-F8</f>
        <v>-22930.86</v>
      </c>
      <c r="J8" s="128" t="n">
        <f aca="false">VLOOKUP(B8,'תקציב  '!$B:$S,5,0)*1</f>
        <v>109365.079365079</v>
      </c>
      <c r="K8" s="126" t="n">
        <f aca="false">G8/J8-1</f>
        <v>-0.458554043541363</v>
      </c>
      <c r="L8" s="129" t="n">
        <f aca="false">G8-J8</f>
        <v>-50149.799365079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85829.2</v>
      </c>
      <c r="F9" s="125" t="n">
        <v>46378.11</v>
      </c>
      <c r="G9" s="125" t="n">
        <v>81282.23</v>
      </c>
      <c r="H9" s="126" t="n">
        <f aca="false">G9/F9-1</f>
        <v>0.752599017079394</v>
      </c>
      <c r="I9" s="127" t="n">
        <f aca="false">G9-F9</f>
        <v>34904.12</v>
      </c>
      <c r="J9" s="128" t="n">
        <f aca="false">VLOOKUP(B9,'תקציב  '!$B:$S,5,0)*1</f>
        <v>155079.365079365</v>
      </c>
      <c r="K9" s="126" t="n">
        <f aca="false">G9/J9-1</f>
        <v>-0.475866889457523</v>
      </c>
      <c r="L9" s="129" t="n">
        <f aca="false">G9-J9</f>
        <v>-73797.135079365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11131.68</v>
      </c>
      <c r="F10" s="125" t="n">
        <v>17589.94</v>
      </c>
      <c r="G10" s="125" t="n">
        <v>11368.09</v>
      </c>
      <c r="H10" s="126" t="n">
        <f aca="false">G10/F10-1</f>
        <v>-0.353716385615869</v>
      </c>
      <c r="I10" s="127" t="n">
        <f aca="false">G10-F10</f>
        <v>-6221.85</v>
      </c>
      <c r="J10" s="128" t="n">
        <f aca="false">VLOOKUP(B10,'תקציב  '!$B:$S,5,0)*1</f>
        <v>15079.3650793651</v>
      </c>
      <c r="K10" s="126" t="n">
        <f aca="false">G10/J10-1</f>
        <v>-0.246116136842106</v>
      </c>
      <c r="L10" s="129" t="n">
        <f aca="false">G10-J10</f>
        <v>-3711.2750793651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0</v>
      </c>
      <c r="F11" s="125" t="n">
        <v>4045.81</v>
      </c>
      <c r="G11" s="125" t="n">
        <v>3319.04</v>
      </c>
      <c r="H11" s="126" t="n">
        <f aca="false">G11/F11-1</f>
        <v>-0.17963522755641</v>
      </c>
      <c r="I11" s="127" t="n">
        <f aca="false">G11-F11</f>
        <v>-726.77</v>
      </c>
      <c r="J11" s="128" t="n">
        <f aca="false">VLOOKUP(B11,'תקציב  '!$B:$S,5,0)*1</f>
        <v>7936.50793650794</v>
      </c>
      <c r="K11" s="126" t="n">
        <f aca="false">G11/J11-1</f>
        <v>-0.58180096</v>
      </c>
      <c r="L11" s="129" t="n">
        <f aca="false">G11-J11</f>
        <v>-4617.46793650794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569.45</v>
      </c>
      <c r="G12" s="125"/>
      <c r="H12" s="126" t="n">
        <f aca="false">G12/F12-1</f>
        <v>-1</v>
      </c>
      <c r="I12" s="127" t="n">
        <f aca="false">G12-F12</f>
        <v>-569.45</v>
      </c>
      <c r="J12" s="128" t="n">
        <f aca="false">VLOOKUP(B12,'תקציב  '!$B:$S,5,0)*1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'!$B:$S,5,0)*1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11067.51</v>
      </c>
      <c r="G14" s="125" t="n">
        <v>947.38</v>
      </c>
      <c r="H14" s="126" t="n">
        <f aca="false">G14/F14-1</f>
        <v>-0.914399896634383</v>
      </c>
      <c r="I14" s="127" t="n">
        <f aca="false">G14-F14</f>
        <v>-10120.13</v>
      </c>
      <c r="J14" s="128" t="n">
        <f aca="false">VLOOKUP(B14,'תקציב  '!$B:$S,5,0)*1</f>
        <v>0</v>
      </c>
      <c r="K14" s="126"/>
      <c r="L14" s="129" t="n">
        <f aca="false">G14-J14</f>
        <v>947.38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8592.99</v>
      </c>
      <c r="F15" s="125" t="n">
        <v>12501.56</v>
      </c>
      <c r="G15" s="125" t="n">
        <v>15269.72</v>
      </c>
      <c r="H15" s="126" t="n">
        <f aca="false">G15/F15-1</f>
        <v>0.221425166139266</v>
      </c>
      <c r="I15" s="127" t="n">
        <f aca="false">G15-F15</f>
        <v>2768.16</v>
      </c>
      <c r="J15" s="128" t="n">
        <f aca="false">VLOOKUP(B15,'תקציב  '!$B:$S,5,0)*1</f>
        <v>15873.0158730159</v>
      </c>
      <c r="K15" s="126" t="n">
        <f aca="false">G15/J15-1</f>
        <v>-0.0380076400000017</v>
      </c>
      <c r="L15" s="129" t="n">
        <f aca="false">G15-J15</f>
        <v>-603.295873015901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1597983.091</v>
      </c>
      <c r="F16" s="131" t="n">
        <f aca="false">SUM(F3:F15)+F50</f>
        <v>1385440.35000001</v>
      </c>
      <c r="G16" s="131" t="n">
        <f aca="false">SUM(G3:G15)+G50</f>
        <v>1513604.892</v>
      </c>
      <c r="H16" s="132" t="n">
        <f aca="false">G16/F16-1</f>
        <v>0.0925081631987934</v>
      </c>
      <c r="I16" s="131" t="n">
        <f aca="false">SUM(I3:I15)+I50</f>
        <v>128164.541999994</v>
      </c>
      <c r="J16" s="131" t="n">
        <f aca="false">SUM(J3:J15)+J50</f>
        <v>1599444.44444444</v>
      </c>
      <c r="K16" s="132" t="n">
        <f aca="false">G16/J16-1</f>
        <v>-0.0536683551233066</v>
      </c>
      <c r="L16" s="131" t="n">
        <f aca="false">SUM(L3:L15)+L50</f>
        <v>-85839.5524444444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40630.42</v>
      </c>
      <c r="F17" s="125" t="n">
        <v>97231.1799999998</v>
      </c>
      <c r="G17" s="125" t="n">
        <v>236431.199999999</v>
      </c>
      <c r="H17" s="126" t="n">
        <f aca="false">G17/F17-1</f>
        <v>1.43163972709165</v>
      </c>
      <c r="I17" s="127" t="n">
        <f aca="false">G17-F17</f>
        <v>139200.019999999</v>
      </c>
      <c r="J17" s="128" t="n">
        <f aca="false">VLOOKUP(B17,'תקציב  '!$B:$S,5,0)*1</f>
        <v>444915.254237288</v>
      </c>
      <c r="K17" s="126" t="n">
        <f aca="false">G17/J17-1</f>
        <v>-0.468592731428574</v>
      </c>
      <c r="L17" s="129" t="n">
        <f aca="false">G17-J17</f>
        <v>-208484.054237289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2455.66</v>
      </c>
      <c r="F18" s="125" t="n">
        <v>3188.82</v>
      </c>
      <c r="G18" s="125" t="n">
        <v>1747</v>
      </c>
      <c r="H18" s="126" t="n">
        <f aca="false">G18/F18-1</f>
        <v>-0.452148443624915</v>
      </c>
      <c r="I18" s="127" t="n">
        <f aca="false">G18-F18</f>
        <v>-1441.82</v>
      </c>
      <c r="J18" s="128" t="n">
        <f aca="false">VLOOKUP(B18,'תקציב  '!$B:$S,5,0)*1</f>
        <v>2536.92833333333</v>
      </c>
      <c r="K18" s="126" t="n">
        <f aca="false">G18/J18-1</f>
        <v>-0.311371954404177</v>
      </c>
      <c r="L18" s="129" t="n">
        <f aca="false">G18-J18</f>
        <v>-789.92833333333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1641069.171</v>
      </c>
      <c r="F19" s="133" t="n">
        <f aca="false">F16+F17+F18</f>
        <v>1485860.35000001</v>
      </c>
      <c r="G19" s="133" t="n">
        <f aca="false">G16+G17+G18</f>
        <v>1751783.092</v>
      </c>
      <c r="H19" s="134" t="n">
        <f aca="false">G19/F19-1</f>
        <v>0.178968866084886</v>
      </c>
      <c r="I19" s="133" t="n">
        <f aca="false">I16+I17+I18</f>
        <v>265922.741999993</v>
      </c>
      <c r="J19" s="133" t="n">
        <f aca="false">J16+J17+J18</f>
        <v>2046896.62701507</v>
      </c>
      <c r="K19" s="134" t="n">
        <f aca="false">G19/J19-1</f>
        <v>-0.144176081547129</v>
      </c>
      <c r="L19" s="133" t="n">
        <f aca="false">L16+L17+L18</f>
        <v>-295113.535015067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377981.61</v>
      </c>
      <c r="F20" s="125" t="n">
        <v>188313.47</v>
      </c>
      <c r="G20" s="125" t="n">
        <v>194189.2</v>
      </c>
      <c r="H20" s="126" t="n">
        <f aca="false">G20/F20-1</f>
        <v>0.031201857201187</v>
      </c>
      <c r="I20" s="127" t="n">
        <f aca="false">G20-F20</f>
        <v>5875.73000000001</v>
      </c>
      <c r="J20" s="128" t="n">
        <f aca="false">VLOOKUP(B20,'תקציב  '!$B:$S,5,0)*1</f>
        <v>312309.9243</v>
      </c>
      <c r="K20" s="126" t="n">
        <f aca="false">G20/J20-1</f>
        <v>-0.378216364929009</v>
      </c>
      <c r="L20" s="129" t="n">
        <f aca="false">G20-J20</f>
        <v>-118120.7243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255841.44</v>
      </c>
      <c r="F21" s="125" t="n">
        <v>213082.56</v>
      </c>
      <c r="G21" s="145" t="n">
        <v>137198.2</v>
      </c>
      <c r="H21" s="126" t="n">
        <f aca="false">G21/F21-1</f>
        <v>-0.356126564276307</v>
      </c>
      <c r="I21" s="127" t="n">
        <f aca="false">G21-F21</f>
        <v>-75884.36</v>
      </c>
      <c r="J21" s="128" t="n">
        <f aca="false">VLOOKUP(B21,'תקציב  '!$B:$S,5,0)*1</f>
        <v>235200</v>
      </c>
      <c r="K21" s="126" t="n">
        <f aca="false">G21/J21-1</f>
        <v>-0.416674319727891</v>
      </c>
      <c r="L21" s="129" t="n">
        <f aca="false">G21-J21</f>
        <v>-98001.8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73976.74</v>
      </c>
      <c r="F22" s="125" t="n">
        <v>35605.91</v>
      </c>
      <c r="G22" s="145" t="n">
        <v>17835.42</v>
      </c>
      <c r="H22" s="126" t="n">
        <f aca="false">G22/F22-1</f>
        <v>-0.499088213164612</v>
      </c>
      <c r="I22" s="127" t="n">
        <f aca="false">G22-F22</f>
        <v>-17770.49</v>
      </c>
      <c r="J22" s="128" t="n">
        <f aca="false">VLOOKUP(B22,'תקציב  '!$B:$S,5,0)*1</f>
        <v>11714.9</v>
      </c>
      <c r="K22" s="126" t="n">
        <f aca="false">G22/J22-1</f>
        <v>0.522456017550299</v>
      </c>
      <c r="L22" s="129" t="n">
        <f aca="false">G22-J22</f>
        <v>6120.52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85563.25</v>
      </c>
      <c r="G23" s="145"/>
      <c r="H23" s="126" t="n">
        <f aca="false">G23/F23-1</f>
        <v>-1</v>
      </c>
      <c r="I23" s="127" t="n">
        <f aca="false">G23-F23</f>
        <v>-85563.25</v>
      </c>
      <c r="J23" s="128" t="n">
        <f aca="false">VLOOKUP(B23,'תקציב  '!$B:$S,5,0)*1</f>
        <v>0</v>
      </c>
      <c r="K23" s="126" t="str">
        <f aca="false">IFERROR(G23/J23-1,"-")</f>
        <v>-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16335.18</v>
      </c>
      <c r="G24" s="145"/>
      <c r="H24" s="126" t="n">
        <f aca="false">G24/F24-1</f>
        <v>-1</v>
      </c>
      <c r="I24" s="127" t="n">
        <f aca="false">G24-F24</f>
        <v>-16335.18</v>
      </c>
      <c r="J24" s="128" t="n">
        <f aca="false">VLOOKUP(B24,'תקציב  '!$B:$S,5,0)*1</f>
        <v>0</v>
      </c>
      <c r="K24" s="126" t="str">
        <f aca="false">IFERROR(G24/J24-1,"-")</f>
        <v>-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4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'!$B:$S,5,0)*1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'!$B:$S,5,0)*1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23907.35</v>
      </c>
      <c r="F27" s="125" t="n">
        <v>0</v>
      </c>
      <c r="G27" s="145" t="n">
        <v>42152.31</v>
      </c>
      <c r="H27" s="126" t="str">
        <f aca="false">IFERROR(G27/F27-1,"-")</f>
        <v>-</v>
      </c>
      <c r="I27" s="127" t="n">
        <f aca="false">G27-F27</f>
        <v>42152.31</v>
      </c>
      <c r="J27" s="128" t="n">
        <f aca="false">VLOOKUP(B27,'תקציב  '!$B:$S,5,0)*1</f>
        <v>40000</v>
      </c>
      <c r="K27" s="126" t="n">
        <f aca="false">G27/J27-1</f>
        <v>0.05380775</v>
      </c>
      <c r="L27" s="129" t="n">
        <f aca="false">G27-J27</f>
        <v>2152.31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4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'!$B:$S,5,0)*1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49906.61</v>
      </c>
      <c r="F29" s="125" t="n">
        <v>49474.45</v>
      </c>
      <c r="G29" s="145" t="n">
        <v>24695.01</v>
      </c>
      <c r="H29" s="126" t="n">
        <f aca="false">G29/F29-1</f>
        <v>-0.500853268707383</v>
      </c>
      <c r="I29" s="127" t="n">
        <f aca="false">G29-F29</f>
        <v>-24779.44</v>
      </c>
      <c r="J29" s="128" t="n">
        <f aca="false">VLOOKUP(B29,'תקציב  '!$B:$S,5,0)*1</f>
        <v>24919.5</v>
      </c>
      <c r="K29" s="126" t="n">
        <f aca="false">G29/J29-1</f>
        <v>-0.00900860771684831</v>
      </c>
      <c r="L29" s="129" t="n">
        <f aca="false">G29-J29</f>
        <v>-224.490000000002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'!$B:$S,5,0)*1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'!$B:$S,5,0)*1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'!$B:$S,5,0)*1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19941.82</v>
      </c>
      <c r="F34" s="125" t="n">
        <v>1584.32</v>
      </c>
      <c r="G34" s="125"/>
      <c r="H34" s="126" t="n">
        <f aca="false">G34/F34-1</f>
        <v>-1</v>
      </c>
      <c r="I34" s="127" t="n">
        <f aca="false">G34-F34</f>
        <v>-1584.32</v>
      </c>
      <c r="J34" s="128" t="n">
        <f aca="false">VLOOKUP(B34,'תקציב  '!$B:$S,5,0)*1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34034.18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'!$B:$S,5,0)*1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'!$B:$S,5,0)*1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835589.75</v>
      </c>
      <c r="F40" s="136" t="n">
        <f aca="false">SUM(F20:F39)+F51+F52</f>
        <v>589959.14</v>
      </c>
      <c r="G40" s="136" t="n">
        <f aca="false">SUM(G20:G39)+G51+G52</f>
        <v>416070.14</v>
      </c>
      <c r="H40" s="137" t="n">
        <f aca="false">G40/F40-1</f>
        <v>-0.294747531159531</v>
      </c>
      <c r="I40" s="136" t="n">
        <f aca="false">SUM(I20:I39)+I51+I52</f>
        <v>-173889</v>
      </c>
      <c r="J40" s="136" t="n">
        <f aca="false">SUM(J20:J39)+J51+J52</f>
        <v>624144.3243</v>
      </c>
      <c r="K40" s="137" t="n">
        <f aca="false">G40/J40-1</f>
        <v>-0.333375112452336</v>
      </c>
      <c r="L40" s="136" t="n">
        <f aca="false">SUM(L20:L39)+L51+L52</f>
        <v>-208074.1843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2476658.921</v>
      </c>
      <c r="F41" s="139" t="n">
        <f aca="false">F40+F19</f>
        <v>2075819.49000001</v>
      </c>
      <c r="G41" s="139" t="n">
        <f aca="false">G40+G19</f>
        <v>2167853.232</v>
      </c>
      <c r="H41" s="140" t="n">
        <f aca="false">G41/F41-1</f>
        <v>0.0443361007271366</v>
      </c>
      <c r="I41" s="139" t="n">
        <f aca="false">I40+I19</f>
        <v>92033.7419999932</v>
      </c>
      <c r="J41" s="139" t="n">
        <f aca="false">J40+J19</f>
        <v>2671040.95131507</v>
      </c>
      <c r="K41" s="140" t="n">
        <f aca="false">G41/J41-1</f>
        <v>-0.188386373884431</v>
      </c>
      <c r="L41" s="139" t="n">
        <f aca="false">L40+L19</f>
        <v>-503187.719315067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0.33738588019323</v>
      </c>
      <c r="F42" s="142" t="n">
        <f aca="false">F40/F41</f>
        <v>0.2842054151828</v>
      </c>
      <c r="G42" s="142" t="n">
        <f aca="false">G40/G41</f>
        <v>0.191927264197745</v>
      </c>
      <c r="H42" s="143"/>
      <c r="I42" s="5"/>
      <c r="J42" s="76" t="n">
        <f aca="false">J41-'תקציב  '!F41*1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4" ySplit="2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G50" activeCellId="0" sqref="G50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169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3.2024</v>
      </c>
      <c r="F2" s="120" t="n">
        <v>3.2025</v>
      </c>
      <c r="G2" s="120" t="n">
        <v>3.2026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0</v>
      </c>
      <c r="F3" s="125" t="n">
        <v>66608.1</v>
      </c>
      <c r="G3" s="125" t="n">
        <v>123280.14</v>
      </c>
      <c r="H3" s="126" t="n">
        <f aca="false">G3/F3-1</f>
        <v>0.850828052444072</v>
      </c>
      <c r="I3" s="127" t="n">
        <f aca="false">G3-F3</f>
        <v>56672.04</v>
      </c>
      <c r="J3" s="128" t="n">
        <f aca="false">VLOOKUP(B3,'תקציב  '!$B:$S,6,0)*1</f>
        <v>193492.063492064</v>
      </c>
      <c r="K3" s="126" t="n">
        <f aca="false">G3/J3-1</f>
        <v>-0.362867200984415</v>
      </c>
      <c r="L3" s="129" t="n">
        <f aca="false">G3-J3</f>
        <v>-70211.923492064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442108.94</v>
      </c>
      <c r="F4" s="125" t="n">
        <v>437918.572000002</v>
      </c>
      <c r="G4" s="125" t="n">
        <v>418342.47</v>
      </c>
      <c r="H4" s="126" t="n">
        <f aca="false">G4/F4-1</f>
        <v>-0.0447026074062051</v>
      </c>
      <c r="I4" s="127" t="n">
        <f aca="false">G4-F4</f>
        <v>-19576.1020000021</v>
      </c>
      <c r="J4" s="128" t="n">
        <f aca="false">VLOOKUP(B4,'תקציב  '!$B:$S,6,0)*1</f>
        <v>610730.158730159</v>
      </c>
      <c r="K4" s="126" t="n">
        <f aca="false">G4/J4-1</f>
        <v>-0.315012589406384</v>
      </c>
      <c r="L4" s="129" t="n">
        <f aca="false">G4-J4</f>
        <v>-192387.688730159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98496.489</v>
      </c>
      <c r="F5" s="125" t="n">
        <v>58257.29</v>
      </c>
      <c r="G5" s="125" t="n">
        <v>59847.151</v>
      </c>
      <c r="H5" s="126" t="n">
        <f aca="false">G5/F5-1</f>
        <v>0.0272903356815946</v>
      </c>
      <c r="I5" s="127" t="n">
        <f aca="false">G5-F5</f>
        <v>1589.861</v>
      </c>
      <c r="J5" s="128" t="n">
        <f aca="false">VLOOKUP(B5,'תקציב  '!$B:$S,6,0)*1</f>
        <v>82142.8571428571</v>
      </c>
      <c r="K5" s="126" t="n">
        <f aca="false">G5/J5-1</f>
        <v>-0.271425987826087</v>
      </c>
      <c r="L5" s="129" t="n">
        <f aca="false">G5-J5</f>
        <v>-22295.7061428571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155174.617</v>
      </c>
      <c r="F6" s="125" t="n">
        <v>153012.03</v>
      </c>
      <c r="G6" s="125" t="n">
        <v>122676.557</v>
      </c>
      <c r="H6" s="126" t="n">
        <f aca="false">G6/F6-1</f>
        <v>-0.198255477036675</v>
      </c>
      <c r="I6" s="127" t="n">
        <f aca="false">G6-F6</f>
        <v>-30335.473</v>
      </c>
      <c r="J6" s="128" t="n">
        <f aca="false">VLOOKUP(A6,'תקציב  '!$B:$S,6,0)*1</f>
        <v>173412.698412698</v>
      </c>
      <c r="K6" s="126" t="n">
        <f aca="false">G6/J6-1</f>
        <v>-0.292574545446223</v>
      </c>
      <c r="L6" s="129" t="n">
        <f aca="false">G6-J6</f>
        <v>-50736.141412698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389673.5</v>
      </c>
      <c r="F7" s="125" t="n">
        <v>376182</v>
      </c>
      <c r="G7" s="125" t="n">
        <v>244180.55</v>
      </c>
      <c r="H7" s="126" t="n">
        <f aca="false">G7/F7-1</f>
        <v>-0.350897836685434</v>
      </c>
      <c r="I7" s="127" t="n">
        <f aca="false">G7-F7</f>
        <v>-132001.45</v>
      </c>
      <c r="J7" s="128" t="n">
        <f aca="false">VLOOKUP(B7,'תקציב  '!$B:$S,6,0)*1</f>
        <v>365000</v>
      </c>
      <c r="K7" s="126" t="n">
        <f aca="false">G7/J7-1</f>
        <v>-0.331012191780822</v>
      </c>
      <c r="L7" s="129" t="n">
        <f aca="false">G7-J7</f>
        <v>-120819.45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77394.37</v>
      </c>
      <c r="F8" s="125" t="n">
        <v>74502.3</v>
      </c>
      <c r="G8" s="125" t="n">
        <v>55389.04</v>
      </c>
      <c r="H8" s="126" t="n">
        <f aca="false">G8/F8-1</f>
        <v>-0.256545905294199</v>
      </c>
      <c r="I8" s="127" t="n">
        <f aca="false">G8-F8</f>
        <v>-19113.26</v>
      </c>
      <c r="J8" s="128" t="n">
        <f aca="false">VLOOKUP(B8,'תקציב  '!$B:$S,6,0)*1</f>
        <v>111269.841269841</v>
      </c>
      <c r="K8" s="126" t="n">
        <f aca="false">G8/J8-1</f>
        <v>-0.502209768901568</v>
      </c>
      <c r="L8" s="129" t="n">
        <f aca="false">G8-J8</f>
        <v>-55880.801269841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87247.96</v>
      </c>
      <c r="F9" s="125" t="n">
        <v>65531.82</v>
      </c>
      <c r="G9" s="125" t="n">
        <v>48951.14</v>
      </c>
      <c r="H9" s="126" t="n">
        <f aca="false">G9/F9-1</f>
        <v>-0.253017236511972</v>
      </c>
      <c r="I9" s="127" t="n">
        <f aca="false">G9-F9</f>
        <v>-16580.68</v>
      </c>
      <c r="J9" s="128" t="n">
        <f aca="false">VLOOKUP(B9,'תקציב  '!$B:$S,6,0)*1</f>
        <v>160591.26984127</v>
      </c>
      <c r="K9" s="126" t="n">
        <f aca="false">G9/J9-1</f>
        <v>-0.695181811262942</v>
      </c>
      <c r="L9" s="129" t="n">
        <f aca="false">G9-J9</f>
        <v>-111640.12984127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21528.06</v>
      </c>
      <c r="F10" s="125" t="n">
        <v>21300.79</v>
      </c>
      <c r="G10" s="125" t="n">
        <v>6765.24</v>
      </c>
      <c r="H10" s="126" t="n">
        <f aca="false">G10/F10-1</f>
        <v>-0.682394878312025</v>
      </c>
      <c r="I10" s="127" t="n">
        <f aca="false">G10-F10</f>
        <v>-14535.55</v>
      </c>
      <c r="J10" s="128" t="n">
        <f aca="false">VLOOKUP(B10,'תקציב  '!$B:$S,6,0)*1</f>
        <v>17341.2698412698</v>
      </c>
      <c r="K10" s="126" t="n">
        <f aca="false">G10/J10-1</f>
        <v>-0.609876320366132</v>
      </c>
      <c r="L10" s="129" t="n">
        <f aca="false">G10-J10</f>
        <v>-10576.0298412698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3573.08</v>
      </c>
      <c r="F11" s="125" t="n">
        <v>11352.51</v>
      </c>
      <c r="G11" s="125" t="n">
        <v>3196.2</v>
      </c>
      <c r="H11" s="126" t="n">
        <f aca="false">G11/F11-1</f>
        <v>-0.718458737318884</v>
      </c>
      <c r="I11" s="127" t="n">
        <f aca="false">G11-F11</f>
        <v>-8156.31</v>
      </c>
      <c r="J11" s="128" t="n">
        <f aca="false">VLOOKUP(B11,'תקציב  '!$B:$S,6,0)*1</f>
        <v>9126.98412698413</v>
      </c>
      <c r="K11" s="126" t="n">
        <f aca="false">G11/J11-1</f>
        <v>-0.649807652173913</v>
      </c>
      <c r="L11" s="129" t="n">
        <f aca="false">G11-J11</f>
        <v>-5930.78412698413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 t="n">
        <v>1106.56</v>
      </c>
      <c r="H12" s="126" t="str">
        <f aca="false">IFERROR(G12/F12-1,"-")</f>
        <v>-</v>
      </c>
      <c r="I12" s="127" t="n">
        <f aca="false">G12-F12</f>
        <v>1106.56</v>
      </c>
      <c r="J12" s="128" t="n">
        <f aca="false">VLOOKUP(B12,'תקציב  '!$B:$S,6,0)*1</f>
        <v>0</v>
      </c>
      <c r="K12" s="126"/>
      <c r="L12" s="129" t="n">
        <f aca="false">G12-J12</f>
        <v>1106.56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'!$B:$S,6,0)*1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1275.21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'!$B:$S,6,0)*1</f>
        <v>0</v>
      </c>
      <c r="K14" s="126"/>
      <c r="L14" s="129" t="n">
        <f aca="false">G14-J14</f>
        <v>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7451.5</v>
      </c>
      <c r="F15" s="125" t="n">
        <v>2138.43</v>
      </c>
      <c r="G15" s="125" t="n">
        <v>6672.87</v>
      </c>
      <c r="H15" s="126" t="n">
        <f aca="false">G15/F15-1</f>
        <v>2.12045285559967</v>
      </c>
      <c r="I15" s="127" t="n">
        <f aca="false">G15-F15</f>
        <v>4534.44</v>
      </c>
      <c r="J15" s="128" t="n">
        <f aca="false">VLOOKUP(B15,'תקציב  '!$B:$S,6,0)*1</f>
        <v>18253.9682539683</v>
      </c>
      <c r="K15" s="126" t="n">
        <f aca="false">G15/J15-1</f>
        <v>-0.634442773913045</v>
      </c>
      <c r="L15" s="129" t="n">
        <f aca="false">G15-J15</f>
        <v>-11581.0982539683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1283923.726</v>
      </c>
      <c r="F16" s="131" t="n">
        <f aca="false">SUM(F3:F15)+F50</f>
        <v>1266803.842</v>
      </c>
      <c r="G16" s="131" t="n">
        <f aca="false">SUM(G3:G15)+G50</f>
        <v>1090407.918</v>
      </c>
      <c r="H16" s="132" t="n">
        <f aca="false">G16/F16-1</f>
        <v>-0.139244860294639</v>
      </c>
      <c r="I16" s="131" t="n">
        <f aca="false">SUM(I3:I15)+I50</f>
        <v>-176395.924000002</v>
      </c>
      <c r="J16" s="131" t="n">
        <f aca="false">SUM(J3:J15)+J50</f>
        <v>1741361.11111111</v>
      </c>
      <c r="K16" s="132" t="n">
        <f aca="false">G16/J16-1</f>
        <v>-0.373818611750068</v>
      </c>
      <c r="L16" s="131" t="n">
        <f aca="false">SUM(L3:L15)+L50</f>
        <v>-650953.193111111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45122.89</v>
      </c>
      <c r="F17" s="125" t="n">
        <v>98819.24</v>
      </c>
      <c r="G17" s="125" t="n">
        <v>409497.070000013</v>
      </c>
      <c r="H17" s="126" t="n">
        <f aca="false">G17/F17-1</f>
        <v>3.14390021619285</v>
      </c>
      <c r="I17" s="127" t="n">
        <f aca="false">G17-F17</f>
        <v>310677.830000013</v>
      </c>
      <c r="J17" s="128" t="n">
        <f aca="false">VLOOKUP(B17,'תקציב  '!$B:$S,6,0)*1</f>
        <v>489406.779661017</v>
      </c>
      <c r="K17" s="126" t="n">
        <f aca="false">G17/J17-1</f>
        <v>-0.163278714112528</v>
      </c>
      <c r="L17" s="129" t="n">
        <f aca="false">G17-J17</f>
        <v>-79909.709661004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2233.52</v>
      </c>
      <c r="F18" s="125" t="n">
        <v>3577.56</v>
      </c>
      <c r="G18" s="125" t="n">
        <v>2065.63</v>
      </c>
      <c r="H18" s="126" t="n">
        <f aca="false">G18/F18-1</f>
        <v>-0.42261485481725</v>
      </c>
      <c r="I18" s="127" t="n">
        <f aca="false">G18-F18</f>
        <v>-1511.93</v>
      </c>
      <c r="J18" s="128" t="n">
        <f aca="false">VLOOKUP(B18,'תקציב  '!$B:$S,6,0)*1</f>
        <v>2536.92833333333</v>
      </c>
      <c r="K18" s="126" t="n">
        <f aca="false">G18/J18-1</f>
        <v>-0.185775186133887</v>
      </c>
      <c r="L18" s="129" t="n">
        <f aca="false">G18-J18</f>
        <v>-471.29833333333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1331280.136</v>
      </c>
      <c r="F19" s="133" t="n">
        <f aca="false">F16+F17+F18</f>
        <v>1369200.642</v>
      </c>
      <c r="G19" s="133" t="n">
        <f aca="false">G16+G17+G18</f>
        <v>1501970.61800001</v>
      </c>
      <c r="H19" s="134" t="n">
        <f aca="false">G19/F19-1</f>
        <v>0.0969689700160179</v>
      </c>
      <c r="I19" s="133" t="n">
        <f aca="false">I16+I17+I18</f>
        <v>132769.976000011</v>
      </c>
      <c r="J19" s="133" t="n">
        <f aca="false">J16+J17+J18</f>
        <v>2233304.81910546</v>
      </c>
      <c r="K19" s="134" t="n">
        <f aca="false">G19/J19-1</f>
        <v>-0.327467256081228</v>
      </c>
      <c r="L19" s="133" t="n">
        <f aca="false">L16+L17+L18</f>
        <v>-731334.201105449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334336.04</v>
      </c>
      <c r="F20" s="125" t="n">
        <v>239973.2</v>
      </c>
      <c r="G20" s="125" t="n">
        <v>213959.66</v>
      </c>
      <c r="H20" s="126" t="n">
        <f aca="false">G20/F20-1</f>
        <v>-0.108401854873794</v>
      </c>
      <c r="I20" s="127" t="n">
        <f aca="false">G20-F20</f>
        <v>-26013.54</v>
      </c>
      <c r="J20" s="128" t="n">
        <f aca="false">VLOOKUP(B20,'תקציב  '!$B:$S,6,0)*1</f>
        <v>332824.444425</v>
      </c>
      <c r="K20" s="126" t="n">
        <f aca="false">G20/J20-1</f>
        <v>-0.357139586397734</v>
      </c>
      <c r="L20" s="129" t="n">
        <f aca="false">G20-J20</f>
        <v>-118864.784425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'!$B:$S,6,0)*1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11470.17</v>
      </c>
      <c r="F22" s="125" t="n">
        <v>26449.51</v>
      </c>
      <c r="G22" s="125" t="n">
        <v>6418.64</v>
      </c>
      <c r="H22" s="126" t="n">
        <f aca="false">G22/F22-1</f>
        <v>-0.757324804882964</v>
      </c>
      <c r="I22" s="127" t="n">
        <f aca="false">G22-F22</f>
        <v>-20030.87</v>
      </c>
      <c r="J22" s="128" t="n">
        <f aca="false">VLOOKUP(B22,'תקציב  '!$B:$S,6,0)*1</f>
        <v>15000</v>
      </c>
      <c r="K22" s="126" t="n">
        <f aca="false">G22/J22-1</f>
        <v>-0.572090666666667</v>
      </c>
      <c r="L22" s="129" t="n">
        <f aca="false">G22-J22</f>
        <v>-8581.36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84607.51</v>
      </c>
      <c r="F23" s="125" t="n">
        <v>0</v>
      </c>
      <c r="G23" s="145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'!$B:$S,6,0)*1</f>
        <v>95000</v>
      </c>
      <c r="K23" s="126" t="n">
        <f aca="false">G23/J23-1</f>
        <v>-1</v>
      </c>
      <c r="L23" s="129" t="n">
        <f aca="false">G23-J23</f>
        <v>-95000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16377.13</v>
      </c>
      <c r="F24" s="125" t="n">
        <v>13664.6</v>
      </c>
      <c r="G24" s="145" t="n">
        <v>29021.19</v>
      </c>
      <c r="H24" s="126" t="n">
        <f aca="false">G24/F24-1</f>
        <v>1.12382287077558</v>
      </c>
      <c r="I24" s="127" t="n">
        <f aca="false">G24-F24</f>
        <v>15356.59</v>
      </c>
      <c r="J24" s="128" t="n">
        <f aca="false">VLOOKUP(B24,'תקציב  '!$B:$S,6,0)*1</f>
        <v>17000</v>
      </c>
      <c r="K24" s="126" t="n">
        <f aca="false">G24/J24-1</f>
        <v>0.707128823529412</v>
      </c>
      <c r="L24" s="129" t="n">
        <f aca="false">G24-J24</f>
        <v>12021.19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42132.93</v>
      </c>
      <c r="G25" s="125"/>
      <c r="H25" s="126" t="n">
        <f aca="false">G25/F25-1</f>
        <v>-1</v>
      </c>
      <c r="I25" s="127" t="n">
        <f aca="false">G25-F25</f>
        <v>-42132.93</v>
      </c>
      <c r="J25" s="128" t="n">
        <f aca="false">VLOOKUP(B25,'תקציב  '!$B:$S,6,0)*1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2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'!$B:$S,6,0)*1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38588.13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'!$B:$S,6,0)*1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171813.81</v>
      </c>
      <c r="F28" s="125" t="n">
        <v>0.22</v>
      </c>
      <c r="G28" s="125"/>
      <c r="H28" s="126" t="n">
        <f aca="false">G28/F28-1</f>
        <v>-1</v>
      </c>
      <c r="I28" s="127" t="n">
        <f aca="false">G28-F28</f>
        <v>-0.22</v>
      </c>
      <c r="J28" s="128" t="n">
        <f aca="false">VLOOKUP(B28,'תקציב  '!$B:$S,6,0)*1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25514.68</v>
      </c>
      <c r="F29" s="125" t="n">
        <v>43871.72</v>
      </c>
      <c r="G29" s="145"/>
      <c r="H29" s="126" t="n">
        <f aca="false">G29/F29-1</f>
        <v>-1</v>
      </c>
      <c r="I29" s="127" t="n">
        <f aca="false">G29-F29</f>
        <v>-43871.72</v>
      </c>
      <c r="J29" s="128" t="n">
        <f aca="false">VLOOKUP(B29,'תקציב  '!$B:$S,6,0)*1</f>
        <v>39765.076</v>
      </c>
      <c r="K29" s="126" t="n">
        <f aca="false">G29/J29-1</f>
        <v>-1</v>
      </c>
      <c r="L29" s="129" t="n">
        <f aca="false">G29-J29</f>
        <v>-39765.076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32010.18</v>
      </c>
      <c r="G30" s="125"/>
      <c r="H30" s="126" t="n">
        <f aca="false">G30/F30-1</f>
        <v>-1</v>
      </c>
      <c r="I30" s="127" t="n">
        <f aca="false">G30-F30</f>
        <v>-32010.18</v>
      </c>
      <c r="J30" s="128" t="n">
        <f aca="false">VLOOKUP(B30,'תקציב  '!$B:$S,6,0)*1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4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'!$B:$S,6,0)*1</f>
        <v>20000</v>
      </c>
      <c r="K31" s="126" t="n">
        <f aca="false">G31/J31-1</f>
        <v>-1</v>
      </c>
      <c r="L31" s="129" t="n">
        <f aca="false">G31-J31</f>
        <v>-20000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16024.5</v>
      </c>
      <c r="G32" s="125"/>
      <c r="H32" s="126" t="n">
        <f aca="false">G32/F32-1</f>
        <v>-1</v>
      </c>
      <c r="I32" s="127" t="n">
        <f aca="false">G32-F32</f>
        <v>-16024.5</v>
      </c>
      <c r="J32" s="128" t="n">
        <f aca="false">VLOOKUP(B32,'תקציב  '!$B:$S,6,0)*1</f>
        <v>18000</v>
      </c>
      <c r="K32" s="126" t="n">
        <f aca="false">G32/J32-1</f>
        <v>-1</v>
      </c>
      <c r="L32" s="129" t="n">
        <f aca="false">G32-J32</f>
        <v>-18000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-20732.48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'!$B:$S,6,0)*1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'!$B:$S,6,0)*1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'!$B:$S,6,0)*1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661974.99</v>
      </c>
      <c r="F40" s="136" t="n">
        <f aca="false">SUM(F20:F39)+F51+F52</f>
        <v>414126.86</v>
      </c>
      <c r="G40" s="136" t="n">
        <f aca="false">SUM(G20:G39)+G51+G52</f>
        <v>249399.49</v>
      </c>
      <c r="H40" s="137" t="n">
        <f aca="false">G40/F40-1</f>
        <v>-0.397770311251968</v>
      </c>
      <c r="I40" s="136" t="n">
        <f aca="false">SUM(I20:I39)+I51+I52</f>
        <v>-164727.37</v>
      </c>
      <c r="J40" s="136" t="n">
        <f aca="false">SUM(J20:J39)+J51+J52</f>
        <v>542589.520425</v>
      </c>
      <c r="K40" s="137" t="n">
        <f aca="false">G40/J40-1</f>
        <v>-0.540353286210448</v>
      </c>
      <c r="L40" s="136" t="n">
        <f aca="false">SUM(L20:L39)+L51+L52</f>
        <v>-293190.030425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1993255.126</v>
      </c>
      <c r="F41" s="139" t="n">
        <f aca="false">F40+F19</f>
        <v>1783327.502</v>
      </c>
      <c r="G41" s="139" t="n">
        <f aca="false">G40+G19</f>
        <v>1751370.10800001</v>
      </c>
      <c r="H41" s="140" t="n">
        <f aca="false">G41/F41-1</f>
        <v>-0.0179200926157137</v>
      </c>
      <c r="I41" s="139" t="n">
        <f aca="false">I40+I19</f>
        <v>-31957.3939999891</v>
      </c>
      <c r="J41" s="139" t="n">
        <f aca="false">J40+J19</f>
        <v>2775894.33953046</v>
      </c>
      <c r="K41" s="140" t="n">
        <f aca="false">G41/J41-1</f>
        <v>-0.369078972834299</v>
      </c>
      <c r="L41" s="139" t="n">
        <f aca="false">L40+L19</f>
        <v>-1024524.23153045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0.332107506643382</v>
      </c>
      <c r="F42" s="142" t="n">
        <f aca="false">F40/F41</f>
        <v>0.232221428501246</v>
      </c>
      <c r="G42" s="142" t="n">
        <f aca="false">G40/G41</f>
        <v>0.142402504679495</v>
      </c>
      <c r="H42" s="143"/>
      <c r="I42" s="5"/>
      <c r="J42" s="76" t="n">
        <f aca="false">J41-'תקציב  '!G41*1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G8" activeCellId="0" sqref="G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170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4.2024</v>
      </c>
      <c r="F2" s="120" t="n">
        <v>4.2025</v>
      </c>
      <c r="G2" s="120" t="n">
        <v>4.2026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263037.5</v>
      </c>
      <c r="F3" s="125" t="n">
        <v>336937.6</v>
      </c>
      <c r="G3" s="125" t="n">
        <v>124575.26</v>
      </c>
      <c r="H3" s="126" t="n">
        <f aca="false">G3/F3-1</f>
        <v>-0.630272014758816</v>
      </c>
      <c r="I3" s="127" t="n">
        <f aca="false">G3-F3</f>
        <v>-212362.34</v>
      </c>
      <c r="J3" s="128" t="n">
        <f aca="false">VLOOKUP(B3,'תקציב  '!$B:$S,7,0)*1</f>
        <v>173015.873015873</v>
      </c>
      <c r="K3" s="126" t="n">
        <f aca="false">G3/J3-1</f>
        <v>-0.279977855045871</v>
      </c>
      <c r="L3" s="129" t="n">
        <f aca="false">G3-J3</f>
        <v>-48440.613015873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473814.796</v>
      </c>
      <c r="F4" s="125" t="n">
        <v>549545.830000007</v>
      </c>
      <c r="G4" s="125" t="n">
        <v>429718.198</v>
      </c>
      <c r="H4" s="126" t="n">
        <f aca="false">G4/F4-1</f>
        <v>-0.218048478322555</v>
      </c>
      <c r="I4" s="127" t="n">
        <f aca="false">G4-F4</f>
        <v>-119827.632000007</v>
      </c>
      <c r="J4" s="128" t="n">
        <f aca="false">VLOOKUP(B4,'תקציב  '!$B:$S,7,0)*1</f>
        <v>475539.682539683</v>
      </c>
      <c r="K4" s="126" t="n">
        <f aca="false">G4/J4-1</f>
        <v>-0.0963568051670626</v>
      </c>
      <c r="L4" s="129" t="n">
        <f aca="false">G4-J4</f>
        <v>-45821.484539683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100846.291</v>
      </c>
      <c r="F5" s="125" t="n">
        <v>75168</v>
      </c>
      <c r="G5" s="125" t="n">
        <v>83501.964</v>
      </c>
      <c r="H5" s="126" t="n">
        <f aca="false">G5/F5-1</f>
        <v>0.110871168582376</v>
      </c>
      <c r="I5" s="127" t="n">
        <f aca="false">G5-F5</f>
        <v>8333.96400000001</v>
      </c>
      <c r="J5" s="128" t="n">
        <f aca="false">VLOOKUP(B5,'תקציב  '!$B:$S,7,0)*1</f>
        <v>60714.2857142857</v>
      </c>
      <c r="K5" s="126" t="n">
        <f aca="false">G5/J5-1</f>
        <v>0.375326465882353</v>
      </c>
      <c r="L5" s="129" t="n">
        <f aca="false">G5-J5</f>
        <v>22787.6782857143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132554.789</v>
      </c>
      <c r="F6" s="125" t="n">
        <v>173213.55</v>
      </c>
      <c r="G6" s="125" t="n">
        <v>125615.726</v>
      </c>
      <c r="H6" s="126" t="n">
        <f aca="false">G6/F6-1</f>
        <v>-0.27479272839798</v>
      </c>
      <c r="I6" s="127" t="n">
        <f aca="false">G6-F6</f>
        <v>-47597.824</v>
      </c>
      <c r="J6" s="128" t="n">
        <f aca="false">VLOOKUP(A6,'תקציב  '!$B:$S,7,0)*1</f>
        <v>134174.603174603</v>
      </c>
      <c r="K6" s="126" t="n">
        <f aca="false">G6/J6-1</f>
        <v>-0.0637890999645084</v>
      </c>
      <c r="L6" s="129" t="n">
        <f aca="false">G6-J6</f>
        <v>-8558.877174603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244648</v>
      </c>
      <c r="F7" s="125" t="n">
        <v>263457</v>
      </c>
      <c r="G7" s="125" t="n">
        <v>220778.2</v>
      </c>
      <c r="H7" s="126" t="n">
        <f aca="false">G7/F7-1</f>
        <v>-0.161995316123694</v>
      </c>
      <c r="I7" s="127" t="n">
        <f aca="false">G7-F7</f>
        <v>-42678.8</v>
      </c>
      <c r="J7" s="128" t="n">
        <f aca="false">VLOOKUP(B7,'תקציב  '!$B:$S,7,0)*1</f>
        <v>365000</v>
      </c>
      <c r="K7" s="126" t="n">
        <f aca="false">G7/J7-1</f>
        <v>-0.395128219178082</v>
      </c>
      <c r="L7" s="129" t="n">
        <f aca="false">G7-J7</f>
        <v>-144221.8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59971.53</v>
      </c>
      <c r="F8" s="125" t="n">
        <v>62433.13</v>
      </c>
      <c r="G8" s="125" t="n">
        <v>50971.08</v>
      </c>
      <c r="H8" s="126" t="n">
        <f aca="false">G8/F8-1</f>
        <v>-0.183589225784451</v>
      </c>
      <c r="I8" s="127" t="n">
        <f aca="false">G8-F8</f>
        <v>-11462.05</v>
      </c>
      <c r="J8" s="128" t="n">
        <f aca="false">VLOOKUP(B8,'תקציב  '!$B:$S,7,0)*1</f>
        <v>97460.3174603175</v>
      </c>
      <c r="K8" s="126" t="n">
        <f aca="false">G8/J8-1</f>
        <v>-0.477006833876222</v>
      </c>
      <c r="L8" s="129" t="n">
        <f aca="false">G8-J8</f>
        <v>-46489.2374603175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69580.43</v>
      </c>
      <c r="F9" s="125" t="n">
        <v>74555.12</v>
      </c>
      <c r="G9" s="125" t="n">
        <v>88526.04</v>
      </c>
      <c r="H9" s="126" t="n">
        <f aca="false">G9/F9-1</f>
        <v>0.187390483711917</v>
      </c>
      <c r="I9" s="127" t="n">
        <f aca="false">G9-F9</f>
        <v>13970.92</v>
      </c>
      <c r="J9" s="128" t="n">
        <f aca="false">VLOOKUP(B9,'תקציב  '!$B:$S,7,0)*1</f>
        <v>139567.46031746</v>
      </c>
      <c r="K9" s="126" t="n">
        <f aca="false">G9/J9-1</f>
        <v>-0.365711464558868</v>
      </c>
      <c r="L9" s="129" t="n">
        <f aca="false">G9-J9</f>
        <v>-51041.42031746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14571.76</v>
      </c>
      <c r="F10" s="125" t="n">
        <v>15201.7</v>
      </c>
      <c r="G10" s="125" t="n">
        <v>11923.54</v>
      </c>
      <c r="H10" s="126" t="n">
        <f aca="false">G10/F10-1</f>
        <v>-0.215644302939803</v>
      </c>
      <c r="I10" s="127" t="n">
        <f aca="false">G10-F10</f>
        <v>-3278.16</v>
      </c>
      <c r="J10" s="128" t="n">
        <f aca="false">VLOOKUP(B10,'תקציב  '!$B:$S,7,0)*1</f>
        <v>12817.4603174603</v>
      </c>
      <c r="K10" s="126" t="n">
        <f aca="false">G10/J10-1</f>
        <v>-0.0697423900928779</v>
      </c>
      <c r="L10" s="129" t="n">
        <f aca="false">G10-J10</f>
        <v>-893.920317460299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11309.68</v>
      </c>
      <c r="F11" s="125" t="n">
        <v>4054.42</v>
      </c>
      <c r="G11" s="125" t="n">
        <v>4956.22</v>
      </c>
      <c r="H11" s="126" t="n">
        <f aca="false">G11/F11-1</f>
        <v>0.222423922533926</v>
      </c>
      <c r="I11" s="127" t="n">
        <f aca="false">G11-F11</f>
        <v>901.8</v>
      </c>
      <c r="J11" s="128" t="n">
        <f aca="false">VLOOKUP(B11,'תקציב  '!$B:$S,7,0)*1</f>
        <v>6746.03174603175</v>
      </c>
      <c r="K11" s="126" t="n">
        <f aca="false">G11/J11-1</f>
        <v>-0.265313270588236</v>
      </c>
      <c r="L11" s="129" t="n">
        <f aca="false">G11-J11</f>
        <v>-1789.81174603175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850.4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'!$B:$S,7,0)*1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'!$B:$S,7,0)*1</f>
        <v>12500</v>
      </c>
      <c r="K13" s="126" t="n">
        <f aca="false">G13/J13-1</f>
        <v>-1</v>
      </c>
      <c r="L13" s="129" t="n">
        <f aca="false">G13-J13</f>
        <v>-12500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847.74</v>
      </c>
      <c r="H14" s="126" t="str">
        <f aca="false">IFERROR(G14/F14-1,"-")</f>
        <v>-</v>
      </c>
      <c r="I14" s="127" t="n">
        <f aca="false">G14-F14</f>
        <v>847.74</v>
      </c>
      <c r="J14" s="128" t="n">
        <f aca="false">VLOOKUP(B14,'תקציב  '!$B:$S,7,0)*1</f>
        <v>50000</v>
      </c>
      <c r="K14" s="126" t="n">
        <f aca="false">G14/J14-1</f>
        <v>-0.9830452</v>
      </c>
      <c r="L14" s="129" t="n">
        <f aca="false">G14-J14</f>
        <v>-49152.26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3314.43</v>
      </c>
      <c r="F15" s="125" t="n">
        <v>5898.37</v>
      </c>
      <c r="G15" s="125" t="n">
        <v>33906.96</v>
      </c>
      <c r="H15" s="126" t="n">
        <f aca="false">G15/F15-1</f>
        <v>4.74853052623013</v>
      </c>
      <c r="I15" s="127" t="n">
        <f aca="false">G15-F15</f>
        <v>28008.59</v>
      </c>
      <c r="J15" s="128" t="n">
        <f aca="false">VLOOKUP(B15,'תקציב  '!$B:$S,7,0)*1</f>
        <v>13492.0634920635</v>
      </c>
      <c r="K15" s="126" t="n">
        <f aca="false">G15/J15-1</f>
        <v>1.51310409411765</v>
      </c>
      <c r="L15" s="129" t="n">
        <f aca="false">G15-J15</f>
        <v>20414.8965079365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1374499.606</v>
      </c>
      <c r="F16" s="131" t="n">
        <f aca="false">SUM(F3:F15)+F50</f>
        <v>1560464.72000001</v>
      </c>
      <c r="G16" s="131" t="n">
        <f aca="false">SUM(G3:G15)+G50</f>
        <v>1175320.928</v>
      </c>
      <c r="H16" s="132" t="n">
        <f aca="false">G16/F16-1</f>
        <v>-0.246813521038787</v>
      </c>
      <c r="I16" s="131" t="n">
        <f aca="false">SUM(I3:I15)+I50</f>
        <v>-385143.792000007</v>
      </c>
      <c r="J16" s="131" t="n">
        <f aca="false">SUM(J3:J15)+J50</f>
        <v>1541027.77777778</v>
      </c>
      <c r="K16" s="132" t="n">
        <f aca="false">G16/J16-1</f>
        <v>-0.237313600086522</v>
      </c>
      <c r="L16" s="131" t="n">
        <f aca="false">SUM(L3:L15)+L50</f>
        <v>-365706.849777778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43476.43</v>
      </c>
      <c r="F17" s="125" t="n">
        <v>96447.3100000002</v>
      </c>
      <c r="G17" s="125" t="n">
        <v>544858.410000022</v>
      </c>
      <c r="H17" s="126" t="n">
        <f aca="false">G17/F17-1</f>
        <v>4.64928570843522</v>
      </c>
      <c r="I17" s="127" t="n">
        <f aca="false">G17-F17</f>
        <v>448411.100000022</v>
      </c>
      <c r="J17" s="128" t="n">
        <f aca="false">VLOOKUP(B17,'תקציב  '!$B:$S,7,0)*1</f>
        <v>453601.694915254</v>
      </c>
      <c r="K17" s="126" t="n">
        <f aca="false">G17/J17-1</f>
        <v>0.201182482578284</v>
      </c>
      <c r="L17" s="129" t="n">
        <f aca="false">G17-J17</f>
        <v>91256.715084768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2046.43</v>
      </c>
      <c r="F18" s="125" t="n">
        <v>2606.4</v>
      </c>
      <c r="G18" s="125" t="n">
        <v>1302.94</v>
      </c>
      <c r="H18" s="126" t="n">
        <f aca="false">G18/F18-1</f>
        <v>-0.500099754450583</v>
      </c>
      <c r="I18" s="127" t="n">
        <f aca="false">G18-F18</f>
        <v>-1303.46</v>
      </c>
      <c r="J18" s="128" t="n">
        <f aca="false">VLOOKUP(B18,'תקציב  '!$B:$S,7,0)*1</f>
        <v>2536.92833333333</v>
      </c>
      <c r="K18" s="126" t="n">
        <f aca="false">G18/J18-1</f>
        <v>-0.486410403131871</v>
      </c>
      <c r="L18" s="129" t="n">
        <f aca="false">G18-J18</f>
        <v>-1233.98833333333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1420022.466</v>
      </c>
      <c r="F19" s="133" t="n">
        <f aca="false">F16+F17+F18</f>
        <v>1659518.43000001</v>
      </c>
      <c r="G19" s="133" t="n">
        <f aca="false">G16+G17+G18</f>
        <v>1721482.27800002</v>
      </c>
      <c r="H19" s="134" t="n">
        <f aca="false">G19/F19-1</f>
        <v>0.0373384512517974</v>
      </c>
      <c r="I19" s="133" t="n">
        <f aca="false">I16+I17+I18</f>
        <v>61963.848000015</v>
      </c>
      <c r="J19" s="133" t="n">
        <f aca="false">J16+J17+J18</f>
        <v>1997166.40102636</v>
      </c>
      <c r="K19" s="134" t="n">
        <f aca="false">G19/J19-1</f>
        <v>-0.138037633160996</v>
      </c>
      <c r="L19" s="133" t="n">
        <f aca="false">L16+L17+L18</f>
        <v>-275684.123026343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264520.55</v>
      </c>
      <c r="F20" s="125" t="n">
        <v>238431.78</v>
      </c>
      <c r="G20" s="145" t="n">
        <v>214988.69</v>
      </c>
      <c r="H20" s="126" t="n">
        <f aca="false">G20/F20-1</f>
        <v>-0.0983220022096047</v>
      </c>
      <c r="I20" s="127" t="n">
        <f aca="false">G20-F20</f>
        <v>-23443.09</v>
      </c>
      <c r="J20" s="128" t="n">
        <f aca="false">VLOOKUP(B20,'תקציב  '!$B:$S,7,0)*1</f>
        <v>367136.1903</v>
      </c>
      <c r="K20" s="126" t="n">
        <f aca="false">G20/J20-1</f>
        <v>-0.414417059172714</v>
      </c>
      <c r="L20" s="129" t="n">
        <f aca="false">G20-J20</f>
        <v>-152147.5003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184350.47</v>
      </c>
      <c r="F21" s="125" t="n">
        <v>217182.24</v>
      </c>
      <c r="G21" s="125"/>
      <c r="H21" s="126" t="n">
        <f aca="false">G21/F21-1</f>
        <v>-1</v>
      </c>
      <c r="I21" s="127" t="n">
        <f aca="false">G21-F21</f>
        <v>-217182.24</v>
      </c>
      <c r="J21" s="128" t="n">
        <f aca="false">VLOOKUP(B21,'תקציב  '!$B:$S,7,0)*1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0</v>
      </c>
      <c r="F22" s="125" t="n">
        <v>0</v>
      </c>
      <c r="G22" s="145" t="n">
        <v>123835.02</v>
      </c>
      <c r="H22" s="126" t="str">
        <f aca="false">IFERROR(G22/F22-1,"-")</f>
        <v>-</v>
      </c>
      <c r="I22" s="127" t="n">
        <f aca="false">G22-F22</f>
        <v>123835.02</v>
      </c>
      <c r="J22" s="128" t="n">
        <f aca="false">VLOOKUP(B22,'תקציב  '!$B:$S,7,0)*1</f>
        <v>100000</v>
      </c>
      <c r="K22" s="126" t="n">
        <f aca="false">G22/J22-1</f>
        <v>0.2383502</v>
      </c>
      <c r="L22" s="129" t="n">
        <f aca="false">G22-J22</f>
        <v>23835.02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88706.82</v>
      </c>
      <c r="G23" s="145" t="n">
        <v>92404.96</v>
      </c>
      <c r="H23" s="126" t="n">
        <f aca="false">G23/F23-1</f>
        <v>0.0416894664919789</v>
      </c>
      <c r="I23" s="127" t="n">
        <f aca="false">G23-F23</f>
        <v>3698.14</v>
      </c>
      <c r="J23" s="128" t="n">
        <f aca="false">VLOOKUP(B23,'תקציב  '!$B:$S,7,0)*1</f>
        <v>0</v>
      </c>
      <c r="K23" s="126" t="str">
        <f aca="false">IFERROR(G23/J23-1,"-")</f>
        <v>-</v>
      </c>
      <c r="L23" s="129" t="n">
        <f aca="false">G23-J23</f>
        <v>92404.96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17556.44</v>
      </c>
      <c r="F24" s="125" t="n">
        <v>11888.32</v>
      </c>
      <c r="G24" s="125"/>
      <c r="H24" s="126" t="n">
        <f aca="false">G24/F24-1</f>
        <v>-1</v>
      </c>
      <c r="I24" s="127" t="n">
        <f aca="false">G24-F24</f>
        <v>-11888.32</v>
      </c>
      <c r="J24" s="128" t="n">
        <f aca="false">VLOOKUP(B24,'תקציב  '!$B:$S,7,0)*1</f>
        <v>10000</v>
      </c>
      <c r="K24" s="126" t="n">
        <f aca="false">G24/J24-1</f>
        <v>-1</v>
      </c>
      <c r="L24" s="129" t="n">
        <f aca="false">G24-J24</f>
        <v>-10000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'!$B:$S,7,0)*1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 t="n">
        <v>165356.86</v>
      </c>
      <c r="H26" s="126" t="str">
        <f aca="false">IFERROR(G26/F26-1,"-")</f>
        <v>-</v>
      </c>
      <c r="I26" s="127" t="n">
        <f aca="false">G26-F26</f>
        <v>165356.86</v>
      </c>
      <c r="J26" s="128" t="n">
        <f aca="false">VLOOKUP(B26,'תקציב  '!$B:$S,7,0)*1</f>
        <v>150000</v>
      </c>
      <c r="K26" s="126" t="n">
        <f aca="false">G26/J26-1</f>
        <v>0.102379066666667</v>
      </c>
      <c r="L26" s="129" t="n">
        <f aca="false">G26-J26</f>
        <v>15356.86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35240.62</v>
      </c>
      <c r="G27" s="125"/>
      <c r="H27" s="126" t="n">
        <f aca="false">G27/F27-1</f>
        <v>-1</v>
      </c>
      <c r="I27" s="127" t="n">
        <f aca="false">G27-F27</f>
        <v>-35240.62</v>
      </c>
      <c r="J27" s="128" t="n">
        <f aca="false">VLOOKUP(B27,'תקציב  '!$B:$S,7,0)*1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'!$B:$S,7,0)*1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27828.48</v>
      </c>
      <c r="F29" s="125" t="n">
        <v>38170.88</v>
      </c>
      <c r="G29" s="145" t="n">
        <v>60931.15</v>
      </c>
      <c r="H29" s="126" t="n">
        <f aca="false">G29/F29-1</f>
        <v>0.596273127577881</v>
      </c>
      <c r="I29" s="127" t="n">
        <f aca="false">G29-F29</f>
        <v>22760.27</v>
      </c>
      <c r="J29" s="128" t="n">
        <f aca="false">VLOOKUP(B29,'תקציב  '!$B:$S,7,0)*1</f>
        <v>39765.076</v>
      </c>
      <c r="K29" s="126" t="n">
        <f aca="false">G29/J29-1</f>
        <v>0.53227797175592</v>
      </c>
      <c r="L29" s="129" t="n">
        <f aca="false">G29-J29</f>
        <v>21166.074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49617.59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'!$B:$S,7,0)*1</f>
        <v>35000</v>
      </c>
      <c r="K30" s="126" t="n">
        <f aca="false">G30/J30-1</f>
        <v>-1</v>
      </c>
      <c r="L30" s="129" t="n">
        <f aca="false">G30-J30</f>
        <v>-35000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20354.79</v>
      </c>
      <c r="F31" s="125" t="n">
        <v>0</v>
      </c>
      <c r="G31" s="145" t="n">
        <v>17809.5</v>
      </c>
      <c r="H31" s="126" t="str">
        <f aca="false">IFERROR(G31/F31-1,"-")</f>
        <v>-</v>
      </c>
      <c r="I31" s="127" t="n">
        <f aca="false">G31-F31</f>
        <v>17809.5</v>
      </c>
      <c r="J31" s="128" t="n">
        <f aca="false">VLOOKUP(B31,'תקציב  '!$B:$S,7,0)*1</f>
        <v>0</v>
      </c>
      <c r="K31" s="126" t="str">
        <f aca="false">IFERROR(G31/J31-1,"-")</f>
        <v>-</v>
      </c>
      <c r="L31" s="129" t="n">
        <f aca="false">G31-J31</f>
        <v>17809.5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'!$B:$S,7,0)*1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tru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'!$B:$S,7,0)*1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'!$B:$S,7,0)*1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41531.96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'!$B:$S,7,0)*1</f>
        <v>200000</v>
      </c>
      <c r="K38" s="126" t="n">
        <f aca="false">G38/J38-1</f>
        <v>-1</v>
      </c>
      <c r="L38" s="129" t="n">
        <f aca="false">G38-J38</f>
        <v>-200000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'!$B:$S,7,0)*1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605760.28</v>
      </c>
      <c r="F40" s="136" t="n">
        <f aca="false">SUM(F20:F39)+F51+F52</f>
        <v>629620.66</v>
      </c>
      <c r="G40" s="136" t="n">
        <f aca="false">SUM(G20:G39)+G51+G52</f>
        <v>675326.18</v>
      </c>
      <c r="H40" s="137" t="n">
        <f aca="false">G40/F40-1</f>
        <v>0.0725921541392876</v>
      </c>
      <c r="I40" s="136" t="n">
        <f aca="false">SUM(I20:I39)+I51+I52</f>
        <v>45705.52</v>
      </c>
      <c r="J40" s="136" t="n">
        <f aca="false">SUM(J20:J39)+J51+J52</f>
        <v>946901.2663</v>
      </c>
      <c r="K40" s="137" t="n">
        <f aca="false">G40/J40-1</f>
        <v>-0.286804016390405</v>
      </c>
      <c r="L40" s="136" t="n">
        <f aca="false">SUM(L20:L39)+L51+L52</f>
        <v>-271575.0863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2025782.746</v>
      </c>
      <c r="F41" s="139" t="n">
        <f aca="false">F40+F19</f>
        <v>2289139.09000001</v>
      </c>
      <c r="G41" s="139" t="n">
        <f aca="false">G40+G19</f>
        <v>2396808.45800002</v>
      </c>
      <c r="H41" s="140" t="n">
        <f aca="false">G41/F41-1</f>
        <v>0.0470348737087942</v>
      </c>
      <c r="I41" s="139" t="n">
        <f aca="false">I40+I19</f>
        <v>107669.368000015</v>
      </c>
      <c r="J41" s="139" t="n">
        <f aca="false">J40+J19</f>
        <v>2944067.66732636</v>
      </c>
      <c r="K41" s="140" t="n">
        <f aca="false">G41/J41-1</f>
        <v>-0.185885404537367</v>
      </c>
      <c r="L41" s="139" t="n">
        <f aca="false">L40+L19</f>
        <v>-547259.209326343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0.299025293406265</v>
      </c>
      <c r="F42" s="142" t="n">
        <f aca="false">F40/F41</f>
        <v>0.275046921679188</v>
      </c>
      <c r="G42" s="142" t="n">
        <f aca="false">G40/G41</f>
        <v>0.281760596156906</v>
      </c>
      <c r="H42" s="143"/>
      <c r="I42" s="5"/>
      <c r="J42" s="76" t="n">
        <f aca="false">J41-'תקציב  '!H41*1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4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4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J39" activeCellId="0" sqref="J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5.2024</v>
      </c>
      <c r="F2" s="120" t="n">
        <v>5.2025</v>
      </c>
      <c r="G2" s="120" t="n">
        <v>5.2026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155618.13</v>
      </c>
      <c r="F3" s="125" t="n">
        <v>131634</v>
      </c>
      <c r="G3" s="125"/>
      <c r="H3" s="126" t="n">
        <f aca="false">G3/F3-1</f>
        <v>-1</v>
      </c>
      <c r="I3" s="127" t="n">
        <f aca="false">G3-F3</f>
        <v>-131634</v>
      </c>
      <c r="J3" s="128" t="n">
        <f aca="false">VLOOKUP(B3,'תקציב  '!$B:$S,8,0)*1</f>
        <v>188253.968253968</v>
      </c>
      <c r="K3" s="126" t="n">
        <f aca="false">G3/J3-1</f>
        <v>-1</v>
      </c>
      <c r="L3" s="129" t="n">
        <f aca="false">G3-J3</f>
        <v>-188253.968253968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560199.913</v>
      </c>
      <c r="F4" s="125" t="n">
        <v>729180.694700011</v>
      </c>
      <c r="G4" s="125" t="n">
        <v>498482.53</v>
      </c>
      <c r="H4" s="126" t="n">
        <f aca="false">G4/F4-1</f>
        <v>-0.316379967786889</v>
      </c>
      <c r="I4" s="127" t="n">
        <f aca="false">G4-F4</f>
        <v>-230698.164700011</v>
      </c>
      <c r="J4" s="128" t="n">
        <f aca="false">VLOOKUP(B4,'תקציב  '!$B:$S,8,0)*1</f>
        <v>558634.920634921</v>
      </c>
      <c r="K4" s="126" t="n">
        <f aca="false">G4/J4-1</f>
        <v>-0.107677462351538</v>
      </c>
      <c r="L4" s="129" t="n">
        <f aca="false">G4-J4</f>
        <v>-60152.390634921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104005.538</v>
      </c>
      <c r="F5" s="125" t="n">
        <v>80577.77</v>
      </c>
      <c r="G5" s="125" t="n">
        <v>81328.338</v>
      </c>
      <c r="H5" s="126" t="n">
        <f aca="false">G5/F5-1</f>
        <v>0.00931482715394094</v>
      </c>
      <c r="I5" s="127" t="n">
        <f aca="false">G5-F5</f>
        <v>750.567999999999</v>
      </c>
      <c r="J5" s="128" t="n">
        <f aca="false">VLOOKUP(B5,'תקציב  '!$B:$S,8,0)*1</f>
        <v>71428.5714285714</v>
      </c>
      <c r="K5" s="126" t="n">
        <f aca="false">G5/J5-1</f>
        <v>0.138596732</v>
      </c>
      <c r="L5" s="129" t="n">
        <f aca="false">G5-J5</f>
        <v>9899.7665714286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211638.805</v>
      </c>
      <c r="F6" s="125" t="n">
        <v>186515.155300001</v>
      </c>
      <c r="G6" s="125" t="n">
        <v>148972.084</v>
      </c>
      <c r="H6" s="126" t="n">
        <f aca="false">G6/F6-1</f>
        <v>-0.201286974453174</v>
      </c>
      <c r="I6" s="127" t="n">
        <f aca="false">G6-F6</f>
        <v>-37543.071300001</v>
      </c>
      <c r="J6" s="128" t="n">
        <f aca="false">VLOOKUP(A6,'תקציב  '!$B:$S,8,0)*1</f>
        <v>160793.650793651</v>
      </c>
      <c r="K6" s="126" t="n">
        <f aca="false">G6/J6-1</f>
        <v>-0.0735201093780861</v>
      </c>
      <c r="L6" s="129" t="n">
        <f aca="false">G6-J6</f>
        <v>-11821.566793651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327442</v>
      </c>
      <c r="F7" s="125" t="n">
        <v>307503</v>
      </c>
      <c r="G7" s="125" t="n">
        <v>318846.8</v>
      </c>
      <c r="H7" s="126" t="n">
        <f aca="false">G7/F7-1</f>
        <v>0.0368900466011712</v>
      </c>
      <c r="I7" s="127" t="n">
        <f aca="false">G7-F7</f>
        <v>11343.8</v>
      </c>
      <c r="J7" s="128" t="n">
        <f aca="false">VLOOKUP(B7,'תקציב  '!$B:$S,8,0)*1</f>
        <v>365000</v>
      </c>
      <c r="K7" s="126" t="n">
        <f aca="false">G7/J7-1</f>
        <v>-0.126447123287671</v>
      </c>
      <c r="L7" s="129" t="n">
        <f aca="false">G7-J7</f>
        <v>-46153.2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65998.04</v>
      </c>
      <c r="F8" s="125" t="n">
        <v>88130.8</v>
      </c>
      <c r="G8" s="125" t="n">
        <v>47091.772</v>
      </c>
      <c r="H8" s="126" t="n">
        <f aca="false">G8/F8-1</f>
        <v>-0.465660450149097</v>
      </c>
      <c r="I8" s="127" t="n">
        <f aca="false">G8-F8</f>
        <v>-41039.028</v>
      </c>
      <c r="J8" s="128" t="n">
        <f aca="false">VLOOKUP(B8,'תקציב  '!$B:$S,8,0)*1</f>
        <v>99365.0793650794</v>
      </c>
      <c r="K8" s="126" t="n">
        <f aca="false">G8/J8-1</f>
        <v>-0.526073221086262</v>
      </c>
      <c r="L8" s="129" t="n">
        <f aca="false">G8-J8</f>
        <v>-52273.3073650794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99310.41</v>
      </c>
      <c r="F9" s="125" t="n">
        <v>94846.85</v>
      </c>
      <c r="G9" s="125" t="n">
        <v>102176.91</v>
      </c>
      <c r="H9" s="126" t="n">
        <f aca="false">G9/F9-1</f>
        <v>0.0772831148319633</v>
      </c>
      <c r="I9" s="127" t="n">
        <f aca="false">G9-F9</f>
        <v>7330.06</v>
      </c>
      <c r="J9" s="128" t="n">
        <f aca="false">VLOOKUP(B9,'תקציב  '!$B:$S,8,0)*1</f>
        <v>170079.365079365</v>
      </c>
      <c r="K9" s="126" t="n">
        <f aca="false">G9/J9-1</f>
        <v>-0.399239819878674</v>
      </c>
      <c r="L9" s="129" t="n">
        <f aca="false">G9-J9</f>
        <v>-67902.455079365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16034.44</v>
      </c>
      <c r="F10" s="125" t="n">
        <v>15870.65</v>
      </c>
      <c r="G10" s="125" t="n">
        <v>6343.11</v>
      </c>
      <c r="H10" s="126" t="n">
        <f aca="false">G10/F10-1</f>
        <v>-0.600324498366482</v>
      </c>
      <c r="I10" s="127" t="n">
        <f aca="false">G10-F10</f>
        <v>-9527.54</v>
      </c>
      <c r="J10" s="128" t="n">
        <f aca="false">VLOOKUP(B10,'תקציב  '!$B:$S,8,0)*1</f>
        <v>15079.3650793651</v>
      </c>
      <c r="K10" s="126" t="n">
        <f aca="false">G10/J10-1</f>
        <v>-0.57935165263158</v>
      </c>
      <c r="L10" s="129" t="n">
        <f aca="false">G10-J10</f>
        <v>-8736.2550793651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1188.66</v>
      </c>
      <c r="F11" s="125" t="n">
        <v>5871.12</v>
      </c>
      <c r="G11" s="125" t="n">
        <v>7664.69</v>
      </c>
      <c r="H11" s="126" t="n">
        <f aca="false">G11/F11-1</f>
        <v>0.305490264208533</v>
      </c>
      <c r="I11" s="127" t="n">
        <f aca="false">G11-F11</f>
        <v>1793.57</v>
      </c>
      <c r="J11" s="128" t="n">
        <f aca="false">VLOOKUP(B11,'תקציב  '!$B:$S,8,0)*1</f>
        <v>7936.50793650794</v>
      </c>
      <c r="K11" s="126" t="n">
        <f aca="false">G11/J11-1</f>
        <v>-0.0342490600000005</v>
      </c>
      <c r="L11" s="129" t="n">
        <f aca="false">G11-J11</f>
        <v>-271.81793650794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'!$B:$S,8,0)*1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1597.46</v>
      </c>
      <c r="F13" s="125" t="n">
        <v>0</v>
      </c>
      <c r="G13" s="125" t="n">
        <v>1896.82</v>
      </c>
      <c r="H13" s="126" t="str">
        <f aca="false">IFERROR(G13/F13-1,"-")</f>
        <v>-</v>
      </c>
      <c r="I13" s="127" t="n">
        <f aca="false">G13-F13</f>
        <v>1896.82</v>
      </c>
      <c r="J13" s="128" t="n">
        <f aca="false">VLOOKUP(B13,'תקציב  '!$B:$S,8,0)*1</f>
        <v>0</v>
      </c>
      <c r="K13" s="126" t="str">
        <f aca="false">IFERROR(G13/J13-1,"-")</f>
        <v>-</v>
      </c>
      <c r="L13" s="129" t="n">
        <f aca="false">G13-J13</f>
        <v>1896.82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3430</v>
      </c>
      <c r="H14" s="126" t="str">
        <f aca="false">IFERROR(G14/F14-1,"-")</f>
        <v>-</v>
      </c>
      <c r="I14" s="127" t="n">
        <f aca="false">G14-F14</f>
        <v>3430</v>
      </c>
      <c r="J14" s="128" t="n">
        <f aca="false">VLOOKUP(B14,'תקציב  '!$B:$S,8,0)*1</f>
        <v>50000</v>
      </c>
      <c r="K14" s="126" t="n">
        <f aca="false">G14/J14-1</f>
        <v>-0.9314</v>
      </c>
      <c r="L14" s="129" t="n">
        <f aca="false">G14-J14</f>
        <v>-46570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3187.34</v>
      </c>
      <c r="F15" s="125" t="n">
        <v>707.660000000001</v>
      </c>
      <c r="G15" s="125" t="n">
        <v>6150.22</v>
      </c>
      <c r="H15" s="126" t="n">
        <f aca="false">G15/F15-1</f>
        <v>7.69092502049005</v>
      </c>
      <c r="I15" s="127" t="n">
        <f aca="false">G15-F15</f>
        <v>5442.56</v>
      </c>
      <c r="J15" s="128" t="n">
        <f aca="false">VLOOKUP(B15,'תקציב  '!$B:$S,8,0)*1</f>
        <v>15873.0158730159</v>
      </c>
      <c r="K15" s="126" t="n">
        <f aca="false">G15/J15-1</f>
        <v>-0.612536140000001</v>
      </c>
      <c r="L15" s="129" t="n">
        <f aca="false">G15-J15</f>
        <v>-9722.7958730159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1546220.736</v>
      </c>
      <c r="F16" s="131" t="n">
        <f aca="false">SUM(F3:F15)+F50</f>
        <v>1640837.70000001</v>
      </c>
      <c r="G16" s="131" t="n">
        <f aca="false">SUM(G3:G15)+G50</f>
        <v>1222383.274</v>
      </c>
      <c r="H16" s="132" t="n">
        <f aca="false">G16/F16-1</f>
        <v>-0.255024872965808</v>
      </c>
      <c r="I16" s="131" t="n">
        <f aca="false">SUM(I3:I15)+I50</f>
        <v>-418454.426000012</v>
      </c>
      <c r="J16" s="131" t="n">
        <f aca="false">SUM(J3:J15)+J50</f>
        <v>1702444.44444444</v>
      </c>
      <c r="K16" s="132" t="n">
        <f aca="false">G16/J16-1</f>
        <v>-0.281983457381543</v>
      </c>
      <c r="L16" s="131" t="n">
        <f aca="false">SUM(L3:L15)+L50</f>
        <v>-480061.170444445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49304.7</v>
      </c>
      <c r="F17" s="125" t="n">
        <v>99302.9500000002</v>
      </c>
      <c r="G17" s="125" t="n">
        <v>404699.340000001</v>
      </c>
      <c r="H17" s="126" t="n">
        <f aca="false">G17/F17-1</f>
        <v>3.07540098254886</v>
      </c>
      <c r="I17" s="127" t="n">
        <f aca="false">G17-F17</f>
        <v>305396.390000001</v>
      </c>
      <c r="J17" s="128" t="n">
        <f aca="false">VLOOKUP(B17,'תקציב  '!$B:$S,8,0)*1</f>
        <v>592182.203389831</v>
      </c>
      <c r="K17" s="126" t="n">
        <f aca="false">G17/J17-1</f>
        <v>-0.316596585166898</v>
      </c>
      <c r="L17" s="129" t="n">
        <f aca="false">G17-J17</f>
        <v>-187482.86338983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2364.29</v>
      </c>
      <c r="F18" s="125" t="n">
        <v>1491.14</v>
      </c>
      <c r="G18" s="125" t="n">
        <v>2347.76</v>
      </c>
      <c r="H18" s="126" t="n">
        <f aca="false">G18/F18-1</f>
        <v>0.574473221830278</v>
      </c>
      <c r="I18" s="127" t="n">
        <f aca="false">G18-F18</f>
        <v>856.62</v>
      </c>
      <c r="J18" s="128" t="n">
        <f aca="false">VLOOKUP(B18,'תקציב  '!$B:$S,8,0)*1</f>
        <v>2536.92833333333</v>
      </c>
      <c r="K18" s="126" t="n">
        <f aca="false">G18/J18-1</f>
        <v>-0.0745658956336291</v>
      </c>
      <c r="L18" s="129" t="n">
        <f aca="false">G18-J18</f>
        <v>-189.16833333333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1597889.726</v>
      </c>
      <c r="F19" s="133" t="n">
        <f aca="false">F16+F17+F18</f>
        <v>1741631.79000001</v>
      </c>
      <c r="G19" s="133" t="n">
        <f aca="false">G16+G17+G18</f>
        <v>1629430.374</v>
      </c>
      <c r="H19" s="134" t="n">
        <f aca="false">G19/F19-1</f>
        <v>-0.064423155711926</v>
      </c>
      <c r="I19" s="133" t="n">
        <f aca="false">I16+I17+I18</f>
        <v>-112201.416000011</v>
      </c>
      <c r="J19" s="133" t="n">
        <f aca="false">J16+J17+J18</f>
        <v>2297163.57616761</v>
      </c>
      <c r="K19" s="134" t="n">
        <f aca="false">G19/J19-1</f>
        <v>-0.290677254808992</v>
      </c>
      <c r="L19" s="133" t="n">
        <f aca="false">L16+L17+L18</f>
        <v>-667733.202167608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318316.8</v>
      </c>
      <c r="F20" s="125" t="n">
        <v>252540.02</v>
      </c>
      <c r="G20" s="125" t="n">
        <v>224163.96</v>
      </c>
      <c r="H20" s="126" t="n">
        <f aca="false">G20/F20-1</f>
        <v>-0.112362626723479</v>
      </c>
      <c r="I20" s="127" t="n">
        <f aca="false">G20-F20</f>
        <v>-28376.06</v>
      </c>
      <c r="J20" s="128" t="n">
        <f aca="false">VLOOKUP(B20,'תקציב  '!$B:$S,8,0)*1</f>
        <v>398486.4708</v>
      </c>
      <c r="K20" s="126" t="n">
        <f aca="false">G20/J20-1</f>
        <v>-0.437461554089981</v>
      </c>
      <c r="L20" s="129" t="n">
        <f aca="false">G20-J20</f>
        <v>-174322.5108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45" t="n">
        <v>204882.82</v>
      </c>
      <c r="H21" s="126" t="str">
        <f aca="false">IFERROR(G21/F21-1,"-")</f>
        <v>-</v>
      </c>
      <c r="I21" s="127" t="n">
        <f aca="false">G21-F21</f>
        <v>204882.82</v>
      </c>
      <c r="J21" s="128" t="n">
        <f aca="false">VLOOKUP(B21,'תקציב  '!$B:$S,8,0)*1</f>
        <v>235200</v>
      </c>
      <c r="K21" s="126" t="n">
        <f aca="false">G21/J21-1</f>
        <v>-0.128899574829932</v>
      </c>
      <c r="L21" s="129" t="n">
        <f aca="false">G21-J21</f>
        <v>-30317.18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169505.88</v>
      </c>
      <c r="F22" s="125" t="n">
        <v>1513.3</v>
      </c>
      <c r="G22" s="145" t="n">
        <v>5036.8</v>
      </c>
      <c r="H22" s="126" t="n">
        <f aca="false">G22/F22-1</f>
        <v>2.32835525011564</v>
      </c>
      <c r="I22" s="127" t="n">
        <f aca="false">G22-F22</f>
        <v>3523.5</v>
      </c>
      <c r="J22" s="128" t="n">
        <f aca="false">VLOOKUP(B22,'תקציב  '!$B:$S,8,0)*1</f>
        <v>15000</v>
      </c>
      <c r="K22" s="126" t="n">
        <f aca="false">G22/J22-1</f>
        <v>-0.664213333333333</v>
      </c>
      <c r="L22" s="129" t="n">
        <f aca="false">G22-J22</f>
        <v>-9963.2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0</v>
      </c>
      <c r="G23" s="146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'!$B:$S,8,0)*1</f>
        <v>85000</v>
      </c>
      <c r="K23" s="126" t="n">
        <f aca="false">G23/J23-1</f>
        <v>-1</v>
      </c>
      <c r="L23" s="129" t="n">
        <f aca="false">G23-J23</f>
        <v>-85000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0</v>
      </c>
      <c r="G24" s="125" t="n">
        <v>16087.48</v>
      </c>
      <c r="H24" s="126" t="str">
        <f aca="false">IFERROR(G24/F24-1,"-")</f>
        <v>-</v>
      </c>
      <c r="I24" s="127" t="n">
        <f aca="false">G24-F24</f>
        <v>16087.48</v>
      </c>
      <c r="J24" s="128" t="n">
        <f aca="false">VLOOKUP(B24,'תקציב  '!$B:$S,8,0)*1</f>
        <v>17000</v>
      </c>
      <c r="K24" s="126" t="n">
        <f aca="false">G24/J24-1</f>
        <v>-0.0536776470588236</v>
      </c>
      <c r="L24" s="129" t="n">
        <f aca="false">G24-J24</f>
        <v>-912.52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10766.89</v>
      </c>
      <c r="G25" s="125"/>
      <c r="H25" s="126" t="n">
        <f aca="false">G25/F25-1</f>
        <v>-1</v>
      </c>
      <c r="I25" s="127" t="n">
        <f aca="false">G25-F25</f>
        <v>-10766.89</v>
      </c>
      <c r="J25" s="128" t="n">
        <f aca="false">VLOOKUP(B25,'תקציב  '!$B:$S,8,0)*1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172805.6</v>
      </c>
      <c r="G26" s="125" t="n">
        <v>-19940.33</v>
      </c>
      <c r="H26" s="126" t="n">
        <f aca="false">G26/F26-1</f>
        <v>-1.11539168869527</v>
      </c>
      <c r="I26" s="127" t="n">
        <f aca="false">G26-F26</f>
        <v>-192745.93</v>
      </c>
      <c r="J26" s="128" t="n">
        <f aca="false">VLOOKUP(B26,'תקציב  '!$B:$S,8,0)*1</f>
        <v>0</v>
      </c>
      <c r="K26" s="126" t="str">
        <f aca="false">IFERROR(G26/J26-1,"-")</f>
        <v>-</v>
      </c>
      <c r="L26" s="129" t="n">
        <f aca="false">G26-J26</f>
        <v>-19940.33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-0.48</v>
      </c>
      <c r="F27" s="125" t="n">
        <v>0</v>
      </c>
      <c r="G27" s="145" t="n">
        <v>18541.7</v>
      </c>
      <c r="H27" s="126" t="str">
        <f aca="false">IFERROR(G27/F27-1,"-")</f>
        <v>-</v>
      </c>
      <c r="I27" s="127" t="n">
        <f aca="false">G27-F27</f>
        <v>18541.7</v>
      </c>
      <c r="J27" s="128" t="n">
        <f aca="false">VLOOKUP(B27,'תקציב  '!$B:$S,8,0)*1</f>
        <v>0</v>
      </c>
      <c r="K27" s="126" t="str">
        <f aca="false">IFERROR(G27/J27-1,"-")</f>
        <v>-</v>
      </c>
      <c r="L27" s="129" t="n">
        <f aca="false">G27-J27</f>
        <v>18541.7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'!$B:$S,8,0)*1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31259.76</v>
      </c>
      <c r="F29" s="125" t="n">
        <v>56732.32</v>
      </c>
      <c r="G29" s="145" t="n">
        <v>33066.23</v>
      </c>
      <c r="H29" s="126" t="n">
        <f aca="false">G29/F29-1</f>
        <v>-0.417153573130801</v>
      </c>
      <c r="I29" s="127" t="n">
        <f aca="false">G29-F29</f>
        <v>-23666.09</v>
      </c>
      <c r="J29" s="128" t="n">
        <f aca="false">VLOOKUP(B29,'תקציב  '!$B:$S,8,0)*1</f>
        <v>39765.076</v>
      </c>
      <c r="K29" s="126" t="n">
        <f aca="false">G29/J29-1</f>
        <v>-0.168460535571465</v>
      </c>
      <c r="L29" s="129" t="n">
        <f aca="false">G29-J29</f>
        <v>-6698.846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 t="n">
        <v>43116.44</v>
      </c>
      <c r="H30" s="126" t="str">
        <f aca="false">IFERROR(G30/F30-1,"-")</f>
        <v>-</v>
      </c>
      <c r="I30" s="127" t="n">
        <f aca="false">G30-F30</f>
        <v>43116.44</v>
      </c>
      <c r="J30" s="128" t="n">
        <f aca="false">VLOOKUP(B30,'תקציב  '!$B:$S,8,0)*1</f>
        <v>0</v>
      </c>
      <c r="K30" s="126" t="str">
        <f aca="false">IFERROR(G30/J30-1,"-")</f>
        <v>-</v>
      </c>
      <c r="L30" s="129" t="n">
        <f aca="false">G30-J30</f>
        <v>43116.44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18835.73</v>
      </c>
      <c r="G31" s="125"/>
      <c r="H31" s="126" t="n">
        <f aca="false">G31/F31-1</f>
        <v>-1</v>
      </c>
      <c r="I31" s="127" t="n">
        <f aca="false">G31-F31</f>
        <v>-18835.73</v>
      </c>
      <c r="J31" s="128" t="n">
        <f aca="false">VLOOKUP(B31,'תקציב  '!$B:$S,8,0)*1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'!$B:$S,8,0)*1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19017.88</v>
      </c>
      <c r="G34" s="125"/>
      <c r="H34" s="126" t="n">
        <f aca="false">G34/F34-1</f>
        <v>-1</v>
      </c>
      <c r="I34" s="127" t="n">
        <f aca="false">G34-F34</f>
        <v>-19017.88</v>
      </c>
      <c r="J34" s="128" t="n">
        <f aca="false">VLOOKUP(B34,'תקציב  '!$B:$S,8,0)*1</f>
        <v>21207.34</v>
      </c>
      <c r="K34" s="126" t="n">
        <f aca="false">G34/J34-1</f>
        <v>-1</v>
      </c>
      <c r="L34" s="129" t="n">
        <f aca="false">G34-J34</f>
        <v>-21207.34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30531.53</v>
      </c>
      <c r="G35" s="125"/>
      <c r="H35" s="126" t="n">
        <f aca="false">G35/F35-1</f>
        <v>-1</v>
      </c>
      <c r="I35" s="127" t="n">
        <f aca="false">G35-F35</f>
        <v>-30531.53</v>
      </c>
      <c r="J35" s="128" t="n">
        <f aca="false">VLOOKUP(B35,'תקציב  '!$B:$S,8,0)*1</f>
        <v>40000</v>
      </c>
      <c r="K35" s="126" t="n">
        <f aca="false">G35/J35-1</f>
        <v>-1</v>
      </c>
      <c r="L35" s="129" t="n">
        <f aca="false">G35-J35</f>
        <v>-40000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248.59</v>
      </c>
      <c r="G38" s="125"/>
      <c r="H38" s="126" t="n">
        <f aca="false">G38/F38-1</f>
        <v>-1</v>
      </c>
      <c r="I38" s="127" t="n">
        <f aca="false">G38-F38</f>
        <v>-248.59</v>
      </c>
      <c r="J38" s="128" t="n">
        <f aca="false">VLOOKUP(B38,'תקציב  '!$B:$S,8,0)*1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'!$B:$S,8,0)*1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519081.96</v>
      </c>
      <c r="F40" s="136" t="n">
        <f aca="false">SUM(F20:F39)+F51+F52</f>
        <v>562991.86</v>
      </c>
      <c r="G40" s="136" t="n">
        <f aca="false">SUM(G20:G39)+G51+G52</f>
        <v>524955.1</v>
      </c>
      <c r="H40" s="137" t="n">
        <f aca="false">G40/F40-1</f>
        <v>-0.0675618294019384</v>
      </c>
      <c r="I40" s="136" t="n">
        <f aca="false">SUM(I20:I39)+I51+I52</f>
        <v>-38036.76</v>
      </c>
      <c r="J40" s="136" t="n">
        <f aca="false">SUM(J20:J39)+J51+J52</f>
        <v>856658.8868</v>
      </c>
      <c r="K40" s="137" t="n">
        <f aca="false">G40/J40-1</f>
        <v>-0.387206380405462</v>
      </c>
      <c r="L40" s="136" t="n">
        <f aca="false">SUM(L20:L39)+L51+L52</f>
        <v>-331703.7868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2116971.686</v>
      </c>
      <c r="F41" s="139" t="n">
        <f aca="false">F40+F19</f>
        <v>2304623.65000001</v>
      </c>
      <c r="G41" s="139" t="n">
        <f aca="false">G40+G19</f>
        <v>2154385.474</v>
      </c>
      <c r="H41" s="140" t="n">
        <f aca="false">G41/F41-1</f>
        <v>-0.0651898959728242</v>
      </c>
      <c r="I41" s="139" t="n">
        <f aca="false">I40+I19</f>
        <v>-150238.176000011</v>
      </c>
      <c r="J41" s="139" t="n">
        <f aca="false">J40+J19</f>
        <v>3153822.46296761</v>
      </c>
      <c r="K41" s="140" t="n">
        <f aca="false">G41/J41-1</f>
        <v>-0.316897035487274</v>
      </c>
      <c r="L41" s="139" t="n">
        <f aca="false">L40+L19</f>
        <v>-999436.988967608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0.245200237411206</v>
      </c>
      <c r="F42" s="142" t="n">
        <f aca="false">F40/F41</f>
        <v>0.244287981684123</v>
      </c>
      <c r="G42" s="142" t="n">
        <f aca="false">G40/G41</f>
        <v>0.243668139400015</v>
      </c>
      <c r="H42" s="143"/>
      <c r="I42" s="5"/>
      <c r="J42" s="76" t="n">
        <f aca="false">J41-'תקציב  '!I41*1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K38" activeCellId="0" sqref="K3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172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6.2024</v>
      </c>
      <c r="F2" s="120" t="n">
        <v>6.2025</v>
      </c>
      <c r="G2" s="120" t="n">
        <v>6.2026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144633.67</v>
      </c>
      <c r="F3" s="125" t="n">
        <v>0</v>
      </c>
      <c r="G3" s="125" t="n">
        <v>65131.7</v>
      </c>
      <c r="H3" s="126" t="str">
        <f aca="false">IFERROR(G3/F3-1,"-")</f>
        <v>-</v>
      </c>
      <c r="I3" s="127" t="n">
        <f aca="false">G3-F3</f>
        <v>65131.7</v>
      </c>
      <c r="J3" s="128" t="n">
        <f aca="false">VLOOKUP(B3,'תקציב  '!$B:$S,9,0)*1</f>
        <v>235079.365079365</v>
      </c>
      <c r="K3" s="126" t="n">
        <f aca="false">G3/J3-1</f>
        <v>-0.722937400405132</v>
      </c>
      <c r="L3" s="129" t="n">
        <f aca="false">G3-J3</f>
        <v>-169947.665079365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429114.049</v>
      </c>
      <c r="F4" s="125" t="n">
        <v>452295.980000005</v>
      </c>
      <c r="G4" s="125" t="n">
        <v>534754.402</v>
      </c>
      <c r="H4" s="126" t="n">
        <f aca="false">G4/F4-1</f>
        <v>0.182310755890411</v>
      </c>
      <c r="I4" s="127" t="n">
        <f aca="false">G4-F4</f>
        <v>82458.421999995</v>
      </c>
      <c r="J4" s="128" t="n">
        <f aca="false">VLOOKUP(B4,'תקציב  '!$B:$S,9,0)*1</f>
        <v>605698.412698413</v>
      </c>
      <c r="K4" s="126" t="n">
        <f aca="false">G4/J4-1</f>
        <v>-0.117127615346315</v>
      </c>
      <c r="L4" s="129" t="n">
        <f aca="false">G4-J4</f>
        <v>-70944.010698413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94683.953</v>
      </c>
      <c r="F5" s="125" t="n">
        <v>87191.65</v>
      </c>
      <c r="G5" s="125" t="n">
        <v>76564.033</v>
      </c>
      <c r="H5" s="126" t="n">
        <f aca="false">G5/F5-1</f>
        <v>-0.121888013359077</v>
      </c>
      <c r="I5" s="127" t="n">
        <f aca="false">G5-F5</f>
        <v>-10627.617</v>
      </c>
      <c r="J5" s="128" t="n">
        <f aca="false">VLOOKUP(B5,'תקציב  '!$B:$S,9,0)*1</f>
        <v>78571.4285714286</v>
      </c>
      <c r="K5" s="126" t="n">
        <f aca="false">G5/J5-1</f>
        <v>-0.0255486709090913</v>
      </c>
      <c r="L5" s="129" t="n">
        <f aca="false">G5-J5</f>
        <v>-2007.3955714286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174598.676</v>
      </c>
      <c r="F6" s="125" t="n">
        <v>160476.44</v>
      </c>
      <c r="G6" s="125" t="n">
        <v>188367.581</v>
      </c>
      <c r="H6" s="126" t="n">
        <f aca="false">G6/F6-1</f>
        <v>0.173802092070338</v>
      </c>
      <c r="I6" s="127" t="n">
        <f aca="false">G6-F6</f>
        <v>27891.141</v>
      </c>
      <c r="J6" s="128" t="n">
        <f aca="false">VLOOKUP(A6,'תקציב  '!$B:$S,9,0)*1</f>
        <v>170873.015873016</v>
      </c>
      <c r="K6" s="126" t="n">
        <f aca="false">G6/J6-1</f>
        <v>0.102383428053878</v>
      </c>
      <c r="L6" s="129" t="n">
        <f aca="false">G6-J6</f>
        <v>17494.565126984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315729.5</v>
      </c>
      <c r="F7" s="125" t="n">
        <v>363201.5</v>
      </c>
      <c r="G7" s="125" t="n">
        <v>339371.75</v>
      </c>
      <c r="H7" s="126" t="n">
        <f aca="false">G7/F7-1</f>
        <v>-0.065610274186643</v>
      </c>
      <c r="I7" s="127" t="n">
        <f aca="false">G7-F7</f>
        <v>-23829.75</v>
      </c>
      <c r="J7" s="128" t="n">
        <f aca="false">VLOOKUP(B7,'תקציב  '!$B:$S,9,0)*1</f>
        <v>365000</v>
      </c>
      <c r="K7" s="126" t="n">
        <f aca="false">G7/J7-1</f>
        <v>-0.0702143835616439</v>
      </c>
      <c r="L7" s="129" t="n">
        <f aca="false">G7-J7</f>
        <v>-25628.25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43688.56</v>
      </c>
      <c r="F8" s="125" t="n">
        <v>62616.16</v>
      </c>
      <c r="G8" s="125" t="n">
        <v>70005.299</v>
      </c>
      <c r="H8" s="126" t="n">
        <f aca="false">G8/F8-1</f>
        <v>0.118006901093903</v>
      </c>
      <c r="I8" s="127" t="n">
        <f aca="false">G8-F8</f>
        <v>7389.139</v>
      </c>
      <c r="J8" s="128" t="n">
        <f aca="false">VLOOKUP(B8,'תקציב  '!$B:$S,9,0)*1</f>
        <v>107301.587301587</v>
      </c>
      <c r="K8" s="126" t="n">
        <f aca="false">G8/J8-1</f>
        <v>-0.347583751923075</v>
      </c>
      <c r="L8" s="129" t="n">
        <f aca="false">G8-J8</f>
        <v>-37296.288301587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77555.62</v>
      </c>
      <c r="F9" s="125" t="n">
        <v>63999.64</v>
      </c>
      <c r="G9" s="125" t="n">
        <v>67723.22</v>
      </c>
      <c r="H9" s="126" t="n">
        <f aca="false">G9/F9-1</f>
        <v>0.0581812647696143</v>
      </c>
      <c r="I9" s="127" t="n">
        <f aca="false">G9-F9</f>
        <v>3723.58</v>
      </c>
      <c r="J9" s="128" t="n">
        <f aca="false">VLOOKUP(B9,'תקציב  '!$B:$S,9,0)*1</f>
        <v>177087.301587302</v>
      </c>
      <c r="K9" s="126" t="n">
        <f aca="false">G9/J9-1</f>
        <v>-0.617571562766101</v>
      </c>
      <c r="L9" s="129" t="n">
        <f aca="false">G9-J9</f>
        <v>-109364.081587302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13321.91</v>
      </c>
      <c r="F10" s="125" t="n">
        <v>9192.17</v>
      </c>
      <c r="G10" s="125" t="n">
        <v>6761.44</v>
      </c>
      <c r="H10" s="126" t="n">
        <f aca="false">G10/F10-1</f>
        <v>-0.264434839651573</v>
      </c>
      <c r="I10" s="127" t="n">
        <f aca="false">G10-F10</f>
        <v>-2430.73</v>
      </c>
      <c r="J10" s="128" t="n">
        <f aca="false">VLOOKUP(B10,'תקציב  '!$B:$S,9,0)*1</f>
        <v>16587.3015873016</v>
      </c>
      <c r="K10" s="126" t="n">
        <f aca="false">G10/J10-1</f>
        <v>-0.592372516746412</v>
      </c>
      <c r="L10" s="129" t="n">
        <f aca="false">G10-J10</f>
        <v>-9825.8615873016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11738.24</v>
      </c>
      <c r="F11" s="125" t="n">
        <v>4288.26</v>
      </c>
      <c r="G11" s="125" t="n">
        <v>8984.58</v>
      </c>
      <c r="H11" s="126" t="n">
        <f aca="false">G11/F11-1</f>
        <v>1.09515747645898</v>
      </c>
      <c r="I11" s="127" t="n">
        <f aca="false">G11-F11</f>
        <v>4696.32</v>
      </c>
      <c r="J11" s="128" t="n">
        <f aca="false">VLOOKUP(B11,'תקציב  '!$B:$S,9,0)*1</f>
        <v>8730.15873015873</v>
      </c>
      <c r="K11" s="126" t="n">
        <f aca="false">G11/J11-1</f>
        <v>0.0291428</v>
      </c>
      <c r="L11" s="129" t="n">
        <f aca="false">G11-J11</f>
        <v>254.42126984127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1244.84</v>
      </c>
      <c r="G12" s="125" t="n">
        <v>1658.99</v>
      </c>
      <c r="H12" s="126" t="n">
        <f aca="false">G12/F12-1</f>
        <v>0.332693358182578</v>
      </c>
      <c r="I12" s="127" t="n">
        <f aca="false">G12-F12</f>
        <v>414.15</v>
      </c>
      <c r="J12" s="128" t="n">
        <f aca="false">VLOOKUP(B12,'תקציב  '!$B:$S,9,0)*1</f>
        <v>0</v>
      </c>
      <c r="K12" s="126"/>
      <c r="L12" s="129" t="n">
        <f aca="false">G12-J12</f>
        <v>1658.99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'!$B:$S,9,0)*1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4579.64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'!$B:$S,9,0)*1</f>
        <v>50000</v>
      </c>
      <c r="K14" s="126" t="n">
        <f aca="false">G14/J14-1</f>
        <v>-1</v>
      </c>
      <c r="L14" s="129" t="n">
        <f aca="false">G14-J14</f>
        <v>-50000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5235.63</v>
      </c>
      <c r="F15" s="125" t="n">
        <v>17697.58</v>
      </c>
      <c r="G15" s="125" t="n">
        <v>15643.41</v>
      </c>
      <c r="H15" s="126" t="n">
        <f aca="false">G15/F15-1</f>
        <v>-0.116070671809366</v>
      </c>
      <c r="I15" s="127" t="n">
        <f aca="false">G15-F15</f>
        <v>-2054.17</v>
      </c>
      <c r="J15" s="128" t="n">
        <f aca="false">VLOOKUP(B15,'תקציב  '!$B:$S,9,0)*1</f>
        <v>17460.3174603175</v>
      </c>
      <c r="K15" s="126" t="n">
        <f aca="false">G15/J15-1</f>
        <v>-0.104059245454547</v>
      </c>
      <c r="L15" s="129" t="n">
        <f aca="false">G15-J15</f>
        <v>-1816.9074603175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1314879.448</v>
      </c>
      <c r="F16" s="131" t="n">
        <f aca="false">SUM(F3:F15)+F50</f>
        <v>1222204.22000001</v>
      </c>
      <c r="G16" s="131" t="n">
        <f aca="false">SUM(G3:G15)+G50</f>
        <v>1374966.405</v>
      </c>
      <c r="H16" s="132" t="n">
        <f aca="false">G16/F16-1</f>
        <v>0.124989083248293</v>
      </c>
      <c r="I16" s="131" t="n">
        <f aca="false">SUM(I3:I15)+I50</f>
        <v>152762.184999995</v>
      </c>
      <c r="J16" s="131" t="n">
        <f aca="false">SUM(J3:J15)+J50</f>
        <v>1832388.88888889</v>
      </c>
      <c r="K16" s="132" t="n">
        <f aca="false">G16/J16-1</f>
        <v>-0.249631771215475</v>
      </c>
      <c r="L16" s="131" t="n">
        <f aca="false">SUM(L3:L15)+L50</f>
        <v>-457422.483888889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52569.54</v>
      </c>
      <c r="F17" s="125" t="n">
        <v>128892.76</v>
      </c>
      <c r="G17" s="125" t="n">
        <v>423398.059999998</v>
      </c>
      <c r="H17" s="126" t="n">
        <f aca="false">G17/F17-1</f>
        <v>2.28488628841525</v>
      </c>
      <c r="I17" s="127" t="n">
        <f aca="false">G17-F17</f>
        <v>294505.299999998</v>
      </c>
      <c r="J17" s="128" t="n">
        <f aca="false">VLOOKUP(B17,'תקציב  '!$B:$S,9,0)*1</f>
        <v>888273.728813559</v>
      </c>
      <c r="K17" s="126" t="n">
        <f aca="false">G17/J17-1</f>
        <v>-0.523347312584018</v>
      </c>
      <c r="L17" s="129" t="n">
        <f aca="false">G17-J17</f>
        <v>-464875.668813561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5374.81</v>
      </c>
      <c r="F18" s="125" t="n">
        <v>4432.93</v>
      </c>
      <c r="G18" s="125" t="n">
        <v>1069.29</v>
      </c>
      <c r="H18" s="126" t="n">
        <f aca="false">G18/F18-1</f>
        <v>-0.758784821777019</v>
      </c>
      <c r="I18" s="127" t="n">
        <f aca="false">G18-F18</f>
        <v>-3363.64</v>
      </c>
      <c r="J18" s="128" t="n">
        <f aca="false">VLOOKUP(B18,'תקציב  '!$B:$S,9,0)*1</f>
        <v>2536.92833333333</v>
      </c>
      <c r="K18" s="126" t="n">
        <f aca="false">G18/J18-1</f>
        <v>-0.578509969733739</v>
      </c>
      <c r="L18" s="129" t="n">
        <f aca="false">G18-J18</f>
        <v>-1467.63833333333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1372823.798</v>
      </c>
      <c r="F19" s="133" t="n">
        <f aca="false">F16+F17+F18</f>
        <v>1355529.91000001</v>
      </c>
      <c r="G19" s="133" t="n">
        <f aca="false">G16+G17+G18</f>
        <v>1799433.755</v>
      </c>
      <c r="H19" s="134" t="n">
        <f aca="false">G19/F19-1</f>
        <v>0.327476245064922</v>
      </c>
      <c r="I19" s="133" t="n">
        <f aca="false">I16+I17+I18</f>
        <v>443903.844999993</v>
      </c>
      <c r="J19" s="133" t="n">
        <f aca="false">J16+J17+J18</f>
        <v>2723199.54603578</v>
      </c>
      <c r="K19" s="134" t="n">
        <f aca="false">G19/J19-1</f>
        <v>-0.339220749496866</v>
      </c>
      <c r="L19" s="133" t="n">
        <f aca="false">L16+L17+L18</f>
        <v>-923765.791035784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371311.12</v>
      </c>
      <c r="F20" s="125" t="n">
        <v>68328.76</v>
      </c>
      <c r="G20" s="125" t="n">
        <v>229029.21</v>
      </c>
      <c r="H20" s="126" t="n">
        <f aca="false">G20/F20-1</f>
        <v>2.35187130572836</v>
      </c>
      <c r="I20" s="127" t="n">
        <f aca="false">G20-F20</f>
        <v>160700.45</v>
      </c>
      <c r="J20" s="128" t="n">
        <f aca="false">VLOOKUP(B20,'תקציב  '!$B:$S,9,0)*1</f>
        <v>428463.7533</v>
      </c>
      <c r="K20" s="126" t="n">
        <f aca="false">G20/J20-1</f>
        <v>-0.46546421199919</v>
      </c>
      <c r="L20" s="129" t="n">
        <f aca="false">G20-J20</f>
        <v>-199434.5433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'!$B:$S,9,0)*1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14810.7</v>
      </c>
      <c r="F22" s="125" t="n">
        <v>0</v>
      </c>
      <c r="G22" s="145" t="n">
        <v>55255.27</v>
      </c>
      <c r="H22" s="126" t="str">
        <f aca="false">IFERROR(G22/F22-1,"-")</f>
        <v>-</v>
      </c>
      <c r="I22" s="127" t="n">
        <f aca="false">G22-F22</f>
        <v>55255.27</v>
      </c>
      <c r="J22" s="128" t="n">
        <f aca="false">VLOOKUP(B22,'תקציב  '!$B:$S,9,0)*1</f>
        <v>35000</v>
      </c>
      <c r="K22" s="126" t="n">
        <f aca="false">G22/J22-1</f>
        <v>0.578722</v>
      </c>
      <c r="L22" s="129" t="n">
        <f aca="false">G22-J22</f>
        <v>20255.27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83128.56</v>
      </c>
      <c r="F23" s="125" t="n">
        <v>0</v>
      </c>
      <c r="G23" s="147" t="n">
        <v>147489.2</v>
      </c>
      <c r="H23" s="126" t="str">
        <f aca="false">IFERROR(G23/F23-1,"-")</f>
        <v>-</v>
      </c>
      <c r="I23" s="127" t="n">
        <f aca="false">G23-F23</f>
        <v>147489.2</v>
      </c>
      <c r="J23" s="128" t="n">
        <f aca="false">VLOOKUP(B23,'תקציב  '!$B:$S,9,0)*1</f>
        <v>0</v>
      </c>
      <c r="K23" s="126" t="str">
        <f aca="false">IFERROR(G23/J23-1,"-")</f>
        <v>-</v>
      </c>
      <c r="L23" s="129" t="n">
        <f aca="false">G23-J23</f>
        <v>147489.2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14559.92</v>
      </c>
      <c r="F24" s="125" t="n">
        <v>0</v>
      </c>
      <c r="G24" s="145" t="n">
        <v>15795</v>
      </c>
      <c r="H24" s="126"/>
      <c r="I24" s="127" t="n">
        <f aca="false">G24-F24</f>
        <v>15795</v>
      </c>
      <c r="J24" s="128" t="n">
        <f aca="false">VLOOKUP(B24,'תקציב  '!$B:$S,9,0)*1</f>
        <v>10000</v>
      </c>
      <c r="K24" s="126" t="n">
        <f aca="false">G24/J24-1</f>
        <v>0.5795</v>
      </c>
      <c r="L24" s="129" t="n">
        <f aca="false">G24-J24</f>
        <v>5795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65362.29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'!$B:$S,9,0)*1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0.33</v>
      </c>
      <c r="G26" s="125"/>
      <c r="H26" s="126" t="n">
        <f aca="false">G26/F26-1</f>
        <v>-1</v>
      </c>
      <c r="I26" s="127" t="n">
        <f aca="false">G26-F26</f>
        <v>-0.33</v>
      </c>
      <c r="J26" s="128" t="n">
        <f aca="false">VLOOKUP(B26,'תקציב  '!$B:$S,9,0)*1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37671.79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'!$B:$S,9,0)*1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'!$B:$S,9,0)*1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37331.12</v>
      </c>
      <c r="F29" s="125" t="n">
        <v>53.7</v>
      </c>
      <c r="G29" s="145" t="n">
        <v>57084.96</v>
      </c>
      <c r="H29" s="126" t="n">
        <f aca="false">G29/F29-1</f>
        <v>1062.03463687151</v>
      </c>
      <c r="I29" s="127" t="n">
        <f aca="false">G29-F29</f>
        <v>57031.26</v>
      </c>
      <c r="J29" s="128" t="n">
        <f aca="false">VLOOKUP(B29,'תקציב  '!$B:$S,9,0)*1</f>
        <v>39765.076</v>
      </c>
      <c r="K29" s="126" t="n">
        <f aca="false">G29/J29-1</f>
        <v>0.435555159004349</v>
      </c>
      <c r="L29" s="129" t="n">
        <f aca="false">G29-J29</f>
        <v>17319.884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'!$B:$S,9,0)*1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'!$B:$S,9,0)*1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'!$B:$S,9,0)*1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'!$B:$S,9,0)*1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'!$B:$S,9,0)*1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22310.96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'!$B:$S,9,0)*1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'!$B:$S,9,0)*1</f>
        <v>200000</v>
      </c>
      <c r="K39" s="126" t="n">
        <f aca="false">G39/J39-1</f>
        <v>-1</v>
      </c>
      <c r="L39" s="129" t="n">
        <f aca="false">G39-J39</f>
        <v>-200000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646486.46</v>
      </c>
      <c r="F40" s="136" t="n">
        <f aca="false">SUM(F20:F39)+F51+F52</f>
        <v>68382.79</v>
      </c>
      <c r="G40" s="136" t="n">
        <f aca="false">SUM(G20:G39)+G51+G52</f>
        <v>504653.64</v>
      </c>
      <c r="H40" s="137" t="n">
        <f aca="false">G40/F40-1</f>
        <v>6.37983401964149</v>
      </c>
      <c r="I40" s="136" t="n">
        <f aca="false">SUM(I20:I39)+I51+I52</f>
        <v>436270.85</v>
      </c>
      <c r="J40" s="136" t="n">
        <f aca="false">SUM(J20:J39)+J51+J52</f>
        <v>758228.8293</v>
      </c>
      <c r="K40" s="137" t="n">
        <f aca="false">G40/J40-1</f>
        <v>-0.334430952109934</v>
      </c>
      <c r="L40" s="136" t="n">
        <f aca="false">SUM(L20:L39)+L51+L52</f>
        <v>-253575.1893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2019310.258</v>
      </c>
      <c r="F41" s="139" t="n">
        <f aca="false">F40+F19</f>
        <v>1423912.70000001</v>
      </c>
      <c r="G41" s="139" t="n">
        <f aca="false">G40+G19</f>
        <v>2304087.395</v>
      </c>
      <c r="H41" s="140" t="n">
        <f aca="false">G41/F41-1</f>
        <v>0.618138102848574</v>
      </c>
      <c r="I41" s="139" t="n">
        <f aca="false">I40+I19</f>
        <v>880174.694999993</v>
      </c>
      <c r="J41" s="139" t="n">
        <f aca="false">J40+J19</f>
        <v>3481428.37533578</v>
      </c>
      <c r="K41" s="140" t="n">
        <f aca="false">G41/J41-1</f>
        <v>-0.338177567769789</v>
      </c>
      <c r="L41" s="139" t="n">
        <f aca="false">L40+L19</f>
        <v>-1177340.98033578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0.320152119981951</v>
      </c>
      <c r="F42" s="142" t="n">
        <f aca="false">F40/F41</f>
        <v>0.048024566393712</v>
      </c>
      <c r="G42" s="142" t="n">
        <f aca="false">G40/G41</f>
        <v>0.219025389876759</v>
      </c>
      <c r="H42" s="143"/>
      <c r="I42" s="5"/>
      <c r="J42" s="76" t="n">
        <f aca="false">J41-'תקציב  '!J41*1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H3" activePane="bottomRight" state="frozen"/>
      <selection pane="topLeft" activeCell="A1" activeCellId="0" sqref="A1"/>
      <selection pane="topRight" activeCell="H1" activeCellId="0" sqref="H1"/>
      <selection pane="bottomLeft" activeCell="A3" activeCellId="0" sqref="A3"/>
      <selection pane="bottomRight" activeCell="K46" activeCellId="0" sqref="K46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" width="33"/>
    <col collapsed="false" customWidth="true" hidden="false" outlineLevel="0" max="4" min="4" style="90" width="26"/>
    <col collapsed="false" customWidth="true" hidden="true" outlineLevel="0" max="5" min="5" style="90" width="12.5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5"/>
    <col collapsed="false" customWidth="true" hidden="false" outlineLevel="0" max="10" min="10" style="118" width="10"/>
    <col collapsed="false" customWidth="true" hidden="false" outlineLevel="0" max="11" min="11" style="1" width="14.12"/>
    <col collapsed="false" customWidth="true" hidden="false" outlineLevel="0" max="12" min="12" style="1" width="2.5"/>
    <col collapsed="false" customWidth="true" hidden="false" outlineLevel="0" max="13" min="13" style="1" width="9.87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3.62"/>
    <col collapsed="false" customWidth="true" hidden="false" outlineLevel="0" max="17" min="17" style="1" width="2.5"/>
    <col collapsed="false" customWidth="true" hidden="false" outlineLevel="0" max="18" min="18" style="1" width="9.87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true" outlineLevel="0" max="22" min="22" style="1" width="20.38"/>
    <col collapsed="false" customWidth="true" hidden="false" outlineLevel="0" max="24" min="24" style="1" width="9.87"/>
    <col collapsed="false" customWidth="true" hidden="false" outlineLevel="0" max="25" min="25" style="1" width="10"/>
    <col collapsed="false" customWidth="true" hidden="false" outlineLevel="0" max="26" min="26" style="148" width="9"/>
  </cols>
  <sheetData>
    <row r="1" customFormat="false" ht="15.75" hidden="false" customHeight="true" outlineLevel="0" collapsed="false">
      <c r="B1" s="7"/>
      <c r="C1" s="7" t="s">
        <v>173</v>
      </c>
      <c r="D1" s="149" t="s">
        <v>173</v>
      </c>
      <c r="E1" s="150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X1" s="7"/>
    </row>
    <row r="2" s="157" customFormat="true" ht="15" hidden="false" customHeight="true" outlineLevel="0" collapsed="false">
      <c r="A2" s="151" t="s">
        <v>2</v>
      </c>
      <c r="B2" s="152"/>
      <c r="C2" s="152"/>
      <c r="D2" s="38"/>
      <c r="E2" s="153" t="s">
        <v>3</v>
      </c>
      <c r="F2" s="154" t="n">
        <v>7.2024</v>
      </c>
      <c r="G2" s="154" t="n">
        <v>7.2025</v>
      </c>
      <c r="H2" s="154" t="n">
        <v>7.2026</v>
      </c>
      <c r="I2" s="155" t="s">
        <v>174</v>
      </c>
      <c r="J2" s="155" t="s">
        <v>108</v>
      </c>
      <c r="K2" s="156" t="s">
        <v>129</v>
      </c>
      <c r="M2" s="158" t="s">
        <v>130</v>
      </c>
      <c r="N2" s="155" t="s">
        <v>111</v>
      </c>
      <c r="O2" s="155" t="s">
        <v>175</v>
      </c>
      <c r="P2" s="158" t="s">
        <v>176</v>
      </c>
      <c r="R2" s="156" t="s">
        <v>1</v>
      </c>
      <c r="S2" s="155" t="s">
        <v>177</v>
      </c>
      <c r="T2" s="155" t="s">
        <v>175</v>
      </c>
      <c r="U2" s="158" t="s">
        <v>178</v>
      </c>
      <c r="X2" s="154" t="n">
        <v>7.2026</v>
      </c>
      <c r="Z2" s="148"/>
    </row>
    <row r="3" customFormat="false" ht="14.25" hidden="false" customHeight="true" outlineLevel="1" collapsed="false">
      <c r="A3" s="159" t="n">
        <v>5</v>
      </c>
      <c r="B3" s="160" t="s">
        <v>131</v>
      </c>
      <c r="C3" s="160" t="s">
        <v>31</v>
      </c>
      <c r="D3" s="161" t="s">
        <v>31</v>
      </c>
      <c r="E3" s="39" t="s">
        <v>32</v>
      </c>
      <c r="F3" s="145" t="n">
        <v>214594.9</v>
      </c>
      <c r="G3" s="145" t="n">
        <v>83088</v>
      </c>
      <c r="H3" s="145" t="n">
        <v>73969</v>
      </c>
      <c r="I3" s="162" t="n">
        <f aca="false">H3/$H$19</f>
        <v>0.0440460206667319</v>
      </c>
      <c r="J3" s="162" t="n">
        <f aca="false">IFERROR(H3/G3-1,"-")</f>
        <v>-0.109751107259773</v>
      </c>
      <c r="K3" s="145" t="n">
        <f aca="false">H3-G3</f>
        <v>-9119</v>
      </c>
      <c r="M3" s="147" t="n">
        <f aca="false">VLOOKUP(C3,'תקציב  '!$B:$S,10,0)*1</f>
        <v>235079.365079365</v>
      </c>
      <c r="N3" s="162" t="n">
        <f aca="false">IFERROR(H3/M3-1,"-")</f>
        <v>-0.685344564483457</v>
      </c>
      <c r="O3" s="162" t="n">
        <f aca="false">IFERROR(H3/M3,"-")</f>
        <v>0.314655435516543</v>
      </c>
      <c r="P3" s="147" t="n">
        <f aca="false">H3-M3</f>
        <v>-161110.365079365</v>
      </c>
      <c r="R3" s="147" t="n">
        <v>200000</v>
      </c>
      <c r="S3" s="162" t="n">
        <f aca="false">IFERROR(H3/R3-1,"-")</f>
        <v>-0.630155</v>
      </c>
      <c r="T3" s="162" t="n">
        <f aca="false">IFERROR(H3/R3,"-")</f>
        <v>0.369845</v>
      </c>
      <c r="U3" s="147" t="n">
        <f aca="false">H3-R3</f>
        <v>-126031</v>
      </c>
      <c r="X3" s="145" t="n">
        <v>73969</v>
      </c>
      <c r="Y3" s="5" t="n">
        <f aca="false">H3-X3</f>
        <v>0</v>
      </c>
      <c r="Z3" s="163" t="n">
        <f aca="false">IFERROR((H3/X3)-1,"-")</f>
        <v>0</v>
      </c>
    </row>
    <row r="4" customFormat="false" ht="14.25" hidden="false" customHeight="true" outlineLevel="1" collapsed="false">
      <c r="A4" s="164" t="n">
        <v>1</v>
      </c>
      <c r="B4" s="38" t="s">
        <v>33</v>
      </c>
      <c r="C4" s="38" t="s">
        <v>33</v>
      </c>
      <c r="D4" s="161" t="s">
        <v>33</v>
      </c>
      <c r="E4" s="39" t="s">
        <v>32</v>
      </c>
      <c r="F4" s="145" t="n">
        <v>502006.141</v>
      </c>
      <c r="G4" s="145" t="n">
        <v>486312.520000005</v>
      </c>
      <c r="H4" s="145" t="n">
        <v>453851.216</v>
      </c>
      <c r="I4" s="162" t="n">
        <f aca="false">H4/$H$19</f>
        <v>0.270252944335565</v>
      </c>
      <c r="J4" s="162" t="n">
        <f aca="false">IFERROR(H4/G4-1,"-")</f>
        <v>-0.0667498833877538</v>
      </c>
      <c r="K4" s="145" t="n">
        <f aca="false">H4-G4</f>
        <v>-32461.304000005</v>
      </c>
      <c r="M4" s="147" t="n">
        <f aca="false">VLOOKUP(C4,'תקציב  '!$B:$S,10,0)*1</f>
        <v>605698.412698413</v>
      </c>
      <c r="N4" s="162" t="n">
        <f aca="false">IFERROR(H4/M4-1,"-")</f>
        <v>-0.250697696270867</v>
      </c>
      <c r="O4" s="162" t="n">
        <f aca="false">IFERROR(H4/M4,"-")</f>
        <v>0.749302303729133</v>
      </c>
      <c r="P4" s="147" t="n">
        <f aca="false">H4-M4</f>
        <v>-151847.196698413</v>
      </c>
      <c r="R4" s="147" t="n">
        <v>550000</v>
      </c>
      <c r="S4" s="162" t="n">
        <f aca="false">IFERROR(H4/R4-1,"-")</f>
        <v>-0.174815970909091</v>
      </c>
      <c r="T4" s="162" t="n">
        <f aca="false">IFERROR(H4/R4,"-")</f>
        <v>0.825184029090909</v>
      </c>
      <c r="U4" s="147" t="n">
        <f aca="false">H4-R4</f>
        <v>-96148.784</v>
      </c>
      <c r="X4" s="145" t="n">
        <v>443876.464</v>
      </c>
      <c r="Y4" s="5" t="n">
        <f aca="false">H4-X4</f>
        <v>9974.75200000004</v>
      </c>
      <c r="Z4" s="163" t="n">
        <f aca="false">IFERROR((H4/X4)-1,"-")</f>
        <v>0.0224719101123596</v>
      </c>
    </row>
    <row r="5" customFormat="false" ht="14.25" hidden="false" customHeight="true" outlineLevel="1" collapsed="false">
      <c r="A5" s="164" t="n">
        <v>7</v>
      </c>
      <c r="B5" s="38" t="s">
        <v>34</v>
      </c>
      <c r="C5" s="38" t="s">
        <v>34</v>
      </c>
      <c r="D5" s="161" t="s">
        <v>34</v>
      </c>
      <c r="E5" s="39" t="s">
        <v>32</v>
      </c>
      <c r="F5" s="145" t="n">
        <v>95719.442</v>
      </c>
      <c r="G5" s="145" t="n">
        <v>59921.68</v>
      </c>
      <c r="H5" s="145" t="n">
        <v>72470.216</v>
      </c>
      <c r="I5" s="162" t="n">
        <f aca="false">H5/$H$19</f>
        <v>0.043153545832153</v>
      </c>
      <c r="J5" s="162" t="n">
        <f aca="false">IFERROR(H5/G5-1,"-")</f>
        <v>0.209415623861013</v>
      </c>
      <c r="K5" s="145" t="n">
        <f aca="false">H5-G5</f>
        <v>12548.536</v>
      </c>
      <c r="M5" s="147" t="n">
        <f aca="false">VLOOKUP(C5,'תקציב  '!$B:$S,10,0)*1</f>
        <v>78571.4285714286</v>
      </c>
      <c r="N5" s="162" t="n">
        <f aca="false">IFERROR(H5/M5-1,"-")</f>
        <v>-0.0776517963636366</v>
      </c>
      <c r="O5" s="162" t="n">
        <f aca="false">IFERROR(H5/M5,"-")</f>
        <v>0.922348203636363</v>
      </c>
      <c r="P5" s="147" t="n">
        <f aca="false">H5-M5</f>
        <v>-6101.21257142859</v>
      </c>
      <c r="R5" s="147" t="n">
        <v>100000</v>
      </c>
      <c r="S5" s="162" t="n">
        <f aca="false">IFERROR(H5/R5-1,"-")</f>
        <v>-0.27529784</v>
      </c>
      <c r="T5" s="162" t="n">
        <f aca="false">IFERROR(H5/R5,"-")</f>
        <v>0.72470216</v>
      </c>
      <c r="U5" s="147" t="n">
        <f aca="false">H5-R5</f>
        <v>-27529.784</v>
      </c>
      <c r="X5" s="145" t="n">
        <v>70877.464</v>
      </c>
      <c r="Y5" s="5" t="n">
        <f aca="false">H5-X5</f>
        <v>1592.75199999999</v>
      </c>
      <c r="Z5" s="163" t="n">
        <f aca="false">IFERROR((H5/X5)-1,"-")</f>
        <v>0.0224719101123594</v>
      </c>
    </row>
    <row r="6" customFormat="false" ht="14.25" hidden="false" customHeight="true" outlineLevel="1" collapsed="false">
      <c r="A6" s="164" t="n">
        <v>4</v>
      </c>
      <c r="B6" s="38" t="s">
        <v>35</v>
      </c>
      <c r="C6" s="38" t="s">
        <v>35</v>
      </c>
      <c r="D6" s="161" t="s">
        <v>35</v>
      </c>
      <c r="E6" s="39" t="s">
        <v>32</v>
      </c>
      <c r="F6" s="145" t="n">
        <v>157377.696</v>
      </c>
      <c r="G6" s="145" t="n">
        <v>221525.16</v>
      </c>
      <c r="H6" s="145" t="n">
        <v>152144.318</v>
      </c>
      <c r="I6" s="162" t="n">
        <f aca="false">H6/$H$19</f>
        <v>0.0905967604665986</v>
      </c>
      <c r="J6" s="162" t="n">
        <f aca="false">IFERROR(H6/G6-1,"-")</f>
        <v>-0.313196216628396</v>
      </c>
      <c r="K6" s="145" t="n">
        <f aca="false">H6-G6</f>
        <v>-69380.842</v>
      </c>
      <c r="M6" s="147" t="n">
        <f aca="false">VLOOKUP(B6,'תקציב  '!$B:$S,10,0)*1</f>
        <v>170873.015873016</v>
      </c>
      <c r="N6" s="162" t="n">
        <f aca="false">IFERROR(H6/M6-1,"-")</f>
        <v>-0.109605942034371</v>
      </c>
      <c r="O6" s="162" t="n">
        <f aca="false">IFERROR(H6/M6,"-")</f>
        <v>0.890394057965629</v>
      </c>
      <c r="P6" s="147" t="n">
        <f aca="false">H6-M6</f>
        <v>-18728.697873016</v>
      </c>
      <c r="R6" s="147" t="n">
        <v>200000</v>
      </c>
      <c r="S6" s="162" t="n">
        <f aca="false">IFERROR(H6/R6-1,"-")</f>
        <v>-0.23927841</v>
      </c>
      <c r="T6" s="162" t="n">
        <f aca="false">IFERROR(H6/R6,"-")</f>
        <v>0.76072159</v>
      </c>
      <c r="U6" s="147" t="n">
        <f aca="false">H6-R6</f>
        <v>-47855.682</v>
      </c>
      <c r="X6" s="145" t="n">
        <v>149138.682</v>
      </c>
      <c r="Y6" s="5" t="n">
        <f aca="false">H6-X6</f>
        <v>3005.636</v>
      </c>
      <c r="Z6" s="163" t="n">
        <f aca="false">IFERROR((H6/X6)-1,"-")</f>
        <v>0.0201532959772301</v>
      </c>
    </row>
    <row r="7" customFormat="false" ht="14.25" hidden="false" customHeight="true" outlineLevel="1" collapsed="false">
      <c r="A7" s="164" t="n">
        <v>3</v>
      </c>
      <c r="B7" s="38" t="s">
        <v>132</v>
      </c>
      <c r="C7" s="38" t="s">
        <v>36</v>
      </c>
      <c r="D7" s="161" t="s">
        <v>36</v>
      </c>
      <c r="E7" s="39" t="s">
        <v>32</v>
      </c>
      <c r="F7" s="145" t="n">
        <v>326042</v>
      </c>
      <c r="G7" s="145" t="n">
        <v>329541.7</v>
      </c>
      <c r="H7" s="145" t="n">
        <v>392888.3</v>
      </c>
      <c r="I7" s="162" t="n">
        <f aca="false">H7/$H$19</f>
        <v>0.233951603800473</v>
      </c>
      <c r="J7" s="162" t="n">
        <f aca="false">IFERROR(H7/G7-1,"-")</f>
        <v>0.192226355571996</v>
      </c>
      <c r="K7" s="145" t="n">
        <f aca="false">H7-G7</f>
        <v>63346.6</v>
      </c>
      <c r="M7" s="147" t="n">
        <f aca="false">VLOOKUP(C7,'תקציב  '!$B:$S,10,0)*1</f>
        <v>365000</v>
      </c>
      <c r="N7" s="162" t="n">
        <f aca="false">IFERROR(H7/M7-1,"-")</f>
        <v>0.076406301369863</v>
      </c>
      <c r="O7" s="162" t="n">
        <f aca="false">IFERROR(H7/M7,"-")</f>
        <v>1.07640630136986</v>
      </c>
      <c r="P7" s="147" t="n">
        <f aca="false">H7-M7</f>
        <v>27888.3</v>
      </c>
      <c r="R7" s="147" t="n">
        <v>330000</v>
      </c>
      <c r="S7" s="162" t="n">
        <f aca="false">IFERROR(H7/R7-1,"-")</f>
        <v>0.190570606060606</v>
      </c>
      <c r="T7" s="162" t="n">
        <f aca="false">IFERROR(H7/R7,"-")</f>
        <v>1.19057060606061</v>
      </c>
      <c r="U7" s="147" t="n">
        <f aca="false">H7-R7</f>
        <v>62888.3</v>
      </c>
      <c r="X7" s="145" t="n">
        <v>392888.3</v>
      </c>
      <c r="Y7" s="5" t="n">
        <f aca="false">H7-X7</f>
        <v>0</v>
      </c>
      <c r="Z7" s="163" t="n">
        <f aca="false">IFERROR((H7/X7)-1,"-")</f>
        <v>0</v>
      </c>
    </row>
    <row r="8" customFormat="false" ht="14.25" hidden="false" customHeight="true" outlineLevel="1" collapsed="false">
      <c r="A8" s="164" t="n">
        <v>8</v>
      </c>
      <c r="B8" s="38" t="s">
        <v>133</v>
      </c>
      <c r="C8" s="38" t="s">
        <v>37</v>
      </c>
      <c r="D8" s="161" t="s">
        <v>37</v>
      </c>
      <c r="E8" s="39" t="s">
        <v>32</v>
      </c>
      <c r="F8" s="145" t="n">
        <v>79041.44</v>
      </c>
      <c r="G8" s="145" t="n">
        <v>95914.88</v>
      </c>
      <c r="H8" s="145" t="n">
        <v>49165.266</v>
      </c>
      <c r="I8" s="162" t="n">
        <f aca="false">H8/$H$19</f>
        <v>0.0292762417001902</v>
      </c>
      <c r="J8" s="162" t="n">
        <f aca="false">IFERROR(H8/G8-1,"-")</f>
        <v>-0.487407313651438</v>
      </c>
      <c r="K8" s="145" t="n">
        <f aca="false">H8-G8</f>
        <v>-46749.614</v>
      </c>
      <c r="M8" s="147" t="n">
        <f aca="false">VLOOKUP(C8,'תקציב  '!$B:$S,10,0)*1</f>
        <v>107301.587301587</v>
      </c>
      <c r="N8" s="162" t="n">
        <f aca="false">IFERROR(H8/M8-1,"-")</f>
        <v>-0.541802994378697</v>
      </c>
      <c r="O8" s="162" t="n">
        <f aca="false">IFERROR(H8/M8,"-")</f>
        <v>0.458197005621303</v>
      </c>
      <c r="P8" s="147" t="n">
        <f aca="false">H8-M8</f>
        <v>-58136.321301587</v>
      </c>
      <c r="R8" s="147" t="n">
        <v>100000</v>
      </c>
      <c r="S8" s="162" t="n">
        <f aca="false">IFERROR(H8/R8-1,"-")</f>
        <v>-0.50834734</v>
      </c>
      <c r="T8" s="162" t="n">
        <f aca="false">IFERROR(H8/R8,"-")</f>
        <v>0.49165266</v>
      </c>
      <c r="U8" s="147" t="n">
        <f aca="false">H8-R8</f>
        <v>-50834.734</v>
      </c>
      <c r="X8" s="145" t="n">
        <v>47990.774</v>
      </c>
      <c r="Y8" s="5" t="n">
        <f aca="false">H8-X8</f>
        <v>1174.49200000001</v>
      </c>
      <c r="Z8" s="163" t="n">
        <f aca="false">IFERROR((H8/X8)-1,"-")</f>
        <v>0.0244732873030971</v>
      </c>
    </row>
    <row r="9" customFormat="false" ht="14.25" hidden="false" customHeight="true" outlineLevel="1" collapsed="false">
      <c r="A9" s="164" t="n">
        <v>6</v>
      </c>
      <c r="B9" s="38" t="s">
        <v>134</v>
      </c>
      <c r="C9" s="38" t="s">
        <v>38</v>
      </c>
      <c r="D9" s="161" t="s">
        <v>38</v>
      </c>
      <c r="E9" s="39" t="s">
        <v>32</v>
      </c>
      <c r="F9" s="145" t="n">
        <v>76209.32</v>
      </c>
      <c r="G9" s="145" t="n">
        <v>81305.01</v>
      </c>
      <c r="H9" s="145" t="n">
        <v>65635.87</v>
      </c>
      <c r="I9" s="162" t="n">
        <f aca="false">H9/$H$19</f>
        <v>0.0390839255160801</v>
      </c>
      <c r="J9" s="162" t="n">
        <f aca="false">IFERROR(H9/G9-1,"-")</f>
        <v>-0.192720473191013</v>
      </c>
      <c r="K9" s="145" t="n">
        <f aca="false">H9-G9</f>
        <v>-15669.14</v>
      </c>
      <c r="M9" s="147" t="n">
        <f aca="false">VLOOKUP(C9,'תקציב  '!$B:$S,10,0)*1</f>
        <v>177087.301587302</v>
      </c>
      <c r="N9" s="162" t="n">
        <f aca="false">IFERROR(H9/M9-1,"-")</f>
        <v>-0.629358686864161</v>
      </c>
      <c r="O9" s="162" t="n">
        <f aca="false">IFERROR(H9/M9,"-")</f>
        <v>0.370641313135839</v>
      </c>
      <c r="P9" s="147" t="n">
        <f aca="false">H9-M9</f>
        <v>-111451.431587302</v>
      </c>
      <c r="R9" s="147" t="n">
        <v>100000</v>
      </c>
      <c r="S9" s="162" t="n">
        <f aca="false">IFERROR(H9/R9-1,"-")</f>
        <v>-0.3436413</v>
      </c>
      <c r="T9" s="162" t="n">
        <f aca="false">IFERROR(H9/R9,"-")</f>
        <v>0.6563587</v>
      </c>
      <c r="U9" s="147" t="n">
        <f aca="false">H9-R9</f>
        <v>-34364.13</v>
      </c>
      <c r="X9" s="145" t="n">
        <v>65635.87</v>
      </c>
      <c r="Y9" s="5" t="n">
        <f aca="false">H9-X9</f>
        <v>0</v>
      </c>
      <c r="Z9" s="163" t="n">
        <f aca="false">IFERROR((H9/X9)-1,"-")</f>
        <v>0</v>
      </c>
    </row>
    <row r="10" customFormat="false" ht="14.25" hidden="false" customHeight="true" outlineLevel="1" collapsed="false">
      <c r="A10" s="165" t="n">
        <v>10</v>
      </c>
      <c r="B10" s="166" t="s">
        <v>135</v>
      </c>
      <c r="C10" s="166" t="s">
        <v>39</v>
      </c>
      <c r="D10" s="167" t="s">
        <v>39</v>
      </c>
      <c r="E10" s="39" t="s">
        <v>32</v>
      </c>
      <c r="F10" s="145" t="n">
        <v>27532.1</v>
      </c>
      <c r="G10" s="145" t="n">
        <v>10971.32</v>
      </c>
      <c r="H10" s="145" t="n">
        <v>5105.8</v>
      </c>
      <c r="I10" s="162" t="n">
        <f aca="false">H10/$H$19</f>
        <v>0.0030403300344766</v>
      </c>
      <c r="J10" s="162" t="n">
        <f aca="false">IFERROR(H10/G10-1,"-")</f>
        <v>-0.534622998873426</v>
      </c>
      <c r="K10" s="145" t="n">
        <f aca="false">H10-G10</f>
        <v>-5865.52</v>
      </c>
      <c r="M10" s="147" t="n">
        <f aca="false">VLOOKUP(C10,'תקציב  '!$B:$S,10,0)*1</f>
        <v>16587.3015873016</v>
      </c>
      <c r="N10" s="162" t="n">
        <f aca="false">IFERROR(H10/M10-1,"-")</f>
        <v>-0.692186220095694</v>
      </c>
      <c r="O10" s="162" t="n">
        <f aca="false">IFERROR(H10/M10,"-")</f>
        <v>0.307813779904306</v>
      </c>
      <c r="P10" s="147" t="n">
        <f aca="false">H10-M10</f>
        <v>-11481.5015873016</v>
      </c>
      <c r="R10" s="147" t="n">
        <v>15000</v>
      </c>
      <c r="S10" s="162" t="n">
        <f aca="false">IFERROR(H10/R10-1,"-")</f>
        <v>-0.659613333333333</v>
      </c>
      <c r="T10" s="162" t="n">
        <f aca="false">IFERROR(H10/R10,"-")</f>
        <v>0.340386666666667</v>
      </c>
      <c r="U10" s="147" t="n">
        <f aca="false">H10-R10</f>
        <v>-9894.2</v>
      </c>
      <c r="X10" s="145" t="n">
        <v>5105.8</v>
      </c>
      <c r="Y10" s="5" t="n">
        <f aca="false">H10-X10</f>
        <v>0</v>
      </c>
      <c r="Z10" s="163" t="n">
        <f aca="false">IFERROR((H10/X10)-1,"-")</f>
        <v>0</v>
      </c>
    </row>
    <row r="11" customFormat="false" ht="14.25" hidden="false" customHeight="true" outlineLevel="1" collapsed="false">
      <c r="A11" s="164" t="n">
        <v>11</v>
      </c>
      <c r="B11" s="38" t="s">
        <v>136</v>
      </c>
      <c r="C11" s="38" t="s">
        <v>40</v>
      </c>
      <c r="D11" s="161" t="s">
        <v>40</v>
      </c>
      <c r="E11" s="39" t="s">
        <v>32</v>
      </c>
      <c r="F11" s="145" t="n">
        <v>8417.71</v>
      </c>
      <c r="G11" s="145" t="n">
        <v>4990.47</v>
      </c>
      <c r="H11" s="145" t="n">
        <v>3863.17</v>
      </c>
      <c r="I11" s="162" t="n">
        <f aca="false">H11/$H$19</f>
        <v>0.00230038618420012</v>
      </c>
      <c r="J11" s="162" t="n">
        <f aca="false">IFERROR(H11/G11-1,"-")</f>
        <v>-0.225890547383313</v>
      </c>
      <c r="K11" s="145" t="n">
        <f aca="false">H11-G11</f>
        <v>-1127.3</v>
      </c>
      <c r="M11" s="147" t="n">
        <f aca="false">VLOOKUP(C11,'תקציב  '!$B:$S,10,0)*1</f>
        <v>8730.15873015873</v>
      </c>
      <c r="N11" s="162" t="n">
        <f aca="false">IFERROR(H11/M11-1,"-")</f>
        <v>-0.557491436363636</v>
      </c>
      <c r="O11" s="162" t="n">
        <f aca="false">IFERROR(H11/M11,"-")</f>
        <v>0.442508563636364</v>
      </c>
      <c r="P11" s="147" t="n">
        <f aca="false">H11-M11</f>
        <v>-4866.98873015873</v>
      </c>
      <c r="R11" s="147" t="n">
        <v>10000</v>
      </c>
      <c r="S11" s="162" t="n">
        <f aca="false">IFERROR(H11/R11-1,"-")</f>
        <v>-0.613683</v>
      </c>
      <c r="T11" s="162" t="n">
        <f aca="false">IFERROR(H11/R11,"-")</f>
        <v>0.386317</v>
      </c>
      <c r="U11" s="147" t="n">
        <f aca="false">H11-R11</f>
        <v>-6136.83</v>
      </c>
      <c r="X11" s="145" t="n">
        <v>3863.17</v>
      </c>
      <c r="Y11" s="5" t="n">
        <f aca="false">H11-X11</f>
        <v>0</v>
      </c>
      <c r="Z11" s="163" t="n">
        <f aca="false">IFERROR((H11/X11)-1,"-")</f>
        <v>0</v>
      </c>
    </row>
    <row r="12" customFormat="false" ht="14.25" hidden="false" customHeight="true" outlineLevel="1" collapsed="false">
      <c r="A12" s="164" t="n">
        <v>14</v>
      </c>
      <c r="B12" s="38" t="s">
        <v>137</v>
      </c>
      <c r="C12" s="38" t="s">
        <v>41</v>
      </c>
      <c r="D12" s="161" t="s">
        <v>41</v>
      </c>
      <c r="E12" s="39" t="s">
        <v>32</v>
      </c>
      <c r="F12" s="145" t="n">
        <v>679.3</v>
      </c>
      <c r="G12" s="145" t="n">
        <v>0</v>
      </c>
      <c r="H12" s="145" t="n">
        <v>0</v>
      </c>
      <c r="I12" s="162" t="n">
        <f aca="false">H12/$H$19</f>
        <v>0</v>
      </c>
      <c r="J12" s="162" t="str">
        <f aca="false">IFERROR(H12/G12-1,"-")</f>
        <v>-</v>
      </c>
      <c r="K12" s="145" t="n">
        <f aca="false">H12-G12</f>
        <v>0</v>
      </c>
      <c r="M12" s="147" t="n">
        <f aca="false">VLOOKUP(C12,'תקציב  '!$B:$S,10,0)*1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7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X12" s="145" t="n">
        <v>0</v>
      </c>
      <c r="Y12" s="5" t="n">
        <f aca="false">H12-X12</f>
        <v>0</v>
      </c>
      <c r="Z12" s="163" t="str">
        <f aca="false">IFERROR((H12/X12)-1,"-")</f>
        <v>-</v>
      </c>
    </row>
    <row r="13" customFormat="false" ht="14.25" hidden="false" customHeight="true" outlineLevel="1" collapsed="false">
      <c r="A13" s="164" t="n">
        <v>15</v>
      </c>
      <c r="B13" s="38" t="s">
        <v>138</v>
      </c>
      <c r="C13" s="38" t="s">
        <v>47</v>
      </c>
      <c r="D13" s="161" t="s">
        <v>47</v>
      </c>
      <c r="E13" s="39" t="s">
        <v>32</v>
      </c>
      <c r="F13" s="145" t="n">
        <v>0</v>
      </c>
      <c r="G13" s="145" t="n">
        <v>0</v>
      </c>
      <c r="H13" s="145" t="n">
        <v>0</v>
      </c>
      <c r="I13" s="162" t="n">
        <f aca="false">H13/$H$19</f>
        <v>0</v>
      </c>
      <c r="J13" s="162" t="str">
        <f aca="false">IFERROR(H13/G13-1,"-")</f>
        <v>-</v>
      </c>
      <c r="K13" s="145" t="n">
        <f aca="false">H13-G13</f>
        <v>0</v>
      </c>
      <c r="M13" s="147" t="n">
        <f aca="false">VLOOKUP(C13,'תקציב  '!$B:$S,10,0)*1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7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X13" s="145" t="n">
        <v>0</v>
      </c>
      <c r="Y13" s="5" t="n">
        <f aca="false">H13-X13</f>
        <v>0</v>
      </c>
      <c r="Z13" s="163" t="str">
        <f aca="false">IFERROR((H13/X13)-1,"-")</f>
        <v>-</v>
      </c>
    </row>
    <row r="14" customFormat="false" ht="14.25" hidden="false" customHeight="true" outlineLevel="1" collapsed="false">
      <c r="A14" s="164" t="n">
        <v>13</v>
      </c>
      <c r="B14" s="38" t="s">
        <v>139</v>
      </c>
      <c r="C14" s="38" t="s">
        <v>43</v>
      </c>
      <c r="D14" s="161" t="s">
        <v>43</v>
      </c>
      <c r="E14" s="39" t="s">
        <v>32</v>
      </c>
      <c r="F14" s="145" t="n">
        <v>0</v>
      </c>
      <c r="G14" s="145" t="n">
        <v>651.15</v>
      </c>
      <c r="H14" s="145" t="n">
        <v>478.2</v>
      </c>
      <c r="I14" s="162" t="n">
        <f aca="false">H14/$H$19</f>
        <v>0.000284751816069316</v>
      </c>
      <c r="J14" s="162" t="n">
        <f aca="false">IFERROR(H14/G14-1,"-")</f>
        <v>-0.265607002994702</v>
      </c>
      <c r="K14" s="145" t="n">
        <f aca="false">H14-G14</f>
        <v>-172.95</v>
      </c>
      <c r="M14" s="147" t="n">
        <f aca="false">VLOOKUP(C14,'תקציב  '!$B:$S,10,0)*1</f>
        <v>50000</v>
      </c>
      <c r="N14" s="162" t="n">
        <f aca="false">IFERROR(H14/M14-1,"-")</f>
        <v>-0.990436</v>
      </c>
      <c r="O14" s="162" t="n">
        <f aca="false">IFERROR(H14/M14,"-")</f>
        <v>0.009564</v>
      </c>
      <c r="P14" s="147" t="n">
        <f aca="false">H14-M14</f>
        <v>-49521.8</v>
      </c>
      <c r="R14" s="147" t="n">
        <v>5000</v>
      </c>
      <c r="S14" s="162" t="n">
        <f aca="false">IFERROR(H14/R14-1,"-")</f>
        <v>-0.90436</v>
      </c>
      <c r="T14" s="162" t="n">
        <f aca="false">IFERROR(H14/R14,"-")</f>
        <v>0.09564</v>
      </c>
      <c r="U14" s="147" t="n">
        <f aca="false">H14-R14</f>
        <v>-4521.8</v>
      </c>
      <c r="X14" s="145" t="n">
        <v>478.2</v>
      </c>
      <c r="Y14" s="5" t="n">
        <f aca="false">H14-X14</f>
        <v>0</v>
      </c>
      <c r="Z14" s="163" t="n">
        <f aca="false">IFERROR((H14/X14)-1,"-")</f>
        <v>0</v>
      </c>
    </row>
    <row r="15" customFormat="false" ht="14.25" hidden="false" customHeight="true" outlineLevel="1" collapsed="false">
      <c r="A15" s="164" t="n">
        <v>9</v>
      </c>
      <c r="B15" s="38" t="s">
        <v>140</v>
      </c>
      <c r="C15" s="38" t="s">
        <v>44</v>
      </c>
      <c r="D15" s="161" t="s">
        <v>44</v>
      </c>
      <c r="E15" s="39" t="s">
        <v>32</v>
      </c>
      <c r="F15" s="145" t="n">
        <v>16671.18</v>
      </c>
      <c r="G15" s="145" t="n">
        <v>7828.72</v>
      </c>
      <c r="H15" s="145" t="n">
        <v>10025.73</v>
      </c>
      <c r="I15" s="162" t="n">
        <f aca="false">H15/$H$19</f>
        <v>0.00596998081330117</v>
      </c>
      <c r="J15" s="162" t="n">
        <f aca="false">IFERROR(H15/G15-1,"-")</f>
        <v>0.280634637590819</v>
      </c>
      <c r="K15" s="145" t="n">
        <f aca="false">H15-G15</f>
        <v>2197.01</v>
      </c>
      <c r="M15" s="147" t="n">
        <f aca="false">VLOOKUP(C15,'תקציב  '!$B:$S,10,0)*1</f>
        <v>17460.3174603175</v>
      </c>
      <c r="N15" s="162" t="n">
        <f aca="false">IFERROR(H15/M15-1,"-")</f>
        <v>-0.425799100000001</v>
      </c>
      <c r="O15" s="162" t="n">
        <f aca="false">IFERROR(H15/M15,"-")</f>
        <v>0.574200899999999</v>
      </c>
      <c r="P15" s="147" t="n">
        <f aca="false">H15-M15</f>
        <v>-7434.5874603175</v>
      </c>
      <c r="R15" s="147" t="n">
        <v>25000</v>
      </c>
      <c r="S15" s="162" t="n">
        <f aca="false">IFERROR(H15/R15-1,"-")</f>
        <v>-0.5989708</v>
      </c>
      <c r="T15" s="162" t="n">
        <f aca="false">IFERROR(H15/R15,"-")</f>
        <v>0.4010292</v>
      </c>
      <c r="U15" s="147" t="n">
        <f aca="false">H15-R15</f>
        <v>-14974.27</v>
      </c>
      <c r="X15" s="145" t="n">
        <v>10025.73</v>
      </c>
      <c r="Y15" s="5" t="n">
        <f aca="false">H15-X15</f>
        <v>0</v>
      </c>
      <c r="Z15" s="163" t="n">
        <f aca="false">IFERROR((H15/X15)-1,"-")</f>
        <v>0</v>
      </c>
    </row>
    <row r="16" s="174" customFormat="true" ht="15" hidden="false" customHeight="true" outlineLevel="0" collapsed="false">
      <c r="A16" s="168"/>
      <c r="B16" s="169"/>
      <c r="C16" s="169"/>
      <c r="D16" s="170" t="s">
        <v>115</v>
      </c>
      <c r="E16" s="171"/>
      <c r="F16" s="172" t="n">
        <f aca="false">SUM(F3:F15)+F50</f>
        <v>1504291.229</v>
      </c>
      <c r="G16" s="172" t="n">
        <f aca="false">SUM(G3:G15)+G50</f>
        <v>1382050.61000001</v>
      </c>
      <c r="H16" s="172" t="n">
        <f aca="false">SUM(H3:H15)+H50</f>
        <v>1279597.086</v>
      </c>
      <c r="I16" s="173" t="n">
        <f aca="false">H16/$H$19</f>
        <v>0.761956491165839</v>
      </c>
      <c r="J16" s="173" t="n">
        <f aca="false">IFERROR(H16/G16-1,"-")</f>
        <v>-0.0741315283671158</v>
      </c>
      <c r="K16" s="172" t="n">
        <f aca="false">SUM(K3:K15)+K50</f>
        <v>-102453.524000005</v>
      </c>
      <c r="M16" s="172" t="n">
        <f aca="false">SUM(M3:M15)+M50</f>
        <v>1832388.88888889</v>
      </c>
      <c r="N16" s="173" t="n">
        <f aca="false">IFERROR(H16/M16-1,"-")</f>
        <v>-0.301678211563533</v>
      </c>
      <c r="O16" s="173" t="n">
        <f aca="false">IFERROR(H16/M16,"-")</f>
        <v>0.698321788436467</v>
      </c>
      <c r="P16" s="172" t="n">
        <f aca="false">SUM(P3:P15)+P50</f>
        <v>-552791.802888889</v>
      </c>
      <c r="R16" s="172" t="n">
        <f aca="false">SUM(R3:R15)+R50</f>
        <v>1645000</v>
      </c>
      <c r="S16" s="173" t="n">
        <f aca="false">IFERROR(H16/R16-1,"-")</f>
        <v>-0.22212943100304</v>
      </c>
      <c r="T16" s="173" t="n">
        <f aca="false">IFERROR(H16/R16,"-")</f>
        <v>0.77787056899696</v>
      </c>
      <c r="U16" s="172" t="n">
        <f aca="false">H16-R16</f>
        <v>-365402.914</v>
      </c>
      <c r="X16" s="172" t="n">
        <f aca="false">SUM(X3:X15)+X50</f>
        <v>1263849.454</v>
      </c>
      <c r="Y16" s="175" t="n">
        <f aca="false">H16-X16</f>
        <v>15747.632</v>
      </c>
      <c r="Z16" s="176" t="n">
        <f aca="false">IFERROR((H16/X16)-1,"-")</f>
        <v>0.0124600536481301</v>
      </c>
    </row>
    <row r="17" customFormat="false" ht="14.25" hidden="false" customHeight="true" outlineLevel="1" collapsed="false">
      <c r="A17" s="164" t="n">
        <v>2</v>
      </c>
      <c r="B17" s="39" t="s">
        <v>141</v>
      </c>
      <c r="C17" s="39" t="s">
        <v>45</v>
      </c>
      <c r="D17" s="161" t="s">
        <v>45</v>
      </c>
      <c r="E17" s="39" t="s">
        <v>32</v>
      </c>
      <c r="F17" s="145" t="n">
        <v>56033.8100000001</v>
      </c>
      <c r="G17" s="145" t="n">
        <v>163496.619999998</v>
      </c>
      <c r="H17" s="145" t="n">
        <v>398018.329999997</v>
      </c>
      <c r="I17" s="162" t="n">
        <f aca="false">H17/$H$19</f>
        <v>0.237006361974854</v>
      </c>
      <c r="J17" s="162" t="n">
        <f aca="false">IFERROR(H17/G17-1,"-")</f>
        <v>1.43441320071327</v>
      </c>
      <c r="K17" s="145" t="n">
        <f aca="false">H17-G17</f>
        <v>234521.709999999</v>
      </c>
      <c r="M17" s="147" t="n">
        <f aca="false">VLOOKUP(C17,'תקציב  '!$B:$S,10,0)*1</f>
        <v>977100.847457627</v>
      </c>
      <c r="N17" s="162" t="n">
        <f aca="false">IFERROR(H17/M17-1,"-")</f>
        <v>-0.59265378692934</v>
      </c>
      <c r="O17" s="162" t="n">
        <f aca="false">IFERROR(H17/M17,"-")</f>
        <v>0.40734621307066</v>
      </c>
      <c r="P17" s="147" t="n">
        <f aca="false">H17-M17</f>
        <v>-579082.51745763</v>
      </c>
      <c r="R17" s="147" t="n">
        <v>450000</v>
      </c>
      <c r="S17" s="162" t="n">
        <f aca="false">IFERROR(H17/R17-1,"-")</f>
        <v>-0.115514822222229</v>
      </c>
      <c r="T17" s="162" t="n">
        <f aca="false">IFERROR(H17/R17,"-")</f>
        <v>0.884485177777771</v>
      </c>
      <c r="U17" s="147" t="n">
        <f aca="false">H17-R17</f>
        <v>-51981.670000003</v>
      </c>
      <c r="X17" s="145" t="n">
        <v>398018.329999997</v>
      </c>
      <c r="Y17" s="5" t="n">
        <f aca="false">H17-X17</f>
        <v>0</v>
      </c>
      <c r="Z17" s="163" t="n">
        <f aca="false">IFERROR((H17/X17)-1,"-")</f>
        <v>0</v>
      </c>
    </row>
    <row r="18" customFormat="false" ht="14.25" hidden="false" customHeight="true" outlineLevel="1" collapsed="false">
      <c r="A18" s="164" t="n">
        <v>12</v>
      </c>
      <c r="B18" s="39" t="s">
        <v>142</v>
      </c>
      <c r="C18" s="39" t="s">
        <v>46</v>
      </c>
      <c r="D18" s="161" t="s">
        <v>46</v>
      </c>
      <c r="E18" s="39" t="s">
        <v>32</v>
      </c>
      <c r="F18" s="145" t="n">
        <v>1788.03</v>
      </c>
      <c r="G18" s="145" t="n">
        <v>1318.12</v>
      </c>
      <c r="H18" s="145" t="n">
        <v>1741.74</v>
      </c>
      <c r="I18" s="162" t="n">
        <f aca="false">H18/$H$19</f>
        <v>0.00103714685930692</v>
      </c>
      <c r="J18" s="162" t="n">
        <f aca="false">IFERROR(H18/G18-1,"-")</f>
        <v>0.321381968257822</v>
      </c>
      <c r="K18" s="145" t="n">
        <f aca="false">H18-G18</f>
        <v>423.62</v>
      </c>
      <c r="M18" s="147" t="n">
        <f aca="false">VLOOKUP(C18,'תקציב  '!$B:$S,10,0)*1</f>
        <v>2536.92833333333</v>
      </c>
      <c r="N18" s="162" t="n">
        <f aca="false">IFERROR(H18/M18-1,"-")</f>
        <v>-0.313445327912954</v>
      </c>
      <c r="O18" s="162" t="n">
        <f aca="false">IFERROR(H18/M18,"-")</f>
        <v>0.686554672087046</v>
      </c>
      <c r="P18" s="147" t="n">
        <f aca="false">H18-M18</f>
        <v>-795.18833333333</v>
      </c>
      <c r="R18" s="147" t="n">
        <v>5000</v>
      </c>
      <c r="S18" s="162" t="n">
        <f aca="false">IFERROR(H18/R18-1,"-")</f>
        <v>-0.651652</v>
      </c>
      <c r="T18" s="162" t="n">
        <f aca="false">IFERROR(H18/R18,"-")</f>
        <v>0.348348</v>
      </c>
      <c r="U18" s="147" t="n">
        <f aca="false">H18-R18</f>
        <v>-3258.26</v>
      </c>
      <c r="X18" s="145" t="n">
        <v>1741.74</v>
      </c>
      <c r="Y18" s="5" t="n">
        <f aca="false">H18-X18</f>
        <v>0</v>
      </c>
      <c r="Z18" s="163" t="n">
        <f aca="false">IFERROR((H18/X18)-1,"-")</f>
        <v>0</v>
      </c>
    </row>
    <row r="19" s="174" customFormat="true" ht="15" hidden="false" customHeight="true" outlineLevel="0" collapsed="false">
      <c r="A19" s="165"/>
      <c r="B19" s="177"/>
      <c r="C19" s="177"/>
      <c r="D19" s="178" t="s">
        <v>48</v>
      </c>
      <c r="E19" s="179"/>
      <c r="F19" s="172" t="n">
        <f aca="false">F16+F17+F18</f>
        <v>1562113.069</v>
      </c>
      <c r="G19" s="172" t="n">
        <f aca="false">G16+G17+G18</f>
        <v>1546865.35</v>
      </c>
      <c r="H19" s="172" t="n">
        <f aca="false">H16+H17+H18</f>
        <v>1679357.156</v>
      </c>
      <c r="I19" s="173" t="n">
        <f aca="false">H19/$H$41</f>
        <v>0.76817283129015</v>
      </c>
      <c r="J19" s="173" t="n">
        <f aca="false">IFERROR(H19/G19-1,"-")</f>
        <v>0.0856518028540709</v>
      </c>
      <c r="K19" s="172" t="n">
        <f aca="false">K16+K17+K18</f>
        <v>132491.805999994</v>
      </c>
      <c r="M19" s="172" t="n">
        <f aca="false">M16+M17+M18</f>
        <v>2812026.66467985</v>
      </c>
      <c r="N19" s="173" t="n">
        <f aca="false">IFERROR(H19/M19-1,"-")</f>
        <v>-0.402794725564527</v>
      </c>
      <c r="O19" s="173" t="n">
        <f aca="false">IFERROR(H19/M19,"-")</f>
        <v>0.597205274435473</v>
      </c>
      <c r="P19" s="172" t="n">
        <f aca="false">P16+P17+P18</f>
        <v>-1132669.50867985</v>
      </c>
      <c r="R19" s="172" t="n">
        <f aca="false">R16+R17+R18</f>
        <v>2100000</v>
      </c>
      <c r="S19" s="173" t="n">
        <f aca="false">IFERROR(H19/R19-1,"-")</f>
        <v>-0.200306116190478</v>
      </c>
      <c r="T19" s="173" t="n">
        <f aca="false">IFERROR(H19/R19,"-")</f>
        <v>0.799693883809522</v>
      </c>
      <c r="U19" s="172" t="n">
        <f aca="false">H19-R19</f>
        <v>-420642.844000003</v>
      </c>
      <c r="X19" s="172" t="n">
        <f aca="false">X16+X17+X18</f>
        <v>1663609.524</v>
      </c>
      <c r="Y19" s="175" t="n">
        <f aca="false">H19-X19</f>
        <v>15747.632</v>
      </c>
      <c r="Z19" s="176" t="n">
        <f aca="false">IFERROR((H19/X19)-1,"-")</f>
        <v>0.00946594244191168</v>
      </c>
    </row>
    <row r="20" customFormat="false" ht="14.25" hidden="false" customHeight="true" outlineLevel="1" collapsed="false">
      <c r="A20" s="165" t="n">
        <v>50</v>
      </c>
      <c r="B20" s="180" t="s">
        <v>143</v>
      </c>
      <c r="C20" s="180" t="s">
        <v>49</v>
      </c>
      <c r="D20" s="167" t="s">
        <v>50</v>
      </c>
      <c r="E20" s="39" t="s">
        <v>51</v>
      </c>
      <c r="F20" s="145" t="n">
        <v>316462.25</v>
      </c>
      <c r="G20" s="145" t="n">
        <v>353503.85</v>
      </c>
      <c r="H20" s="145" t="n">
        <v>223994.55</v>
      </c>
      <c r="I20" s="162" t="n">
        <f aca="false">H20/$H$40</f>
        <v>0.44196613577021</v>
      </c>
      <c r="J20" s="162" t="n">
        <f aca="false">IFERROR(H20/G20-1,"-")</f>
        <v>-0.366358951960495</v>
      </c>
      <c r="K20" s="145" t="n">
        <f aca="false">H20-G20</f>
        <v>-129509.3</v>
      </c>
      <c r="M20" s="147" t="n">
        <f aca="false">VLOOKUP(C20,'תקציב  '!$B:$S,10,0)*1</f>
        <v>461212.916175</v>
      </c>
      <c r="N20" s="162" t="n">
        <f aca="false">IFERROR(H20/M20-1,"-")</f>
        <v>-0.5143359126677</v>
      </c>
      <c r="O20" s="162" t="n">
        <f aca="false">IFERROR(H20/M20,"-")</f>
        <v>0.4856640873323</v>
      </c>
      <c r="P20" s="147" t="n">
        <f aca="false">H20-M20</f>
        <v>-237218.366175</v>
      </c>
      <c r="R20" s="147" t="n">
        <v>265966.8</v>
      </c>
      <c r="S20" s="162" t="n">
        <f aca="false">IFERROR(H20/R20-1,"-")</f>
        <v>-0.157810110134047</v>
      </c>
      <c r="T20" s="162" t="n">
        <f aca="false">IFERROR(H20/R20,"-")</f>
        <v>0.842189889865953</v>
      </c>
      <c r="U20" s="147" t="n">
        <f aca="false">H20-R20</f>
        <v>-41972.25</v>
      </c>
      <c r="X20" s="145" t="n">
        <v>223994.55</v>
      </c>
      <c r="Y20" s="5" t="n">
        <f aca="false">H20-X20</f>
        <v>0</v>
      </c>
      <c r="Z20" s="163" t="n">
        <f aca="false">IFERROR((H20/X20)-1,"-")</f>
        <v>0</v>
      </c>
    </row>
    <row r="21" customFormat="false" ht="14.25" hidden="false" customHeight="true" outlineLevel="1" collapsed="false">
      <c r="A21" s="165" t="n">
        <v>20</v>
      </c>
      <c r="B21" s="180" t="s">
        <v>144</v>
      </c>
      <c r="C21" s="180" t="s">
        <v>52</v>
      </c>
      <c r="D21" s="167" t="s">
        <v>53</v>
      </c>
      <c r="E21" s="39" t="s">
        <v>54</v>
      </c>
      <c r="F21" s="145" t="n">
        <v>143527.77</v>
      </c>
      <c r="G21" s="145" t="n">
        <v>187405.66</v>
      </c>
      <c r="H21" s="145" t="n">
        <v>0</v>
      </c>
      <c r="I21" s="162" t="n">
        <f aca="false">H21/$H$40</f>
        <v>0</v>
      </c>
      <c r="J21" s="162" t="n">
        <f aca="false">IFERROR(H21/G21-1,"-")</f>
        <v>-1</v>
      </c>
      <c r="K21" s="145" t="n">
        <f aca="false">H21-G21</f>
        <v>-187405.66</v>
      </c>
      <c r="M21" s="147" t="n">
        <f aca="false">VLOOKUP(C21,'תקציב  '!$B:$S,10,0)*1</f>
        <v>205800</v>
      </c>
      <c r="N21" s="162" t="n">
        <f aca="false">IFERROR(H21/M21-1,"-")</f>
        <v>-1</v>
      </c>
      <c r="O21" s="162" t="n">
        <f aca="false">IFERROR(H21/M21,"-")</f>
        <v>0</v>
      </c>
      <c r="P21" s="147" t="n">
        <f aca="false">H21-M21</f>
        <v>-205800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X21" s="145" t="n">
        <v>0</v>
      </c>
      <c r="Y21" s="5" t="n">
        <f aca="false">H21-X21</f>
        <v>0</v>
      </c>
      <c r="Z21" s="163" t="str">
        <f aca="false">IFERROR((H21/X21)-1,"-")</f>
        <v>-</v>
      </c>
    </row>
    <row r="22" customFormat="false" ht="14.25" hidden="false" customHeight="true" outlineLevel="1" collapsed="false">
      <c r="A22" s="165" t="n">
        <v>21</v>
      </c>
      <c r="B22" s="180" t="s">
        <v>145</v>
      </c>
      <c r="C22" s="180" t="s">
        <v>55</v>
      </c>
      <c r="D22" s="167" t="s">
        <v>56</v>
      </c>
      <c r="E22" s="39" t="s">
        <v>57</v>
      </c>
      <c r="F22" s="145" t="n">
        <v>61466.82</v>
      </c>
      <c r="G22" s="145" t="n">
        <v>194396.85</v>
      </c>
      <c r="H22" s="145" t="n">
        <v>0</v>
      </c>
      <c r="I22" s="162" t="n">
        <f aca="false">H22/$H$40</f>
        <v>0</v>
      </c>
      <c r="J22" s="162" t="n">
        <f aca="false">IFERROR(H22/G22-1,"-")</f>
        <v>-1</v>
      </c>
      <c r="K22" s="145" t="n">
        <f aca="false">H22-G22</f>
        <v>-194396.85</v>
      </c>
      <c r="M22" s="147" t="n">
        <f aca="false">VLOOKUP(C22,'תקציב  '!$B:$S,10,0)*1</f>
        <v>13390</v>
      </c>
      <c r="N22" s="162" t="n">
        <f aca="false">IFERROR(H22/M22-1,"-")</f>
        <v>-1</v>
      </c>
      <c r="O22" s="162" t="n">
        <f aca="false">IFERROR(H22/M22,"-")</f>
        <v>0</v>
      </c>
      <c r="P22" s="147" t="n">
        <f aca="false">H22-M22</f>
        <v>-13390</v>
      </c>
      <c r="R22" s="147" t="n">
        <v>0</v>
      </c>
      <c r="S22" s="162" t="str">
        <f aca="false">IFERROR(H22/R22-1,"-")</f>
        <v>-</v>
      </c>
      <c r="T22" s="162" t="str">
        <f aca="false">IFERROR(H22/R22,"-")</f>
        <v>-</v>
      </c>
      <c r="U22" s="147" t="n">
        <f aca="false">H22-R22</f>
        <v>0</v>
      </c>
      <c r="X22" s="145" t="n">
        <v>0</v>
      </c>
      <c r="Y22" s="5" t="n">
        <f aca="false">H22-X22</f>
        <v>0</v>
      </c>
      <c r="Z22" s="163" t="str">
        <f aca="false">IFERROR((H22/X22)-1,"-")</f>
        <v>-</v>
      </c>
    </row>
    <row r="23" customFormat="false" ht="14.25" hidden="false" customHeight="true" outlineLevel="1" collapsed="false">
      <c r="A23" s="165" t="n">
        <v>22</v>
      </c>
      <c r="B23" s="180" t="s">
        <v>146</v>
      </c>
      <c r="C23" s="180" t="s">
        <v>58</v>
      </c>
      <c r="D23" s="167" t="s">
        <v>59</v>
      </c>
      <c r="E23" s="39" t="s">
        <v>60</v>
      </c>
      <c r="F23" s="145" t="n">
        <v>90587.54</v>
      </c>
      <c r="G23" s="145" t="n">
        <v>87907.48</v>
      </c>
      <c r="H23" s="145" t="n">
        <v>0</v>
      </c>
      <c r="I23" s="162" t="n">
        <f aca="false">H23/$H$40</f>
        <v>0</v>
      </c>
      <c r="J23" s="162" t="n">
        <f aca="false">IFERROR(H23/G23-1,"-")</f>
        <v>-1</v>
      </c>
      <c r="K23" s="145" t="n">
        <f aca="false">H23-G23</f>
        <v>-87907.48</v>
      </c>
      <c r="M23" s="147" t="n">
        <f aca="false">VLOOKUP(C23,'תקציב  '!$B:$S,10,0)*1</f>
        <v>85000</v>
      </c>
      <c r="N23" s="162" t="n">
        <f aca="false">IFERROR(H23/M23-1,"-")</f>
        <v>-1</v>
      </c>
      <c r="O23" s="162" t="n">
        <f aca="false">IFERROR(H23/M23,"-")</f>
        <v>0</v>
      </c>
      <c r="P23" s="147" t="n">
        <f aca="false">H23-M23</f>
        <v>-85000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X23" s="145" t="n">
        <v>0</v>
      </c>
      <c r="Y23" s="5" t="n">
        <f aca="false">H23-X23</f>
        <v>0</v>
      </c>
      <c r="Z23" s="163" t="str">
        <f aca="false">IFERROR((H23/X23)-1,"-")</f>
        <v>-</v>
      </c>
    </row>
    <row r="24" customFormat="false" ht="14.25" hidden="false" customHeight="true" outlineLevel="1" collapsed="false">
      <c r="A24" s="165" t="n">
        <v>23</v>
      </c>
      <c r="B24" s="180" t="s">
        <v>147</v>
      </c>
      <c r="C24" s="180" t="s">
        <v>61</v>
      </c>
      <c r="D24" s="167" t="s">
        <v>62</v>
      </c>
      <c r="E24" s="39" t="s">
        <v>63</v>
      </c>
      <c r="F24" s="145" t="n">
        <v>16222.13</v>
      </c>
      <c r="G24" s="145" t="n">
        <v>30796.16</v>
      </c>
      <c r="H24" s="145" t="n">
        <v>19451.36</v>
      </c>
      <c r="I24" s="162" t="n">
        <f aca="false">H24/$H$40</f>
        <v>0.0383796945714761</v>
      </c>
      <c r="J24" s="162" t="n">
        <f aca="false">IFERROR(H24/G24-1,"-")</f>
        <v>-0.368383590681436</v>
      </c>
      <c r="K24" s="145" t="n">
        <f aca="false">H24-G24</f>
        <v>-11344.8</v>
      </c>
      <c r="M24" s="147" t="n">
        <f aca="false">VLOOKUP(C24,'תקציב  '!$B:$S,10,0)*1</f>
        <v>17000</v>
      </c>
      <c r="N24" s="162" t="n">
        <f aca="false">IFERROR(H24/M24-1,"-")</f>
        <v>0.144197647058824</v>
      </c>
      <c r="O24" s="162" t="n">
        <f aca="false">IFERROR(H24/M24,"-")</f>
        <v>1.14419764705882</v>
      </c>
      <c r="P24" s="147" t="n">
        <f aca="false">H24-M24</f>
        <v>2451.36</v>
      </c>
      <c r="R24" s="147" t="n">
        <v>20000</v>
      </c>
      <c r="S24" s="162" t="n">
        <f aca="false">IFERROR(H24/R24-1,"-")</f>
        <v>-0.027432</v>
      </c>
      <c r="T24" s="162" t="n">
        <f aca="false">IFERROR(H24/R24,"-")</f>
        <v>0.972568</v>
      </c>
      <c r="U24" s="147" t="n">
        <f aca="false">H24-R24</f>
        <v>-548.639999999999</v>
      </c>
      <c r="X24" s="145" t="n">
        <v>19451.36</v>
      </c>
      <c r="Y24" s="5" t="n">
        <f aca="false">H24-X24</f>
        <v>0</v>
      </c>
      <c r="Z24" s="163" t="n">
        <f aca="false">IFERROR((H24/X24)-1,"-")</f>
        <v>0</v>
      </c>
    </row>
    <row r="25" customFormat="false" ht="14.25" hidden="false" customHeight="true" outlineLevel="1" collapsed="false">
      <c r="A25" s="165" t="n">
        <v>24</v>
      </c>
      <c r="B25" s="180" t="s">
        <v>148</v>
      </c>
      <c r="C25" s="180" t="s">
        <v>64</v>
      </c>
      <c r="D25" s="167" t="s">
        <v>65</v>
      </c>
      <c r="E25" s="39" t="s">
        <v>66</v>
      </c>
      <c r="F25" s="145" t="n">
        <v>0</v>
      </c>
      <c r="G25" s="145" t="n">
        <v>0</v>
      </c>
      <c r="H25" s="145" t="n">
        <v>0</v>
      </c>
      <c r="I25" s="162" t="n">
        <f aca="false">H25/$H$40</f>
        <v>0</v>
      </c>
      <c r="J25" s="162" t="str">
        <f aca="false">IFERROR(H25/G25-1,"-")</f>
        <v>-</v>
      </c>
      <c r="K25" s="145" t="n">
        <f aca="false">H25-G25</f>
        <v>0</v>
      </c>
      <c r="M25" s="147" t="n">
        <f aca="false">VLOOKUP(C25,'תקציב  '!$B:$S,10,0)*1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7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X25" s="145" t="n">
        <v>0</v>
      </c>
      <c r="Y25" s="5" t="n">
        <f aca="false">H25-X25</f>
        <v>0</v>
      </c>
      <c r="Z25" s="163" t="str">
        <f aca="false">IFERROR((H25/X25)-1,"-")</f>
        <v>-</v>
      </c>
    </row>
    <row r="26" customFormat="false" ht="13.5" hidden="false" customHeight="true" outlineLevel="1" collapsed="false">
      <c r="A26" s="165" t="n">
        <v>25</v>
      </c>
      <c r="B26" s="180" t="s">
        <v>149</v>
      </c>
      <c r="C26" s="180" t="s">
        <v>67</v>
      </c>
      <c r="D26" s="167" t="s">
        <v>68</v>
      </c>
      <c r="E26" s="39" t="s">
        <v>69</v>
      </c>
      <c r="F26" s="145" t="n">
        <v>0</v>
      </c>
      <c r="G26" s="145" t="n">
        <v>0</v>
      </c>
      <c r="H26" s="145" t="n">
        <v>221407.78</v>
      </c>
      <c r="I26" s="162" t="n">
        <f aca="false">H26/$H$40</f>
        <v>0.436862151137431</v>
      </c>
      <c r="J26" s="162" t="str">
        <f aca="false">IFERROR(H26/G26-1,"-")</f>
        <v>-</v>
      </c>
      <c r="K26" s="145" t="n">
        <f aca="false">H26-G26</f>
        <v>221407.78</v>
      </c>
      <c r="M26" s="147" t="n">
        <f aca="false">VLOOKUP(C26,'תקציב  '!$B:$S,10,0)*1</f>
        <v>150000</v>
      </c>
      <c r="N26" s="162" t="n">
        <f aca="false">IFERROR(H26/M26-1,"-")</f>
        <v>0.476051866666667</v>
      </c>
      <c r="O26" s="162" t="n">
        <f aca="false">IFERROR(H26/M26,"-")</f>
        <v>1.47605186666667</v>
      </c>
      <c r="P26" s="147" t="n">
        <f aca="false">H26-M26</f>
        <v>71407.78</v>
      </c>
      <c r="R26" s="147" t="n">
        <v>240000</v>
      </c>
      <c r="S26" s="162" t="n">
        <f aca="false">IFERROR(H26/R26-1,"-")</f>
        <v>-0.0774675833333334</v>
      </c>
      <c r="T26" s="162" t="n">
        <f aca="false">IFERROR(H26/R26,"-")</f>
        <v>0.922532416666667</v>
      </c>
      <c r="U26" s="147" t="n">
        <f aca="false">H26-R26</f>
        <v>-18592.22</v>
      </c>
      <c r="X26" s="145" t="n">
        <v>221407.78</v>
      </c>
      <c r="Y26" s="5" t="n">
        <f aca="false">H26-X26</f>
        <v>0</v>
      </c>
      <c r="Z26" s="163" t="n">
        <f aca="false">IFERROR((H26/X26)-1,"-")</f>
        <v>0</v>
      </c>
    </row>
    <row r="27" customFormat="false" ht="14.25" hidden="false" customHeight="true" outlineLevel="1" collapsed="false">
      <c r="A27" s="165" t="n">
        <v>26</v>
      </c>
      <c r="B27" s="180" t="s">
        <v>150</v>
      </c>
      <c r="C27" s="180" t="s">
        <v>70</v>
      </c>
      <c r="D27" s="167" t="s">
        <v>71</v>
      </c>
      <c r="E27" s="39" t="s">
        <v>72</v>
      </c>
      <c r="F27" s="145" t="n">
        <v>609.99</v>
      </c>
      <c r="G27" s="145" t="n">
        <v>31010.8</v>
      </c>
      <c r="H27" s="145" t="n">
        <v>0</v>
      </c>
      <c r="I27" s="162" t="n">
        <f aca="false">H27/$H$40</f>
        <v>0</v>
      </c>
      <c r="J27" s="162" t="n">
        <f aca="false">IFERROR(H27/G27-1,"-")</f>
        <v>-1</v>
      </c>
      <c r="K27" s="145" t="n">
        <f aca="false">H27-G27</f>
        <v>-31010.8</v>
      </c>
      <c r="M27" s="147" t="n">
        <f aca="false">VLOOKUP(C27,'תקציב  '!$B:$S,10,0)*1</f>
        <v>0</v>
      </c>
      <c r="N27" s="162" t="str">
        <f aca="false">IFERROR(H27/M27-1,"-")</f>
        <v>-</v>
      </c>
      <c r="O27" s="162" t="str">
        <f aca="false">IFERROR(H27/M27,"-")</f>
        <v>-</v>
      </c>
      <c r="P27" s="147" t="n">
        <f aca="false">H27-M27</f>
        <v>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X27" s="145" t="n">
        <v>0</v>
      </c>
      <c r="Y27" s="5" t="n">
        <f aca="false">H27-X27</f>
        <v>0</v>
      </c>
      <c r="Z27" s="163" t="str">
        <f aca="false">IFERROR((H27/X27)-1,"-")</f>
        <v>-</v>
      </c>
    </row>
    <row r="28" customFormat="false" ht="13.5" hidden="false" customHeight="true" outlineLevel="1" collapsed="false">
      <c r="A28" s="165" t="n">
        <v>27</v>
      </c>
      <c r="B28" s="180" t="s">
        <v>151</v>
      </c>
      <c r="C28" s="180" t="s">
        <v>73</v>
      </c>
      <c r="D28" s="167" t="s">
        <v>74</v>
      </c>
      <c r="E28" s="39" t="s">
        <v>75</v>
      </c>
      <c r="F28" s="145" t="n">
        <v>0</v>
      </c>
      <c r="G28" s="145" t="n">
        <v>0</v>
      </c>
      <c r="H28" s="145" t="n">
        <v>0</v>
      </c>
      <c r="I28" s="162" t="n">
        <f aca="false">H28/$H$40</f>
        <v>0</v>
      </c>
      <c r="J28" s="162" t="str">
        <f aca="false">IFERROR(H28/G28-1,"-")</f>
        <v>-</v>
      </c>
      <c r="K28" s="145" t="n">
        <f aca="false">H28-G28</f>
        <v>0</v>
      </c>
      <c r="M28" s="147" t="n">
        <f aca="false">VLOOKUP(C28,'תקציב  '!$B:$S,10,0)*1</f>
        <v>0</v>
      </c>
      <c r="N28" s="162" t="str">
        <f aca="false">IFERROR(H28/M28-1,"-")</f>
        <v>-</v>
      </c>
      <c r="O28" s="162" t="str">
        <f aca="false">IFERROR(H28/M28,"-")</f>
        <v>-</v>
      </c>
      <c r="P28" s="147" t="n">
        <f aca="false">H28-M28</f>
        <v>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X28" s="145" t="n">
        <v>0</v>
      </c>
      <c r="Y28" s="5" t="n">
        <f aca="false">H28-X28</f>
        <v>0</v>
      </c>
      <c r="Z28" s="163" t="str">
        <f aca="false">IFERROR((H28/X28)-1,"-")</f>
        <v>-</v>
      </c>
    </row>
    <row r="29" customFormat="false" ht="13.5" hidden="false" customHeight="true" outlineLevel="1" collapsed="false">
      <c r="A29" s="165" t="n">
        <v>28</v>
      </c>
      <c r="B29" s="180" t="s">
        <v>152</v>
      </c>
      <c r="C29" s="180" t="s">
        <v>76</v>
      </c>
      <c r="D29" s="167" t="s">
        <v>77</v>
      </c>
      <c r="E29" s="39" t="s">
        <v>78</v>
      </c>
      <c r="F29" s="145" t="n">
        <v>27604.14</v>
      </c>
      <c r="G29" s="145" t="n">
        <v>56344.52</v>
      </c>
      <c r="H29" s="145" t="n">
        <v>41960.14</v>
      </c>
      <c r="I29" s="162" t="n">
        <f aca="false">H29/$H$40</f>
        <v>0.0827920185208837</v>
      </c>
      <c r="J29" s="162" t="n">
        <f aca="false">IFERROR(H29/G29-1,"-")</f>
        <v>-0.255293327549866</v>
      </c>
      <c r="K29" s="145" t="n">
        <f aca="false">H29-G29</f>
        <v>-14384.38</v>
      </c>
      <c r="M29" s="147" t="n">
        <f aca="false">VLOOKUP(C29,'תקציב  '!$B:$S,10,0)*1</f>
        <v>39765.076</v>
      </c>
      <c r="N29" s="162" t="n">
        <f aca="false">IFERROR(H29/M29-1,"-")</f>
        <v>0.0552007998174076</v>
      </c>
      <c r="O29" s="162" t="n">
        <f aca="false">IFERROR(H29/M29,"-")</f>
        <v>1.05520079981741</v>
      </c>
      <c r="P29" s="147" t="n">
        <f aca="false">H29-M29</f>
        <v>2195.064</v>
      </c>
      <c r="R29" s="147" t="n">
        <v>40000</v>
      </c>
      <c r="S29" s="162" t="n">
        <f aca="false">IFERROR(H29/R29-1,"-")</f>
        <v>0.0490035</v>
      </c>
      <c r="T29" s="162" t="n">
        <f aca="false">IFERROR(H29/R29,"-")</f>
        <v>1.0490035</v>
      </c>
      <c r="U29" s="147" t="n">
        <f aca="false">H29-R29</f>
        <v>1960.14</v>
      </c>
      <c r="X29" s="145" t="n">
        <v>41960.14</v>
      </c>
      <c r="Y29" s="5" t="n">
        <f aca="false">H29-X29</f>
        <v>0</v>
      </c>
      <c r="Z29" s="163" t="n">
        <f aca="false">IFERROR((H29/X29)-1,"-")</f>
        <v>0</v>
      </c>
    </row>
    <row r="30" customFormat="false" ht="14.25" hidden="false" customHeight="true" outlineLevel="1" collapsed="false">
      <c r="A30" s="165" t="n">
        <v>29</v>
      </c>
      <c r="B30" s="180" t="s">
        <v>153</v>
      </c>
      <c r="C30" s="180" t="s">
        <v>79</v>
      </c>
      <c r="D30" s="167" t="s">
        <v>80</v>
      </c>
      <c r="E30" s="39" t="s">
        <v>81</v>
      </c>
      <c r="F30" s="145" t="n">
        <v>0</v>
      </c>
      <c r="G30" s="145" t="n">
        <v>0</v>
      </c>
      <c r="H30" s="145" t="n">
        <v>0</v>
      </c>
      <c r="I30" s="162" t="n">
        <f aca="false">H30/$H$40</f>
        <v>0</v>
      </c>
      <c r="J30" s="162" t="str">
        <f aca="false">IFERROR(H30/G30-1,"-")</f>
        <v>-</v>
      </c>
      <c r="K30" s="145" t="n">
        <f aca="false">H30-G30</f>
        <v>0</v>
      </c>
      <c r="M30" s="147" t="n">
        <f aca="false">VLOOKUP(C30,'תקציב  '!$B:$S,10,0)*1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7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X30" s="145" t="n">
        <v>0</v>
      </c>
      <c r="Y30" s="5" t="n">
        <f aca="false">H30-X30</f>
        <v>0</v>
      </c>
      <c r="Z30" s="163" t="str">
        <f aca="false">IFERROR((H30/X30)-1,"-")</f>
        <v>-</v>
      </c>
    </row>
    <row r="31" customFormat="false" ht="14.25" hidden="false" customHeight="true" outlineLevel="1" collapsed="false">
      <c r="A31" s="165" t="n">
        <v>30</v>
      </c>
      <c r="B31" s="180" t="s">
        <v>154</v>
      </c>
      <c r="C31" s="180" t="s">
        <v>82</v>
      </c>
      <c r="D31" s="167" t="s">
        <v>83</v>
      </c>
      <c r="E31" s="39" t="s">
        <v>81</v>
      </c>
      <c r="F31" s="145" t="n">
        <v>0</v>
      </c>
      <c r="G31" s="145" t="n">
        <v>0</v>
      </c>
      <c r="H31" s="145" t="n">
        <v>0</v>
      </c>
      <c r="I31" s="162" t="n">
        <f aca="false">H31/$H$40</f>
        <v>0</v>
      </c>
      <c r="J31" s="162" t="str">
        <f aca="false">IFERROR(H31/G31-1,"-")</f>
        <v>-</v>
      </c>
      <c r="K31" s="145" t="n">
        <f aca="false">H31-G31</f>
        <v>0</v>
      </c>
      <c r="M31" s="147" t="n">
        <f aca="false">VLOOKUP(C31,'תקציב  '!$B:$S,10,0)*1</f>
        <v>20000</v>
      </c>
      <c r="N31" s="162" t="n">
        <f aca="false">IFERROR(H31/M31-1,"-")</f>
        <v>-1</v>
      </c>
      <c r="O31" s="162" t="n">
        <f aca="false">IFERROR(H31/M31,"-")</f>
        <v>0</v>
      </c>
      <c r="P31" s="147" t="n">
        <f aca="false">H31-M31</f>
        <v>-20000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X31" s="145" t="n">
        <v>0</v>
      </c>
      <c r="Y31" s="5" t="n">
        <f aca="false">H31-X31</f>
        <v>0</v>
      </c>
      <c r="Z31" s="163" t="str">
        <f aca="false">IFERROR((H31/X31)-1,"-")</f>
        <v>-</v>
      </c>
    </row>
    <row r="32" customFormat="false" ht="13.5" hidden="false" customHeight="true" outlineLevel="1" collapsed="false">
      <c r="A32" s="165" t="n">
        <v>31</v>
      </c>
      <c r="B32" s="180" t="s">
        <v>84</v>
      </c>
      <c r="C32" s="180" t="s">
        <v>84</v>
      </c>
      <c r="D32" s="167" t="s">
        <v>85</v>
      </c>
      <c r="E32" s="39" t="s">
        <v>86</v>
      </c>
      <c r="F32" s="145" t="n">
        <v>0</v>
      </c>
      <c r="G32" s="145" t="n">
        <v>15559.58</v>
      </c>
      <c r="H32" s="145" t="n">
        <v>0</v>
      </c>
      <c r="I32" s="162" t="n">
        <f aca="false">H32/$H$40</f>
        <v>0</v>
      </c>
      <c r="J32" s="162" t="n">
        <f aca="false">IFERROR(H32/G32-1,"-")</f>
        <v>-1</v>
      </c>
      <c r="K32" s="145" t="n">
        <f aca="false">H32-G32</f>
        <v>-15559.58</v>
      </c>
      <c r="M32" s="147" t="n">
        <f aca="false">VLOOKUP(C32,'תקציב  '!$B:$S,10,0)*1</f>
        <v>18000</v>
      </c>
      <c r="N32" s="162" t="n">
        <f aca="false">IFERROR(H32/M32-1,"-")</f>
        <v>-1</v>
      </c>
      <c r="O32" s="162" t="n">
        <f aca="false">IFERROR(H32/M32,"-")</f>
        <v>0</v>
      </c>
      <c r="P32" s="147" t="n">
        <f aca="false">H32-M32</f>
        <v>-18000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0</v>
      </c>
      <c r="X32" s="145" t="n">
        <v>0</v>
      </c>
      <c r="Y32" s="5" t="n">
        <f aca="false">H32-X32</f>
        <v>0</v>
      </c>
      <c r="Z32" s="163" t="str">
        <f aca="false">IFERROR((H32/X32)-1,"-")</f>
        <v>-</v>
      </c>
    </row>
    <row r="33" customFormat="false" ht="13.5" hidden="false" customHeight="true" outlineLevel="1" collapsed="false">
      <c r="A33" s="165"/>
      <c r="B33" s="180"/>
      <c r="C33" s="180"/>
      <c r="D33" s="167" t="s">
        <v>155</v>
      </c>
      <c r="E33" s="39" t="s">
        <v>156</v>
      </c>
      <c r="F33" s="145"/>
      <c r="G33" s="145"/>
      <c r="H33" s="145" t="n">
        <v>0</v>
      </c>
      <c r="I33" s="162" t="n">
        <f aca="false">H33/$H$40</f>
        <v>0</v>
      </c>
      <c r="J33" s="162" t="str">
        <f aca="false">IFERROR(H33/G33-1,"-")</f>
        <v>-</v>
      </c>
      <c r="K33" s="145" t="n">
        <f aca="false">H33-G33</f>
        <v>0</v>
      </c>
      <c r="M33" s="147"/>
      <c r="N33" s="162" t="str">
        <f aca="false">IFERROR(H33/M33-1,"-")</f>
        <v>-</v>
      </c>
      <c r="O33" s="162" t="str">
        <f aca="false">IFERROR(H33/M33,"-")</f>
        <v>-</v>
      </c>
      <c r="P33" s="147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X33" s="145" t="n">
        <v>0</v>
      </c>
      <c r="Y33" s="5" t="n">
        <f aca="false">H33-X33</f>
        <v>0</v>
      </c>
      <c r="Z33" s="163" t="str">
        <f aca="false">IFERROR((H33/X33)-1,"-")</f>
        <v>-</v>
      </c>
    </row>
    <row r="34" customFormat="false" ht="13.5" hidden="false" customHeight="true" outlineLevel="1" collapsed="false">
      <c r="A34" s="165" t="n">
        <v>32</v>
      </c>
      <c r="B34" s="180" t="s">
        <v>157</v>
      </c>
      <c r="C34" s="180" t="s">
        <v>87</v>
      </c>
      <c r="D34" s="167" t="s">
        <v>88</v>
      </c>
      <c r="E34" s="39" t="s">
        <v>89</v>
      </c>
      <c r="F34" s="145" t="n">
        <v>13897.42</v>
      </c>
      <c r="G34" s="145" t="n">
        <v>0</v>
      </c>
      <c r="H34" s="145" t="n">
        <v>0</v>
      </c>
      <c r="I34" s="162" t="n">
        <f aca="false">H34/$H$40</f>
        <v>0</v>
      </c>
      <c r="J34" s="162" t="str">
        <f aca="false">IFERROR(H34/G34-1,"-")</f>
        <v>-</v>
      </c>
      <c r="K34" s="145" t="n">
        <f aca="false">H34-G34</f>
        <v>0</v>
      </c>
      <c r="M34" s="147" t="n">
        <f aca="false">VLOOKUP(C34,'תקציב  '!$B:$S,10,0)*1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7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X34" s="145" t="n">
        <v>0</v>
      </c>
      <c r="Y34" s="5" t="n">
        <f aca="false">H34-X34</f>
        <v>0</v>
      </c>
      <c r="Z34" s="163" t="str">
        <f aca="false">IFERROR((H34/X34)-1,"-")</f>
        <v>-</v>
      </c>
    </row>
    <row r="35" customFormat="false" ht="13.5" hidden="false" customHeight="true" outlineLevel="1" collapsed="false">
      <c r="A35" s="165" t="n">
        <v>33</v>
      </c>
      <c r="B35" s="180" t="s">
        <v>158</v>
      </c>
      <c r="C35" s="180" t="s">
        <v>90</v>
      </c>
      <c r="D35" s="167" t="s">
        <v>91</v>
      </c>
      <c r="E35" s="39" t="s">
        <v>92</v>
      </c>
      <c r="F35" s="145" t="n">
        <v>0</v>
      </c>
      <c r="G35" s="145" t="n">
        <v>0</v>
      </c>
      <c r="H35" s="145" t="n">
        <v>0</v>
      </c>
      <c r="I35" s="162" t="n">
        <f aca="false">H35/$H$40</f>
        <v>0</v>
      </c>
      <c r="J35" s="162" t="str">
        <f aca="false">IFERROR(H35/G35-1,"-")</f>
        <v>-</v>
      </c>
      <c r="K35" s="145" t="n">
        <f aca="false">H35-G35</f>
        <v>0</v>
      </c>
      <c r="M35" s="147" t="n">
        <f aca="false">VLOOKUP(C35,'תקציב  '!$B:$S,10,0)*1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7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X35" s="145" t="n">
        <v>0</v>
      </c>
      <c r="Y35" s="5" t="n">
        <f aca="false">H35-X35</f>
        <v>0</v>
      </c>
      <c r="Z35" s="163" t="str">
        <f aca="false">IFERROR((H35/X35)-1,"-")</f>
        <v>-</v>
      </c>
    </row>
    <row r="36" customFormat="false" ht="14.25" hidden="false" customHeight="true" outlineLevel="1" collapsed="false">
      <c r="A36" s="165"/>
      <c r="B36" s="180" t="s">
        <v>159</v>
      </c>
      <c r="C36" s="180" t="s">
        <v>159</v>
      </c>
      <c r="D36" s="167" t="s">
        <v>160</v>
      </c>
      <c r="E36" s="39" t="s">
        <v>78</v>
      </c>
      <c r="F36" s="145" t="n">
        <v>0</v>
      </c>
      <c r="G36" s="145" t="n">
        <v>0</v>
      </c>
      <c r="H36" s="145" t="n">
        <v>0</v>
      </c>
      <c r="I36" s="162" t="n">
        <f aca="false">H36/$H$40</f>
        <v>0</v>
      </c>
      <c r="J36" s="162" t="str">
        <f aca="false">IFERROR(H36/G36-1,"-")</f>
        <v>-</v>
      </c>
      <c r="K36" s="145" t="n">
        <f aca="false">H36-G36</f>
        <v>0</v>
      </c>
      <c r="M36" s="147"/>
      <c r="N36" s="162" t="str">
        <f aca="false">IFERROR(H36/M36-1,"-")</f>
        <v>-</v>
      </c>
      <c r="O36" s="162" t="str">
        <f aca="false">IFERROR(H36/M36,"-")</f>
        <v>-</v>
      </c>
      <c r="P36" s="147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X36" s="145" t="n">
        <v>0</v>
      </c>
      <c r="Y36" s="5" t="n">
        <f aca="false">H36-X36</f>
        <v>0</v>
      </c>
      <c r="Z36" s="163" t="str">
        <f aca="false">IFERROR((H36/X36)-1,"-")</f>
        <v>-</v>
      </c>
    </row>
    <row r="37" customFormat="false" ht="14.25" hidden="false" customHeight="true" outlineLevel="1" collapsed="false">
      <c r="A37" s="165" t="n">
        <v>34</v>
      </c>
      <c r="B37" s="180" t="s">
        <v>161</v>
      </c>
      <c r="C37" s="180" t="s">
        <v>161</v>
      </c>
      <c r="D37" s="167" t="s">
        <v>93</v>
      </c>
      <c r="E37" s="39" t="s">
        <v>162</v>
      </c>
      <c r="F37" s="145" t="n">
        <v>0</v>
      </c>
      <c r="G37" s="145" t="n">
        <v>0</v>
      </c>
      <c r="H37" s="145" t="n">
        <v>0</v>
      </c>
      <c r="I37" s="162" t="n">
        <f aca="false">H37/$H$40</f>
        <v>0</v>
      </c>
      <c r="J37" s="162" t="str">
        <f aca="false">IFERROR(H37/G37-1,"-")</f>
        <v>-</v>
      </c>
      <c r="K37" s="145" t="n">
        <f aca="false">H37-G37</f>
        <v>0</v>
      </c>
      <c r="M37" s="147"/>
      <c r="N37" s="162" t="str">
        <f aca="false">IFERROR(H37/M37-1,"-")</f>
        <v>-</v>
      </c>
      <c r="O37" s="162" t="str">
        <f aca="false">IFERROR(H37/M37,"-")</f>
        <v>-</v>
      </c>
      <c r="P37" s="147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X37" s="145" t="n">
        <v>0</v>
      </c>
      <c r="Y37" s="5" t="n">
        <f aca="false">H37-X37</f>
        <v>0</v>
      </c>
      <c r="Z37" s="163" t="str">
        <f aca="false">IFERROR((H37/X37)-1,"-")</f>
        <v>-</v>
      </c>
    </row>
    <row r="38" customFormat="false" ht="13.5" hidden="false" customHeight="true" outlineLevel="1" collapsed="false">
      <c r="A38" s="165" t="n">
        <v>35</v>
      </c>
      <c r="B38" s="180" t="s">
        <v>94</v>
      </c>
      <c r="C38" s="180" t="s">
        <v>94</v>
      </c>
      <c r="D38" s="167" t="s">
        <v>95</v>
      </c>
      <c r="E38" s="39" t="s">
        <v>51</v>
      </c>
      <c r="F38" s="145" t="n">
        <v>0</v>
      </c>
      <c r="G38" s="145" t="n">
        <v>0</v>
      </c>
      <c r="H38" s="145" t="n">
        <v>0</v>
      </c>
      <c r="I38" s="162" t="n">
        <f aca="false">H38/$H$40</f>
        <v>0</v>
      </c>
      <c r="J38" s="162" t="str">
        <f aca="false">IFERROR(H38/G38-1,"-")</f>
        <v>-</v>
      </c>
      <c r="K38" s="145" t="n">
        <f aca="false">H38-G38</f>
        <v>0</v>
      </c>
      <c r="M38" s="147" t="n">
        <f aca="false">VLOOKUP(C38,'תקציב  '!$B:$S,10,0)*1</f>
        <v>0</v>
      </c>
      <c r="N38" s="162" t="str">
        <f aca="false">IFERROR(H38/M38-1,"-")</f>
        <v>-</v>
      </c>
      <c r="O38" s="162" t="str">
        <f aca="false">IFERROR(H38/M38,"-")</f>
        <v>-</v>
      </c>
      <c r="P38" s="147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X38" s="145" t="n">
        <v>0</v>
      </c>
      <c r="Y38" s="5" t="n">
        <f aca="false">H38-X38</f>
        <v>0</v>
      </c>
      <c r="Z38" s="163" t="str">
        <f aca="false">IFERROR((H38/X38)-1,"-")</f>
        <v>-</v>
      </c>
    </row>
    <row r="39" customFormat="false" ht="13.5" hidden="false" customHeight="true" outlineLevel="1" collapsed="false">
      <c r="A39" s="165" t="n">
        <v>36</v>
      </c>
      <c r="B39" s="180" t="s">
        <v>97</v>
      </c>
      <c r="C39" s="180" t="s">
        <v>97</v>
      </c>
      <c r="D39" s="167" t="s">
        <v>97</v>
      </c>
      <c r="E39" s="39"/>
      <c r="F39" s="145"/>
      <c r="G39" s="145"/>
      <c r="H39" s="145" t="n">
        <v>0</v>
      </c>
      <c r="I39" s="162" t="n">
        <f aca="false">H39/$H$40</f>
        <v>0</v>
      </c>
      <c r="J39" s="162" t="str">
        <f aca="false">IFERROR(H39/G39-1,"-")</f>
        <v>-</v>
      </c>
      <c r="K39" s="145" t="n">
        <f aca="false">H39-G39</f>
        <v>0</v>
      </c>
      <c r="M39" s="147" t="n">
        <f aca="false">VLOOKUP(C39,'תקציב  '!$B:$S,10,0)*1</f>
        <v>0</v>
      </c>
      <c r="N39" s="162" t="str">
        <f aca="false">IFERROR(H39/M39-1,"-")</f>
        <v>-</v>
      </c>
      <c r="O39" s="162" t="str">
        <f aca="false">IFERROR(H39/M39,"-")</f>
        <v>-</v>
      </c>
      <c r="P39" s="147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X39" s="145" t="n">
        <v>0</v>
      </c>
      <c r="Y39" s="5" t="n">
        <f aca="false">H39-X39</f>
        <v>0</v>
      </c>
      <c r="Z39" s="163" t="str">
        <f aca="false">IFERROR((H39/X39)-1,"-")</f>
        <v>-</v>
      </c>
    </row>
    <row r="40" s="174" customFormat="true" ht="15" hidden="false" customHeight="true" outlineLevel="0" collapsed="false">
      <c r="A40" s="165"/>
      <c r="B40" s="181"/>
      <c r="C40" s="181"/>
      <c r="D40" s="182" t="s">
        <v>98</v>
      </c>
      <c r="E40" s="182"/>
      <c r="F40" s="183" t="n">
        <f aca="false">SUM(F20:F39)+F51+F52</f>
        <v>670378.06</v>
      </c>
      <c r="G40" s="183" t="n">
        <f aca="false">SUM(G20:G39)+G51+G52</f>
        <v>956924.9</v>
      </c>
      <c r="H40" s="183" t="n">
        <f aca="false">SUM(H20:H39)+H51+H52</f>
        <v>506813.83</v>
      </c>
      <c r="I40" s="184" t="n">
        <f aca="false">H40/$H$41</f>
        <v>0.23182716870985</v>
      </c>
      <c r="J40" s="184" t="n">
        <f aca="false">IFERROR(H40/G40-1,"-")</f>
        <v>-0.470372408534881</v>
      </c>
      <c r="K40" s="183" t="n">
        <f aca="false">SUM(K20:K39)+K51+K52</f>
        <v>-450111.07</v>
      </c>
      <c r="M40" s="183" t="n">
        <f aca="false">SUM(M20:M39)+M51+M52</f>
        <v>1015167.992175</v>
      </c>
      <c r="N40" s="184" t="n">
        <f aca="false">IFERROR(H40/M40-1,"-")</f>
        <v>-0.500758658757404</v>
      </c>
      <c r="O40" s="184" t="n">
        <f aca="false">IFERROR(H40/M40,"-")</f>
        <v>0.499241341242596</v>
      </c>
      <c r="P40" s="183" t="n">
        <f aca="false">SUM(P20:P39)+P51+P52</f>
        <v>-508354.162175</v>
      </c>
      <c r="R40" s="183" t="n">
        <f aca="false">SUM(R20:R39)+R51+R52</f>
        <v>565966.8</v>
      </c>
      <c r="S40" s="184" t="n">
        <f aca="false">IFERROR(H40/R40-1,"-")</f>
        <v>-0.104516678363466</v>
      </c>
      <c r="T40" s="184" t="n">
        <f aca="false">IFERROR(H40/R40,"-")</f>
        <v>0.895483321636534</v>
      </c>
      <c r="U40" s="183" t="n">
        <f aca="false">H40-R40</f>
        <v>-59152.9700000001</v>
      </c>
      <c r="X40" s="183" t="n">
        <f aca="false">SUM(X20:X39)+X51+X52</f>
        <v>506813.83</v>
      </c>
      <c r="Y40" s="175" t="n">
        <f aca="false">H40-X40</f>
        <v>0</v>
      </c>
      <c r="Z40" s="176" t="n">
        <f aca="false">IFERROR((H40/X40)-1,"-")</f>
        <v>0</v>
      </c>
    </row>
    <row r="41" s="174" customFormat="true" ht="15" hidden="false" customHeight="true" outlineLevel="0" collapsed="false">
      <c r="A41" s="165"/>
      <c r="B41" s="181"/>
      <c r="C41" s="181"/>
      <c r="D41" s="185" t="s">
        <v>163</v>
      </c>
      <c r="E41" s="185"/>
      <c r="F41" s="186" t="n">
        <f aca="false">F40+F19</f>
        <v>2232491.129</v>
      </c>
      <c r="G41" s="186" t="n">
        <f aca="false">G40+G19</f>
        <v>2503790.25</v>
      </c>
      <c r="H41" s="186" t="n">
        <f aca="false">H40+H19</f>
        <v>2186170.986</v>
      </c>
      <c r="I41" s="186"/>
      <c r="J41" s="134" t="n">
        <f aca="false">IFERROR(H41/G41-1,"-")</f>
        <v>-0.126855380158145</v>
      </c>
      <c r="K41" s="186" t="n">
        <f aca="false">K40+K19</f>
        <v>-317619.264000006</v>
      </c>
      <c r="M41" s="186" t="n">
        <f aca="false">M40+M19</f>
        <v>3827194.65685485</v>
      </c>
      <c r="N41" s="134" t="n">
        <f aca="false">IFERROR(H41/M41-1,"-")</f>
        <v>-0.428779776830957</v>
      </c>
      <c r="O41" s="134" t="n">
        <f aca="false">IFERROR(H41/M41,"-")</f>
        <v>0.571220223169043</v>
      </c>
      <c r="P41" s="186" t="n">
        <f aca="false">P40+P19</f>
        <v>-1641023.67085485</v>
      </c>
      <c r="R41" s="186" t="n">
        <f aca="false">R40+R19</f>
        <v>2665966.8</v>
      </c>
      <c r="S41" s="134" t="n">
        <f aca="false">IFERROR(H41/R41-1,"-")</f>
        <v>-0.17997066355065</v>
      </c>
      <c r="T41" s="134" t="n">
        <f aca="false">IFERROR(H41/R41,"-")</f>
        <v>0.82002933644935</v>
      </c>
      <c r="U41" s="186" t="n">
        <f aca="false">H41-R41</f>
        <v>-479795.814000003</v>
      </c>
      <c r="X41" s="186" t="n">
        <f aca="false">X40+X19</f>
        <v>2170423.354</v>
      </c>
      <c r="Y41" s="175" t="n">
        <f aca="false">H41-X41</f>
        <v>15747.6319999998</v>
      </c>
      <c r="Z41" s="176" t="n">
        <f aca="false">IFERROR((H41/X41)-1,"-")</f>
        <v>0.00725555775603759</v>
      </c>
    </row>
    <row r="42" customFormat="false" ht="15" hidden="true" customHeight="true" outlineLevel="0" collapsed="false">
      <c r="C42" s="187" t="s">
        <v>117</v>
      </c>
      <c r="D42" s="187"/>
      <c r="E42" s="187"/>
      <c r="F42" s="188" t="n">
        <f aca="false">F40/F41</f>
        <v>0.30028251906214</v>
      </c>
      <c r="G42" s="188" t="n">
        <f aca="false">G40/G41</f>
        <v>0.382190520951185</v>
      </c>
      <c r="H42" s="188" t="n">
        <f aca="false">H40/H41</f>
        <v>0.23182716870985</v>
      </c>
      <c r="I42" s="189"/>
      <c r="J42" s="190"/>
      <c r="K42" s="60"/>
      <c r="M42" s="191" t="n">
        <f aca="false">M41-'תקציב  '!K41*1</f>
        <v>0</v>
      </c>
      <c r="N42" s="191"/>
      <c r="O42" s="191"/>
      <c r="P42" s="189"/>
      <c r="R42" s="189"/>
      <c r="S42" s="189"/>
      <c r="T42" s="189"/>
      <c r="U42" s="189"/>
      <c r="X42" s="188" t="n">
        <f aca="false">X40/X41</f>
        <v>0.233509204121843</v>
      </c>
    </row>
    <row r="43" customFormat="false" ht="14.25" hidden="false" customHeight="true" outlineLevel="0" collapsed="false">
      <c r="F43" s="144" t="n">
        <v>0</v>
      </c>
      <c r="K43" s="5"/>
    </row>
    <row r="50" customFormat="false" ht="14.25" hidden="false" customHeight="true" outlineLevel="0" collapsed="false">
      <c r="A50" s="159"/>
      <c r="B50" s="160"/>
      <c r="C50" s="160" t="s">
        <v>164</v>
      </c>
      <c r="D50" s="161" t="s">
        <v>164</v>
      </c>
      <c r="E50" s="39" t="s">
        <v>32</v>
      </c>
      <c r="F50" s="145"/>
      <c r="G50" s="145"/>
      <c r="H50" s="145" t="n">
        <v>0</v>
      </c>
      <c r="I50" s="162" t="n">
        <f aca="false">H50/$H$19</f>
        <v>0</v>
      </c>
      <c r="J50" s="162" t="str">
        <f aca="false">IFERROR(H50/G50-1,"-")</f>
        <v>-</v>
      </c>
      <c r="K50" s="145" t="n">
        <f aca="false">H50-G50</f>
        <v>0</v>
      </c>
      <c r="M50" s="147"/>
      <c r="N50" s="162" t="str">
        <f aca="false">IFERROR(H50/M50-1,"-")</f>
        <v>-</v>
      </c>
      <c r="O50" s="162" t="str">
        <f aca="false">IFERROR(H50/M50,"-")</f>
        <v>-</v>
      </c>
      <c r="P50" s="147" t="n">
        <f aca="false">H50-M50</f>
        <v>0</v>
      </c>
    </row>
    <row r="51" customFormat="false" ht="14.25" hidden="false" customHeight="true" outlineLevel="0" collapsed="false">
      <c r="A51" s="165"/>
      <c r="B51" s="180"/>
      <c r="C51" s="180" t="s">
        <v>165</v>
      </c>
      <c r="D51" s="167" t="s">
        <v>165</v>
      </c>
      <c r="E51" s="39" t="s">
        <v>166</v>
      </c>
      <c r="F51" s="145"/>
      <c r="G51" s="145"/>
      <c r="H51" s="145" t="n">
        <v>0</v>
      </c>
      <c r="I51" s="162" t="n">
        <f aca="false">H51/$H$40</f>
        <v>0</v>
      </c>
      <c r="J51" s="162" t="str">
        <f aca="false">IFERROR(H51/G51-1,"-")</f>
        <v>-</v>
      </c>
      <c r="K51" s="145" t="n">
        <f aca="false">H51-G51</f>
        <v>0</v>
      </c>
      <c r="M51" s="147"/>
      <c r="N51" s="162" t="str">
        <f aca="false">IFERROR(H51/M51-1,"-")</f>
        <v>-</v>
      </c>
      <c r="O51" s="162" t="str">
        <f aca="false">IFERROR(H51/M51,"-")</f>
        <v>-</v>
      </c>
      <c r="P51" s="147" t="n">
        <f aca="false">H51-M51</f>
        <v>0</v>
      </c>
    </row>
    <row r="52" customFormat="false" ht="14.25" hidden="false" customHeight="true" outlineLevel="0" collapsed="false">
      <c r="A52" s="165"/>
      <c r="B52" s="180"/>
      <c r="C52" s="180" t="s">
        <v>167</v>
      </c>
      <c r="D52" s="167" t="s">
        <v>167</v>
      </c>
      <c r="E52" s="39" t="s">
        <v>167</v>
      </c>
      <c r="F52" s="145"/>
      <c r="G52" s="145"/>
      <c r="H52" s="145" t="n">
        <v>0</v>
      </c>
      <c r="I52" s="162" t="n">
        <f aca="false">H52/$H$40</f>
        <v>0</v>
      </c>
      <c r="J52" s="162" t="str">
        <f aca="false">IFERROR(H52/G52-1,"-")</f>
        <v>-</v>
      </c>
      <c r="K52" s="145" t="n">
        <f aca="false">H52-G52</f>
        <v>0</v>
      </c>
      <c r="M52" s="147"/>
      <c r="N52" s="162" t="str">
        <f aca="false">IFERROR(H52/M52-1,"-")</f>
        <v>-</v>
      </c>
      <c r="O52" s="162" t="str">
        <f aca="false">IFERROR(H52/M52,"-")</f>
        <v>-</v>
      </c>
      <c r="P52" s="147" t="n">
        <f aca="false">H52-M52</f>
        <v>0</v>
      </c>
    </row>
  </sheetData>
  <mergeCells count="1">
    <mergeCell ref="C42:E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Z45" activeCellId="0" sqref="Z45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90" width="26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10.38"/>
    <col collapsed="false" customWidth="true" hidden="false" outlineLevel="0" max="9" min="9" style="1" width="6.88"/>
    <col collapsed="false" customWidth="true" hidden="false" outlineLevel="0" max="10" min="10" style="118" width="10.75"/>
    <col collapsed="false" customWidth="true" hidden="false" outlineLevel="0" max="11" min="11" style="1" width="11.88"/>
    <col collapsed="false" customWidth="true" hidden="false" outlineLevel="0" max="12" min="12" style="1" width="4.25"/>
    <col collapsed="false" customWidth="true" hidden="false" outlineLevel="0" max="13" min="13" style="1" width="10.38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1"/>
    <col collapsed="false" customWidth="true" hidden="false" outlineLevel="0" max="17" min="17" style="1" width="3"/>
    <col collapsed="false" customWidth="true" hidden="false" outlineLevel="0" max="18" min="18" style="1" width="10.38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2" min="22" style="1" width="3.5"/>
    <col collapsed="false" customWidth="true" hidden="false" outlineLevel="0" max="23" min="23" style="1" width="10.38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C1" s="149" t="s">
        <v>179</v>
      </c>
      <c r="D1" s="149" t="s">
        <v>179</v>
      </c>
      <c r="E1" s="7"/>
      <c r="F1" s="7"/>
      <c r="G1" s="7"/>
      <c r="H1" s="7"/>
      <c r="I1" s="7"/>
      <c r="J1" s="192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C2" s="38"/>
      <c r="D2" s="38"/>
      <c r="E2" s="154" t="s">
        <v>3</v>
      </c>
      <c r="F2" s="154" t="n">
        <v>8.2024</v>
      </c>
      <c r="G2" s="154" t="n">
        <v>8.2025</v>
      </c>
      <c r="H2" s="154" t="n">
        <v>8.2026</v>
      </c>
      <c r="I2" s="155" t="s">
        <v>174</v>
      </c>
      <c r="J2" s="193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8" t="n">
        <v>8.2026</v>
      </c>
      <c r="X2" s="157"/>
    </row>
    <row r="3" customFormat="false" ht="14.25" hidden="false" customHeight="true" outlineLevel="1" collapsed="false">
      <c r="A3" s="159" t="n">
        <v>5</v>
      </c>
      <c r="B3" s="85" t="s">
        <v>131</v>
      </c>
      <c r="C3" s="161" t="s">
        <v>31</v>
      </c>
      <c r="D3" s="161" t="s">
        <v>31</v>
      </c>
      <c r="E3" s="145" t="s">
        <v>32</v>
      </c>
      <c r="F3" s="145" t="n">
        <v>301190.6</v>
      </c>
      <c r="G3" s="145" t="n">
        <v>243929.1</v>
      </c>
      <c r="H3" s="145" t="n">
        <v>299421.55</v>
      </c>
      <c r="I3" s="162" t="n">
        <f aca="false">IFERROR(H3/$H$19,"")</f>
        <v>0.151648784594412</v>
      </c>
      <c r="J3" s="194" t="n">
        <f aca="false">IFERROR(H3/G3-1,"")</f>
        <v>0.227494177611445</v>
      </c>
      <c r="K3" s="145" t="n">
        <f aca="false">H3-G3</f>
        <v>55492.45</v>
      </c>
      <c r="M3" s="145" t="n">
        <f aca="false">VLOOKUP(C3,'תקציב  '!$B:$S,11,0)*1</f>
        <v>235079.365079365</v>
      </c>
      <c r="N3" s="162" t="n">
        <f aca="false">IFERROR(H3/M3-1,"-")</f>
        <v>0.273704095205942</v>
      </c>
      <c r="O3" s="162" t="n">
        <f aca="false">IFERROR(H3/M3,"-")</f>
        <v>1.27370409520594</v>
      </c>
      <c r="P3" s="145" t="n">
        <f aca="false">H3-M3</f>
        <v>64342.184920635</v>
      </c>
      <c r="R3" s="147" t="n">
        <v>200000</v>
      </c>
      <c r="S3" s="162" t="n">
        <f aca="false">IFERROR(H3/R3-1,"-")</f>
        <v>0.49710775</v>
      </c>
      <c r="T3" s="162" t="n">
        <f aca="false">IFERROR(H3/R3,"-")</f>
        <v>1.49710775</v>
      </c>
      <c r="U3" s="147" t="n">
        <f aca="false">H3-R3</f>
        <v>99421.55</v>
      </c>
      <c r="W3" s="145" t="n">
        <v>299421.55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false" customHeight="true" outlineLevel="1" collapsed="false">
      <c r="A4" s="164" t="n">
        <v>1</v>
      </c>
      <c r="B4" s="24" t="s">
        <v>33</v>
      </c>
      <c r="C4" s="161" t="s">
        <v>33</v>
      </c>
      <c r="D4" s="161" t="s">
        <v>33</v>
      </c>
      <c r="E4" s="145" t="s">
        <v>32</v>
      </c>
      <c r="F4" s="145" t="n">
        <v>429300.053</v>
      </c>
      <c r="G4" s="145" t="n">
        <v>495074.58</v>
      </c>
      <c r="H4" s="145" t="n">
        <v>588822.689</v>
      </c>
      <c r="I4" s="162" t="n">
        <f aca="false">IFERROR(H4/$H$19,"")</f>
        <v>0.298222506457747</v>
      </c>
      <c r="J4" s="194" t="n">
        <f aca="false">IFERROR(H4/G4-1,"")</f>
        <v>0.189361588712553</v>
      </c>
      <c r="K4" s="145" t="n">
        <f aca="false">H4-G4</f>
        <v>93748.109</v>
      </c>
      <c r="M4" s="145" t="n">
        <f aca="false">VLOOKUP(C4,'תקציב  '!$B:$S,11,0)*1</f>
        <v>605698.412698413</v>
      </c>
      <c r="N4" s="162" t="n">
        <f aca="false">IFERROR(H4/M4-1,"-")</f>
        <v>-0.0278615947220844</v>
      </c>
      <c r="O4" s="162" t="n">
        <f aca="false">IFERROR(H4/M4,"-")</f>
        <v>0.972138405277916</v>
      </c>
      <c r="P4" s="145" t="n">
        <f aca="false">H4-M4</f>
        <v>-16875.723698413</v>
      </c>
      <c r="R4" s="147" t="n">
        <v>550000</v>
      </c>
      <c r="S4" s="162" t="n">
        <f aca="false">IFERROR(H4/R4-1,"-")</f>
        <v>0.0705867072727273</v>
      </c>
      <c r="T4" s="162" t="n">
        <f aca="false">IFERROR(H4/R4,"-")</f>
        <v>1.07058670727273</v>
      </c>
      <c r="U4" s="147" t="n">
        <f aca="false">H4-R4</f>
        <v>38822.689</v>
      </c>
      <c r="W4" s="145" t="n">
        <v>546513.513</v>
      </c>
      <c r="X4" s="5" t="n">
        <f aca="false">H4-W4</f>
        <v>42309.176</v>
      </c>
      <c r="Y4" s="163" t="n">
        <f aca="false">IFERROR((H4/W4)-1,"-")</f>
        <v>0.0774165230933639</v>
      </c>
    </row>
    <row r="5" customFormat="false" ht="14.25" hidden="false" customHeight="true" outlineLevel="1" collapsed="false">
      <c r="A5" s="164" t="n">
        <v>7</v>
      </c>
      <c r="B5" s="24" t="s">
        <v>34</v>
      </c>
      <c r="C5" s="161" t="s">
        <v>34</v>
      </c>
      <c r="D5" s="161" t="s">
        <v>34</v>
      </c>
      <c r="E5" s="145" t="s">
        <v>32</v>
      </c>
      <c r="F5" s="145" t="n">
        <v>96254.067</v>
      </c>
      <c r="G5" s="145" t="n">
        <v>73631.74</v>
      </c>
      <c r="H5" s="145" t="n">
        <v>70518.812</v>
      </c>
      <c r="I5" s="162" t="n">
        <f aca="false">IFERROR(H5/$H$19,"")</f>
        <v>0.0357158398613656</v>
      </c>
      <c r="J5" s="194" t="n">
        <f aca="false">IFERROR(H5/G5-1,"")</f>
        <v>-0.0422769854413327</v>
      </c>
      <c r="K5" s="145" t="n">
        <f aca="false">H5-G5</f>
        <v>-3112.928</v>
      </c>
      <c r="M5" s="145" t="n">
        <f aca="false">VLOOKUP(C5,'תקציב  '!$B:$S,11,0)*1</f>
        <v>78571.4285714286</v>
      </c>
      <c r="N5" s="162" t="n">
        <f aca="false">IFERROR(H5/M5-1,"-")</f>
        <v>-0.102487847272727</v>
      </c>
      <c r="O5" s="162" t="n">
        <f aca="false">IFERROR(H5/M5,"-")</f>
        <v>0.897512152727273</v>
      </c>
      <c r="P5" s="145" t="n">
        <f aca="false">H5-M5</f>
        <v>-8052.61657142859</v>
      </c>
      <c r="R5" s="147" t="n">
        <v>100000</v>
      </c>
      <c r="S5" s="162" t="n">
        <f aca="false">IFERROR(H5/R5-1,"-")</f>
        <v>-0.29481188</v>
      </c>
      <c r="T5" s="162" t="n">
        <f aca="false">IFERROR(H5/R5,"-")</f>
        <v>0.70518812</v>
      </c>
      <c r="U5" s="147" t="n">
        <f aca="false">H5-R5</f>
        <v>-29481.188</v>
      </c>
      <c r="W5" s="145" t="n">
        <v>67219.624</v>
      </c>
      <c r="X5" s="5" t="n">
        <f aca="false">H5-W5</f>
        <v>3299.18800000001</v>
      </c>
      <c r="Y5" s="163" t="n">
        <f aca="false">IFERROR((H5/W5)-1,"-")</f>
        <v>0.0490807267830002</v>
      </c>
    </row>
    <row r="6" customFormat="false" ht="14.25" hidden="false" customHeight="true" outlineLevel="1" collapsed="false">
      <c r="A6" s="164" t="n">
        <v>4</v>
      </c>
      <c r="B6" s="24" t="s">
        <v>35</v>
      </c>
      <c r="C6" s="161" t="s">
        <v>35</v>
      </c>
      <c r="D6" s="161" t="s">
        <v>35</v>
      </c>
      <c r="E6" s="145" t="s">
        <v>32</v>
      </c>
      <c r="F6" s="145" t="n">
        <v>112372.337</v>
      </c>
      <c r="G6" s="145" t="n">
        <v>179847.32</v>
      </c>
      <c r="H6" s="145" t="n">
        <v>160218.084</v>
      </c>
      <c r="I6" s="162" t="n">
        <f aca="false">IFERROR(H6/$H$19,"")</f>
        <v>0.0811460554814625</v>
      </c>
      <c r="J6" s="194" t="n">
        <f aca="false">IFERROR(H6/G6-1,"")</f>
        <v>-0.109143889383506</v>
      </c>
      <c r="K6" s="145" t="n">
        <f aca="false">H6-G6</f>
        <v>-19629.236</v>
      </c>
      <c r="M6" s="145" t="n">
        <f aca="false">VLOOKUP(B6,'תקציב  '!$B:$S,11,0)*1</f>
        <v>170873.015873016</v>
      </c>
      <c r="N6" s="162" t="n">
        <f aca="false">IFERROR(H6/M6-1,"-")</f>
        <v>-0.0623558483975855</v>
      </c>
      <c r="O6" s="162" t="n">
        <f aca="false">IFERROR(H6/M6,"-")</f>
        <v>0.937644151602415</v>
      </c>
      <c r="P6" s="145" t="n">
        <f aca="false">H6-M6</f>
        <v>-10654.931873016</v>
      </c>
      <c r="R6" s="147" t="n">
        <v>200000</v>
      </c>
      <c r="S6" s="162" t="n">
        <f aca="false">IFERROR(H6/R6-1,"-")</f>
        <v>-0.19890958</v>
      </c>
      <c r="T6" s="162" t="n">
        <f aca="false">IFERROR(H6/R6,"-")</f>
        <v>0.80109042</v>
      </c>
      <c r="U6" s="147" t="n">
        <f aca="false">H6-R6</f>
        <v>-39781.916</v>
      </c>
      <c r="W6" s="145" t="n">
        <v>155738.791</v>
      </c>
      <c r="X6" s="5" t="n">
        <f aca="false">H6-W6</f>
        <v>4479.29300000001</v>
      </c>
      <c r="Y6" s="163" t="n">
        <f aca="false">IFERROR((H6/W6)-1,"-")</f>
        <v>0.0287615755280906</v>
      </c>
    </row>
    <row r="7" customFormat="false" ht="14.25" hidden="false" customHeight="true" outlineLevel="1" collapsed="false">
      <c r="A7" s="164" t="n">
        <v>3</v>
      </c>
      <c r="B7" s="85" t="s">
        <v>132</v>
      </c>
      <c r="C7" s="161" t="s">
        <v>36</v>
      </c>
      <c r="D7" s="161" t="s">
        <v>36</v>
      </c>
      <c r="E7" s="145" t="s">
        <v>32</v>
      </c>
      <c r="F7" s="145" t="n">
        <v>416484</v>
      </c>
      <c r="G7" s="145" t="n">
        <v>273604.4</v>
      </c>
      <c r="H7" s="145" t="n">
        <v>295436</v>
      </c>
      <c r="I7" s="162" t="n">
        <f aca="false">IFERROR(H7/$H$19,"")</f>
        <v>0.149630213073958</v>
      </c>
      <c r="J7" s="194" t="n">
        <f aca="false">IFERROR(H7/G7-1,"")</f>
        <v>0.0797925764351741</v>
      </c>
      <c r="K7" s="145" t="n">
        <f aca="false">H7-G7</f>
        <v>21831.6</v>
      </c>
      <c r="M7" s="145" t="n">
        <f aca="false">VLOOKUP(C7,'תקציב  '!$B:$S,11,0)*1</f>
        <v>365000</v>
      </c>
      <c r="N7" s="162" t="n">
        <f aca="false">IFERROR(H7/M7-1,"-")</f>
        <v>-0.190586301369863</v>
      </c>
      <c r="O7" s="162" t="n">
        <f aca="false">IFERROR(H7/M7,"-")</f>
        <v>0.809413698630137</v>
      </c>
      <c r="P7" s="145" t="n">
        <f aca="false">H7-M7</f>
        <v>-69564</v>
      </c>
      <c r="R7" s="147" t="n">
        <v>330000</v>
      </c>
      <c r="S7" s="162" t="n">
        <f aca="false">IFERROR(H7/R7-1,"-")</f>
        <v>-0.104739393939394</v>
      </c>
      <c r="T7" s="162" t="n">
        <f aca="false">IFERROR(H7/R7,"-")</f>
        <v>0.895260606060606</v>
      </c>
      <c r="U7" s="147" t="n">
        <f aca="false">H7-R7</f>
        <v>-34564</v>
      </c>
      <c r="W7" s="145" t="n">
        <v>295436</v>
      </c>
      <c r="X7" s="5" t="n">
        <f aca="false">H7-W7</f>
        <v>0</v>
      </c>
      <c r="Y7" s="163" t="n">
        <f aca="false">IFERROR((H7/W7)-1,"-")</f>
        <v>0</v>
      </c>
    </row>
    <row r="8" customFormat="false" ht="14.25" hidden="false" customHeight="true" outlineLevel="1" collapsed="false">
      <c r="A8" s="164" t="n">
        <v>8</v>
      </c>
      <c r="B8" s="85" t="s">
        <v>133</v>
      </c>
      <c r="C8" s="161" t="s">
        <v>37</v>
      </c>
      <c r="D8" s="161" t="s">
        <v>37</v>
      </c>
      <c r="E8" s="145" t="s">
        <v>32</v>
      </c>
      <c r="F8" s="145" t="n">
        <v>64245.4</v>
      </c>
      <c r="G8" s="145" t="n">
        <v>81013.09</v>
      </c>
      <c r="H8" s="145" t="n">
        <v>73310.601</v>
      </c>
      <c r="I8" s="162" t="n">
        <f aca="false">IFERROR(H8/$H$19,"")</f>
        <v>0.0371298042493465</v>
      </c>
      <c r="J8" s="194" t="n">
        <f aca="false">IFERROR(H8/G8-1,"")</f>
        <v>-0.095077091862562</v>
      </c>
      <c r="K8" s="145" t="n">
        <f aca="false">H8-G8</f>
        <v>-7702.489</v>
      </c>
      <c r="M8" s="145" t="n">
        <f aca="false">VLOOKUP(C8,'תקציב  '!$B:$S,11,0)*1</f>
        <v>107301.587301587</v>
      </c>
      <c r="N8" s="162" t="n">
        <f aca="false">IFERROR(H8/M8-1,"-")</f>
        <v>-0.316779901923075</v>
      </c>
      <c r="O8" s="162" t="n">
        <f aca="false">IFERROR(H8/M8,"-")</f>
        <v>0.683220098076925</v>
      </c>
      <c r="P8" s="145" t="n">
        <f aca="false">H8-M8</f>
        <v>-33990.986301587</v>
      </c>
      <c r="R8" s="147" t="n">
        <v>100000</v>
      </c>
      <c r="S8" s="162" t="n">
        <f aca="false">IFERROR(H8/R8-1,"-")</f>
        <v>-0.26689399</v>
      </c>
      <c r="T8" s="162" t="n">
        <f aca="false">IFERROR(H8/R8,"-")</f>
        <v>0.73310601</v>
      </c>
      <c r="U8" s="147" t="n">
        <f aca="false">H8-R8</f>
        <v>-26689.399</v>
      </c>
      <c r="W8" s="145" t="n">
        <v>68722.563</v>
      </c>
      <c r="X8" s="5" t="n">
        <f aca="false">H8-W8</f>
        <v>4588.038</v>
      </c>
      <c r="Y8" s="163" t="n">
        <f aca="false">IFERROR((H8/W8)-1,"-")</f>
        <v>0.066761741700466</v>
      </c>
    </row>
    <row r="9" customFormat="false" ht="14.25" hidden="false" customHeight="true" outlineLevel="1" collapsed="false">
      <c r="A9" s="164" t="n">
        <v>6</v>
      </c>
      <c r="B9" s="85" t="s">
        <v>134</v>
      </c>
      <c r="C9" s="161" t="s">
        <v>38</v>
      </c>
      <c r="D9" s="161" t="s">
        <v>38</v>
      </c>
      <c r="E9" s="145" t="s">
        <v>32</v>
      </c>
      <c r="F9" s="145" t="n">
        <v>62739.61</v>
      </c>
      <c r="G9" s="145" t="n">
        <v>61998.83</v>
      </c>
      <c r="H9" s="145" t="n">
        <v>76847.55</v>
      </c>
      <c r="I9" s="162" t="n">
        <f aca="false">IFERROR(H9/$H$19,"")</f>
        <v>0.0389211716944166</v>
      </c>
      <c r="J9" s="194" t="n">
        <f aca="false">IFERROR(H9/G9-1,"")</f>
        <v>0.239500003467807</v>
      </c>
      <c r="K9" s="145" t="n">
        <f aca="false">H9-G9</f>
        <v>14848.72</v>
      </c>
      <c r="M9" s="145" t="n">
        <f aca="false">VLOOKUP(C9,'תקציב  '!$B:$S,11,0)*1</f>
        <v>177087.301587302</v>
      </c>
      <c r="N9" s="162" t="n">
        <f aca="false">IFERROR(H9/M9-1,"-")</f>
        <v>-0.566047089140861</v>
      </c>
      <c r="O9" s="162" t="n">
        <f aca="false">IFERROR(H9/M9,"-")</f>
        <v>0.433952910859139</v>
      </c>
      <c r="P9" s="145" t="n">
        <f aca="false">H9-M9</f>
        <v>-100239.751587302</v>
      </c>
      <c r="R9" s="147" t="n">
        <v>100000</v>
      </c>
      <c r="S9" s="162" t="n">
        <f aca="false">IFERROR(H9/R9-1,"-")</f>
        <v>-0.2315245</v>
      </c>
      <c r="T9" s="162" t="n">
        <f aca="false">IFERROR(H9/R9,"-")</f>
        <v>0.7684755</v>
      </c>
      <c r="U9" s="147" t="n">
        <f aca="false">H9-R9</f>
        <v>-23152.45</v>
      </c>
      <c r="W9" s="145" t="n">
        <v>76847.55</v>
      </c>
      <c r="X9" s="5" t="n">
        <f aca="false">H9-W9</f>
        <v>0</v>
      </c>
      <c r="Y9" s="163" t="n">
        <f aca="false">IFERROR((H9/W9)-1,"-")</f>
        <v>0</v>
      </c>
    </row>
    <row r="10" customFormat="false" ht="14.25" hidden="false" customHeight="true" outlineLevel="1" collapsed="false">
      <c r="A10" s="165" t="n">
        <v>10</v>
      </c>
      <c r="B10" s="85" t="s">
        <v>135</v>
      </c>
      <c r="C10" s="167" t="s">
        <v>39</v>
      </c>
      <c r="D10" s="167" t="s">
        <v>39</v>
      </c>
      <c r="E10" s="145" t="s">
        <v>32</v>
      </c>
      <c r="F10" s="145" t="n">
        <v>18126.58</v>
      </c>
      <c r="G10" s="145" t="n">
        <v>12420.51</v>
      </c>
      <c r="H10" s="145" t="n">
        <v>4321.85</v>
      </c>
      <c r="I10" s="162" t="n">
        <f aca="false">IFERROR(H10/$H$19,"")</f>
        <v>0.00218889822626114</v>
      </c>
      <c r="J10" s="194" t="n">
        <f aca="false">IFERROR(H10/G10-1,"")</f>
        <v>-0.652039247985791</v>
      </c>
      <c r="K10" s="145" t="n">
        <f aca="false">H10-G10</f>
        <v>-8098.66</v>
      </c>
      <c r="M10" s="145" t="n">
        <f aca="false">VLOOKUP(C10,'תקציב  '!$B:$S,11,0)*1</f>
        <v>16587.3015873016</v>
      </c>
      <c r="N10" s="162" t="n">
        <f aca="false">IFERROR(H10/M10-1,"-")</f>
        <v>-0.739448277511962</v>
      </c>
      <c r="O10" s="162" t="n">
        <f aca="false">IFERROR(H10/M10,"-")</f>
        <v>0.260551722488038</v>
      </c>
      <c r="P10" s="145" t="n">
        <f aca="false">H10-M10</f>
        <v>-12265.4515873016</v>
      </c>
      <c r="R10" s="147" t="n">
        <v>15000</v>
      </c>
      <c r="S10" s="162" t="n">
        <f aca="false">IFERROR(H10/R10-1,"-")</f>
        <v>-0.711876666666667</v>
      </c>
      <c r="T10" s="162" t="n">
        <f aca="false">IFERROR(H10/R10,"-")</f>
        <v>0.288123333333333</v>
      </c>
      <c r="U10" s="147" t="n">
        <f aca="false">H10-R10</f>
        <v>-10678.15</v>
      </c>
      <c r="W10" s="145" t="n">
        <v>4321.85</v>
      </c>
      <c r="X10" s="5" t="n">
        <f aca="false">H10-W10</f>
        <v>0</v>
      </c>
      <c r="Y10" s="163" t="n">
        <f aca="false">IFERROR((H10/W10)-1,"-")</f>
        <v>0</v>
      </c>
    </row>
    <row r="11" customFormat="false" ht="14.25" hidden="false" customHeight="true" outlineLevel="1" collapsed="false">
      <c r="A11" s="164" t="n">
        <v>11</v>
      </c>
      <c r="B11" s="85" t="s">
        <v>136</v>
      </c>
      <c r="C11" s="161" t="s">
        <v>40</v>
      </c>
      <c r="D11" s="161" t="s">
        <v>40</v>
      </c>
      <c r="E11" s="145" t="s">
        <v>32</v>
      </c>
      <c r="F11" s="145" t="n">
        <v>8063.63</v>
      </c>
      <c r="G11" s="145" t="n">
        <v>1459.42</v>
      </c>
      <c r="H11" s="145" t="n">
        <v>2043.68</v>
      </c>
      <c r="I11" s="162" t="n">
        <f aca="false">IFERROR(H11/$H$19,"")</f>
        <v>0.0010350677434537</v>
      </c>
      <c r="J11" s="194" t="n">
        <f aca="false">IFERROR(H11/G11-1,"")</f>
        <v>0.400337120225843</v>
      </c>
      <c r="K11" s="145" t="n">
        <f aca="false">H11-G11</f>
        <v>584.26</v>
      </c>
      <c r="M11" s="145" t="n">
        <f aca="false">VLOOKUP(C11,'תקציב  '!$B:$S,11,0)*1</f>
        <v>8730.15873015873</v>
      </c>
      <c r="N11" s="162" t="n">
        <f aca="false">IFERROR(H11/M11-1,"-")</f>
        <v>-0.765905745454546</v>
      </c>
      <c r="O11" s="162" t="n">
        <f aca="false">IFERROR(H11/M11,"-")</f>
        <v>0.234094254545455</v>
      </c>
      <c r="P11" s="145" t="n">
        <f aca="false">H11-M11</f>
        <v>-6686.47873015873</v>
      </c>
      <c r="R11" s="147" t="n">
        <v>10000</v>
      </c>
      <c r="S11" s="162" t="n">
        <f aca="false">IFERROR(H11/R11-1,"-")</f>
        <v>-0.795632</v>
      </c>
      <c r="T11" s="162" t="n">
        <f aca="false">IFERROR(H11/R11,"-")</f>
        <v>0.204368</v>
      </c>
      <c r="U11" s="147" t="n">
        <f aca="false">H11-R11</f>
        <v>-7956.32</v>
      </c>
      <c r="W11" s="145" t="n">
        <v>2043.68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false" customHeight="true" outlineLevel="1" collapsed="false">
      <c r="A12" s="164" t="n">
        <v>14</v>
      </c>
      <c r="B12" s="85" t="s">
        <v>137</v>
      </c>
      <c r="C12" s="161" t="s">
        <v>41</v>
      </c>
      <c r="D12" s="161" t="s">
        <v>41</v>
      </c>
      <c r="E12" s="145" t="s">
        <v>32</v>
      </c>
      <c r="F12" s="145" t="n">
        <v>0</v>
      </c>
      <c r="G12" s="145" t="n">
        <v>0</v>
      </c>
      <c r="H12" s="145" t="n">
        <v>728.87</v>
      </c>
      <c r="I12" s="162" t="n">
        <f aca="false">IFERROR(H12/$H$19,"")</f>
        <v>0.00036915261986764</v>
      </c>
      <c r="J12" s="194" t="str">
        <f aca="false">IFERROR(H12/G12-1,"")</f>
        <v/>
      </c>
      <c r="K12" s="145" t="n">
        <f aca="false">H12-G12</f>
        <v>728.87</v>
      </c>
      <c r="M12" s="145" t="n">
        <f aca="false">VLOOKUP(C12,'תקציב  '!$B:$S,11,0)*1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5" t="n">
        <f aca="false">H12-M12</f>
        <v>728.87</v>
      </c>
      <c r="R12" s="147" t="n">
        <v>5000</v>
      </c>
      <c r="S12" s="162" t="n">
        <f aca="false">IFERROR(H12/R12-1,"-")</f>
        <v>-0.854226</v>
      </c>
      <c r="T12" s="162" t="n">
        <f aca="false">IFERROR(H12/R12,"-")</f>
        <v>0.145774</v>
      </c>
      <c r="U12" s="147" t="n">
        <f aca="false">H12-R12</f>
        <v>-4271.13</v>
      </c>
      <c r="W12" s="145" t="n">
        <v>728.87</v>
      </c>
      <c r="X12" s="5" t="n">
        <f aca="false">H12-W12</f>
        <v>0</v>
      </c>
      <c r="Y12" s="163" t="n">
        <f aca="false">IFERROR((H12/W12)-1,"-")</f>
        <v>0</v>
      </c>
    </row>
    <row r="13" customFormat="false" ht="14.25" hidden="false" customHeight="true" outlineLevel="1" collapsed="false">
      <c r="A13" s="164" t="n">
        <v>15</v>
      </c>
      <c r="B13" s="85" t="s">
        <v>138</v>
      </c>
      <c r="C13" s="161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94" t="str">
        <f aca="false">IFERROR(H13/G13-1,"")</f>
        <v/>
      </c>
      <c r="K13" s="145" t="n">
        <f aca="false">H13-G13</f>
        <v>0</v>
      </c>
      <c r="M13" s="145" t="n">
        <f aca="false">VLOOKUP(C13,'תקציב  '!$B:$S,11,0)*1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false" customHeight="true" outlineLevel="1" collapsed="false">
      <c r="A14" s="164" t="n">
        <v>13</v>
      </c>
      <c r="B14" s="85" t="s">
        <v>139</v>
      </c>
      <c r="C14" s="161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0</v>
      </c>
      <c r="I14" s="162" t="n">
        <f aca="false">IFERROR(H14/$H$19,"")</f>
        <v>0</v>
      </c>
      <c r="J14" s="194" t="str">
        <f aca="false">IFERROR(H14/G14-1,"")</f>
        <v/>
      </c>
      <c r="K14" s="145" t="n">
        <f aca="false">H14-G14</f>
        <v>0</v>
      </c>
      <c r="M14" s="145" t="n">
        <f aca="false">VLOOKUP(C14,'תקציב  '!$B:$S,11,0)*1</f>
        <v>50000</v>
      </c>
      <c r="N14" s="162" t="n">
        <f aca="false">IFERROR(H14/M14-1,"-")</f>
        <v>-1</v>
      </c>
      <c r="O14" s="162" t="n">
        <f aca="false">IFERROR(H14/M14,"-")</f>
        <v>0</v>
      </c>
      <c r="P14" s="145" t="n">
        <f aca="false">H14-M14</f>
        <v>-50000</v>
      </c>
      <c r="R14" s="147" t="n">
        <v>5000</v>
      </c>
      <c r="S14" s="162" t="n">
        <f aca="false">IFERROR(H14/R14-1,"-")</f>
        <v>-1</v>
      </c>
      <c r="T14" s="162" t="n">
        <f aca="false">IFERROR(H14/R14,"-")</f>
        <v>0</v>
      </c>
      <c r="U14" s="147" t="n">
        <f aca="false">H14-R14</f>
        <v>-5000</v>
      </c>
      <c r="W14" s="145" t="n">
        <v>0</v>
      </c>
      <c r="X14" s="5" t="n">
        <f aca="false">H14-W14</f>
        <v>0</v>
      </c>
      <c r="Y14" s="163" t="str">
        <f aca="false">IFERROR((H14/W14)-1,"-")</f>
        <v>-</v>
      </c>
    </row>
    <row r="15" customFormat="false" ht="14.25" hidden="false" customHeight="true" outlineLevel="1" collapsed="false">
      <c r="A15" s="164" t="n">
        <v>9</v>
      </c>
      <c r="B15" s="85" t="s">
        <v>140</v>
      </c>
      <c r="C15" s="161" t="s">
        <v>44</v>
      </c>
      <c r="D15" s="161" t="s">
        <v>44</v>
      </c>
      <c r="E15" s="145" t="s">
        <v>32</v>
      </c>
      <c r="F15" s="145" t="n">
        <v>6797.75</v>
      </c>
      <c r="G15" s="145" t="n">
        <v>5704.97</v>
      </c>
      <c r="H15" s="145" t="n">
        <v>10118.69</v>
      </c>
      <c r="I15" s="162" t="n">
        <f aca="false">IFERROR(H15/$H$19,"")</f>
        <v>0.00512483834309066</v>
      </c>
      <c r="J15" s="194" t="n">
        <f aca="false">IFERROR(H15/G15-1,"")</f>
        <v>0.7736622629041</v>
      </c>
      <c r="K15" s="145" t="n">
        <f aca="false">H15-G15</f>
        <v>4413.72</v>
      </c>
      <c r="M15" s="145" t="n">
        <f aca="false">VLOOKUP(C15,'תקציב  '!$B:$S,11,0)*1</f>
        <v>17460.3174603175</v>
      </c>
      <c r="N15" s="162" t="n">
        <f aca="false">IFERROR(H15/M15-1,"-")</f>
        <v>-0.420475027272729</v>
      </c>
      <c r="O15" s="162" t="n">
        <f aca="false">IFERROR(H15/M15,"-")</f>
        <v>0.579524972727271</v>
      </c>
      <c r="P15" s="145" t="n">
        <f aca="false">H15-M15</f>
        <v>-7341.6274603175</v>
      </c>
      <c r="R15" s="147" t="n">
        <v>25000</v>
      </c>
      <c r="S15" s="162" t="n">
        <f aca="false">IFERROR(H15/R15-1,"-")</f>
        <v>-0.5952524</v>
      </c>
      <c r="T15" s="162" t="n">
        <f aca="false">IFERROR(H15/R15,"-")</f>
        <v>0.4047476</v>
      </c>
      <c r="U15" s="147" t="n">
        <f aca="false">H15-R15</f>
        <v>-14881.31</v>
      </c>
      <c r="W15" s="145" t="n">
        <v>10118.69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C16" s="170" t="s">
        <v>115</v>
      </c>
      <c r="D16" s="170" t="s">
        <v>115</v>
      </c>
      <c r="E16" s="172"/>
      <c r="F16" s="172" t="n">
        <f aca="false">SUM(F3:F15)+F50</f>
        <v>1515574.027</v>
      </c>
      <c r="G16" s="172" t="n">
        <f aca="false">SUM(G3:G15)+G50</f>
        <v>1428683.96</v>
      </c>
      <c r="H16" s="172" t="n">
        <f aca="false">SUM(H3:H15)+H50</f>
        <v>1581788.376</v>
      </c>
      <c r="I16" s="173" t="n">
        <f aca="false">IFERROR(H16/$H$19,"")</f>
        <v>0.801132332345382</v>
      </c>
      <c r="J16" s="195" t="n">
        <f aca="false">H16/G16-1</f>
        <v>0.10716464962622</v>
      </c>
      <c r="K16" s="172" t="n">
        <f aca="false">SUM(K3:K15)+K50</f>
        <v>153104.416</v>
      </c>
      <c r="M16" s="172" t="n">
        <f aca="false">SUM(M3:M15)+M50</f>
        <v>1832388.88888889</v>
      </c>
      <c r="N16" s="173" t="n">
        <f aca="false">IFERROR(H16/M16-1,"-")</f>
        <v>-0.136761641815481</v>
      </c>
      <c r="O16" s="173" t="n">
        <f aca="false">IFERROR(H16/M16,"-")</f>
        <v>0.863238358184519</v>
      </c>
      <c r="P16" s="172" t="n">
        <f aca="false">SUM(P3:P15)+P50</f>
        <v>-250600.512888889</v>
      </c>
      <c r="R16" s="172" t="n">
        <f aca="false">SUM(R3:R15)+R50</f>
        <v>1645000</v>
      </c>
      <c r="S16" s="173" t="n">
        <f aca="false">IFERROR(H16/R16-1,"-")</f>
        <v>-0.0384265191489362</v>
      </c>
      <c r="T16" s="173" t="n">
        <f aca="false">IFERROR(H16/R16,"-")</f>
        <v>0.961573480851064</v>
      </c>
      <c r="U16" s="172" t="n">
        <f aca="false">H16-R16</f>
        <v>-63211.6240000001</v>
      </c>
      <c r="V16" s="174"/>
      <c r="W16" s="172" t="n">
        <v>1527112.681</v>
      </c>
      <c r="X16" s="175" t="n">
        <f aca="false">H16-W16</f>
        <v>54675.6949999998</v>
      </c>
      <c r="Y16" s="176" t="n">
        <f aca="false">IFERROR((H16/W16)-1,"-")</f>
        <v>0.035803314110519</v>
      </c>
    </row>
    <row r="17" customFormat="false" ht="14.25" hidden="false" customHeight="true" outlineLevel="1" collapsed="false">
      <c r="A17" s="164" t="n">
        <v>2</v>
      </c>
      <c r="B17" s="85" t="s">
        <v>141</v>
      </c>
      <c r="C17" s="161" t="s">
        <v>45</v>
      </c>
      <c r="D17" s="161" t="s">
        <v>45</v>
      </c>
      <c r="E17" s="145" t="s">
        <v>32</v>
      </c>
      <c r="F17" s="145" t="n">
        <v>43626.89</v>
      </c>
      <c r="G17" s="145" t="n">
        <v>136844.33</v>
      </c>
      <c r="H17" s="145" t="n">
        <v>391167.74</v>
      </c>
      <c r="I17" s="162" t="n">
        <f aca="false">IFERROR(H17/$H$19,"")</f>
        <v>0.198115707915957</v>
      </c>
      <c r="J17" s="194" t="n">
        <f aca="false">IFERROR(H17/G17-1,"")</f>
        <v>1.85848701221307</v>
      </c>
      <c r="K17" s="145" t="n">
        <f aca="false">H17-G17</f>
        <v>254323.41</v>
      </c>
      <c r="M17" s="145" t="n">
        <f aca="false">VLOOKUP(C17,'תקציב  '!$B:$S,11,0)*1</f>
        <v>1159556.77966102</v>
      </c>
      <c r="N17" s="162" t="n">
        <f aca="false">IFERROR(H17/M17-1,"-")</f>
        <v>-0.662657537033803</v>
      </c>
      <c r="O17" s="162" t="n">
        <f aca="false">IFERROR(H17/M17,"-")</f>
        <v>0.337342462966197</v>
      </c>
      <c r="P17" s="145" t="n">
        <f aca="false">H17-M17</f>
        <v>-768389.03966102</v>
      </c>
      <c r="R17" s="147" t="n">
        <v>481500</v>
      </c>
      <c r="S17" s="162" t="n">
        <f aca="false">IFERROR(H17/R17-1,"-")</f>
        <v>-0.187605939771547</v>
      </c>
      <c r="T17" s="162" t="n">
        <f aca="false">IFERROR(H17/R17,"-")</f>
        <v>0.812394060228453</v>
      </c>
      <c r="U17" s="147" t="n">
        <f aca="false">H17-R17</f>
        <v>-90332.26</v>
      </c>
      <c r="W17" s="145" t="n">
        <v>391167.74</v>
      </c>
      <c r="X17" s="5" t="n">
        <f aca="false">H17-W17</f>
        <v>0</v>
      </c>
      <c r="Y17" s="163" t="n">
        <f aca="false">IFERROR((H17/W17)-1,"-")</f>
        <v>0</v>
      </c>
    </row>
    <row r="18" customFormat="false" ht="14.25" hidden="false" customHeight="true" outlineLevel="1" collapsed="false">
      <c r="A18" s="164" t="n">
        <v>12</v>
      </c>
      <c r="B18" s="85" t="s">
        <v>142</v>
      </c>
      <c r="C18" s="161" t="s">
        <v>46</v>
      </c>
      <c r="D18" s="161" t="s">
        <v>46</v>
      </c>
      <c r="E18" s="145" t="s">
        <v>32</v>
      </c>
      <c r="F18" s="145" t="n">
        <v>4027.72</v>
      </c>
      <c r="G18" s="145" t="n">
        <v>2497.52</v>
      </c>
      <c r="H18" s="145" t="n">
        <v>1484.7</v>
      </c>
      <c r="I18" s="162" t="n">
        <f aca="false">IFERROR(H18/$H$19,"")</f>
        <v>0.000751959738660508</v>
      </c>
      <c r="J18" s="194" t="n">
        <f aca="false">IFERROR(H18/G18-1,"")</f>
        <v>-0.405530286043755</v>
      </c>
      <c r="K18" s="145" t="n">
        <f aca="false">H18-G18</f>
        <v>-1012.82</v>
      </c>
      <c r="M18" s="145" t="n">
        <f aca="false">VLOOKUP(C18,'תקציב  '!$B:$S,11,0)*1</f>
        <v>2536.92833333333</v>
      </c>
      <c r="N18" s="162" t="n">
        <f aca="false">IFERROR(H18/M18-1,"-")</f>
        <v>-0.414764705611838</v>
      </c>
      <c r="O18" s="162" t="n">
        <f aca="false">IFERROR(H18/M18,"-")</f>
        <v>0.585235294388162</v>
      </c>
      <c r="P18" s="145" t="n">
        <f aca="false">H18-M18</f>
        <v>-1052.22833333333</v>
      </c>
      <c r="R18" s="147" t="n">
        <v>5000</v>
      </c>
      <c r="S18" s="162" t="n">
        <f aca="false">IFERROR(H18/R18-1,"-")</f>
        <v>-0.70306</v>
      </c>
      <c r="T18" s="162" t="n">
        <f aca="false">IFERROR(H18/R18,"-")</f>
        <v>0.29694</v>
      </c>
      <c r="U18" s="147" t="n">
        <f aca="false">H18-R18</f>
        <v>-3515.3</v>
      </c>
      <c r="W18" s="145" t="n">
        <v>1484.7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C19" s="178" t="s">
        <v>48</v>
      </c>
      <c r="D19" s="178" t="s">
        <v>48</v>
      </c>
      <c r="E19" s="172"/>
      <c r="F19" s="172" t="n">
        <f aca="false">F16+F17+F18</f>
        <v>1563228.637</v>
      </c>
      <c r="G19" s="172" t="n">
        <f aca="false">G16+G17+G18</f>
        <v>1568025.81</v>
      </c>
      <c r="H19" s="172" t="n">
        <f aca="false">H16+H17+H18</f>
        <v>1974440.816</v>
      </c>
      <c r="I19" s="173" t="n">
        <f aca="false">IFERROR(H19/$H$19,"")</f>
        <v>1</v>
      </c>
      <c r="J19" s="195" t="n">
        <f aca="false">H19/G19-1</f>
        <v>0.259188977252868</v>
      </c>
      <c r="K19" s="172" t="n">
        <f aca="false">K16+K17+K18</f>
        <v>406415.006</v>
      </c>
      <c r="M19" s="172" t="n">
        <f aca="false">M16+M17+M18</f>
        <v>2994482.59688324</v>
      </c>
      <c r="N19" s="173" t="n">
        <f aca="false">IFERROR(H19/M19-1,"-")</f>
        <v>-0.340640410448515</v>
      </c>
      <c r="O19" s="173" t="n">
        <f aca="false">IFERROR(H19/M19,"-")</f>
        <v>0.659359589551485</v>
      </c>
      <c r="P19" s="172" t="n">
        <f aca="false">P16+P17+P18</f>
        <v>-1020041.78088324</v>
      </c>
      <c r="R19" s="172" t="n">
        <f aca="false">R16+R17+R18</f>
        <v>2131500</v>
      </c>
      <c r="S19" s="173" t="n">
        <f aca="false">IFERROR(H19/R19-1,"-")</f>
        <v>-0.0736848153882244</v>
      </c>
      <c r="T19" s="173" t="n">
        <f aca="false">IFERROR(H19/R19,"-")</f>
        <v>0.926315184611776</v>
      </c>
      <c r="U19" s="172" t="n">
        <f aca="false">H19-R19</f>
        <v>-157059.184</v>
      </c>
      <c r="V19" s="174"/>
      <c r="W19" s="172" t="n">
        <v>1919765.121</v>
      </c>
      <c r="X19" s="175" t="n">
        <f aca="false">H19-W19</f>
        <v>54675.6949999998</v>
      </c>
      <c r="Y19" s="176" t="n">
        <f aca="false">IFERROR((H19/W19)-1,"-")</f>
        <v>0.0284804085676478</v>
      </c>
    </row>
    <row r="20" customFormat="false" ht="14.25" hidden="false" customHeight="true" outlineLevel="1" collapsed="false">
      <c r="A20" s="165" t="n">
        <v>50</v>
      </c>
      <c r="B20" s="85" t="s">
        <v>143</v>
      </c>
      <c r="C20" s="167" t="s">
        <v>49</v>
      </c>
      <c r="D20" s="167" t="s">
        <v>50</v>
      </c>
      <c r="E20" s="145" t="s">
        <v>51</v>
      </c>
      <c r="F20" s="145" t="n">
        <v>273201.5</v>
      </c>
      <c r="G20" s="145" t="n">
        <v>252496.44</v>
      </c>
      <c r="H20" s="145" t="n">
        <v>202592.25</v>
      </c>
      <c r="I20" s="162" t="n">
        <f aca="false">IFERROR(H20/$H$19,"")</f>
        <v>0.102607405782073</v>
      </c>
      <c r="J20" s="194" t="n">
        <f aca="false">IFERROR(H20/G20-1,"")</f>
        <v>-0.197643143008274</v>
      </c>
      <c r="K20" s="145" t="n">
        <f aca="false">H20-G20</f>
        <v>-49904.19</v>
      </c>
      <c r="M20" s="145" t="n">
        <f aca="false">VLOOKUP(C20,'תקציב  '!$B:$S,11,0)*1</f>
        <v>481801.946175</v>
      </c>
      <c r="N20" s="162" t="n">
        <f aca="false">IFERROR(H20/M20-1,"-")</f>
        <v>-0.579511349822538</v>
      </c>
      <c r="O20" s="162" t="n">
        <f aca="false">IFERROR(H20/M20,"-")</f>
        <v>0.420488650177462</v>
      </c>
      <c r="P20" s="145" t="n">
        <f aca="false">H20-M20</f>
        <v>-279209.696175</v>
      </c>
      <c r="R20" s="147" t="n">
        <v>305012.4</v>
      </c>
      <c r="S20" s="162" t="n">
        <f aca="false">IFERROR(H20/R20-1,"-")</f>
        <v>-0.335790118696814</v>
      </c>
      <c r="T20" s="162" t="n">
        <f aca="false">IFERROR(H20/R20,"-")</f>
        <v>0.664209881303186</v>
      </c>
      <c r="U20" s="147" t="n">
        <f aca="false">H20-R20</f>
        <v>-102420.15</v>
      </c>
      <c r="W20" s="145" t="n">
        <v>202592.25</v>
      </c>
      <c r="X20" s="5" t="n">
        <f aca="false">H20-W20</f>
        <v>0</v>
      </c>
      <c r="Y20" s="163" t="n">
        <f aca="false">IFERROR((H20/W20)-1,"-")</f>
        <v>0</v>
      </c>
    </row>
    <row r="21" customFormat="false" ht="14.25" hidden="false" customHeight="true" outlineLevel="1" collapsed="false">
      <c r="A21" s="165" t="n">
        <v>20</v>
      </c>
      <c r="B21" s="85" t="s">
        <v>144</v>
      </c>
      <c r="C21" s="167" t="s">
        <v>52</v>
      </c>
      <c r="D21" s="167" t="s">
        <v>53</v>
      </c>
      <c r="E21" s="145" t="s">
        <v>54</v>
      </c>
      <c r="F21" s="145" t="n">
        <v>-2422.68</v>
      </c>
      <c r="G21" s="145" t="n">
        <v>0</v>
      </c>
      <c r="H21" s="145" t="n">
        <v>132101.57</v>
      </c>
      <c r="I21" s="162" t="n">
        <f aca="false">IFERROR(H21/$H$19,"")</f>
        <v>0.0669058140054171</v>
      </c>
      <c r="J21" s="194" t="str">
        <f aca="false">IFERROR(H21/G21-1,"")</f>
        <v/>
      </c>
      <c r="K21" s="145" t="n">
        <f aca="false">H21-G21</f>
        <v>132101.57</v>
      </c>
      <c r="M21" s="145" t="n">
        <f aca="false">VLOOKUP(C21,'תקציב  '!$B:$S,11,0)*1</f>
        <v>0</v>
      </c>
      <c r="N21" s="162" t="str">
        <f aca="false">IFERROR(H21/M21-1,"-")</f>
        <v>-</v>
      </c>
      <c r="O21" s="162" t="str">
        <f aca="false">IFERROR(H21/M21,"-")</f>
        <v>-</v>
      </c>
      <c r="P21" s="145" t="n">
        <f aca="false">H21-M21</f>
        <v>132101.57</v>
      </c>
      <c r="R21" s="147" t="n">
        <v>130000</v>
      </c>
      <c r="S21" s="162" t="n">
        <f aca="false">IFERROR(H21/R21-1,"-")</f>
        <v>0.0161659230769231</v>
      </c>
      <c r="T21" s="162" t="n">
        <f aca="false">IFERROR(H21/R21,"-")</f>
        <v>1.01616592307692</v>
      </c>
      <c r="U21" s="147" t="n">
        <f aca="false">H21-R21</f>
        <v>2101.57000000001</v>
      </c>
      <c r="W21" s="145" t="n">
        <v>132101.57</v>
      </c>
      <c r="X21" s="5" t="n">
        <f aca="false">H21-W21</f>
        <v>0</v>
      </c>
      <c r="Y21" s="163" t="n">
        <f aca="false">IFERROR((H21/W21)-1,"-")</f>
        <v>0</v>
      </c>
    </row>
    <row r="22" customFormat="false" ht="14.25" hidden="false" customHeight="true" outlineLevel="1" collapsed="false">
      <c r="A22" s="165" t="n">
        <v>21</v>
      </c>
      <c r="B22" s="85" t="s">
        <v>145</v>
      </c>
      <c r="C22" s="167" t="s">
        <v>55</v>
      </c>
      <c r="D22" s="167" t="s">
        <v>56</v>
      </c>
      <c r="E22" s="145" t="s">
        <v>57</v>
      </c>
      <c r="F22" s="145" t="n">
        <v>16110.54</v>
      </c>
      <c r="G22" s="145" t="n">
        <v>64506.58</v>
      </c>
      <c r="H22" s="145" t="n">
        <v>10986.57</v>
      </c>
      <c r="I22" s="162" t="n">
        <f aca="false">IFERROR(H22/$H$19,"")</f>
        <v>0.00556439570686023</v>
      </c>
      <c r="J22" s="194" t="n">
        <f aca="false">IFERROR(H22/G22-1,"")</f>
        <v>-0.829682956374373</v>
      </c>
      <c r="K22" s="145" t="n">
        <f aca="false">H22-G22</f>
        <v>-53520.01</v>
      </c>
      <c r="M22" s="145" t="n">
        <f aca="false">VLOOKUP(C22,'תקציב  '!$B:$S,11,0)*1</f>
        <v>120000</v>
      </c>
      <c r="N22" s="162" t="n">
        <f aca="false">IFERROR(H22/M22-1,"-")</f>
        <v>-0.90844525</v>
      </c>
      <c r="O22" s="162" t="n">
        <f aca="false">IFERROR(H22/M22,"-")</f>
        <v>0.09155475</v>
      </c>
      <c r="P22" s="145" t="n">
        <f aca="false">H22-M22</f>
        <v>-109013.43</v>
      </c>
      <c r="R22" s="147" t="n">
        <v>20000</v>
      </c>
      <c r="S22" s="162" t="n">
        <f aca="false">IFERROR(H22/R22-1,"-")</f>
        <v>-0.4506715</v>
      </c>
      <c r="T22" s="162" t="n">
        <f aca="false">IFERROR(H22/R22,"-")</f>
        <v>0.5493285</v>
      </c>
      <c r="U22" s="147" t="n">
        <f aca="false">H22-R22</f>
        <v>-9013.43</v>
      </c>
      <c r="W22" s="145" t="n">
        <v>10986.57</v>
      </c>
      <c r="X22" s="5" t="n">
        <f aca="false">H22-W22</f>
        <v>0</v>
      </c>
      <c r="Y22" s="163" t="n">
        <f aca="false">IFERROR((H22/W22)-1,"-")</f>
        <v>0</v>
      </c>
    </row>
    <row r="23" customFormat="false" ht="14.25" hidden="false" customHeight="true" outlineLevel="1" collapsed="false">
      <c r="A23" s="165" t="n">
        <v>22</v>
      </c>
      <c r="B23" s="85" t="s">
        <v>146</v>
      </c>
      <c r="C23" s="167" t="s">
        <v>58</v>
      </c>
      <c r="D23" s="167" t="s">
        <v>59</v>
      </c>
      <c r="E23" s="145" t="s">
        <v>60</v>
      </c>
      <c r="F23" s="145" t="n">
        <v>0</v>
      </c>
      <c r="G23" s="145" t="n">
        <v>68497.3</v>
      </c>
      <c r="H23" s="145" t="n">
        <v>0</v>
      </c>
      <c r="I23" s="162" t="n">
        <f aca="false">IFERROR(H23/$H$19,"")</f>
        <v>0</v>
      </c>
      <c r="J23" s="194" t="n">
        <f aca="false">IFERROR(H23/G23-1,"")</f>
        <v>-1</v>
      </c>
      <c r="K23" s="145" t="n">
        <f aca="false">H23-G23</f>
        <v>-68497.3</v>
      </c>
      <c r="M23" s="145" t="n">
        <f aca="false">VLOOKUP(C23,'תקציב  '!$B:$S,11,0)*1</f>
        <v>0</v>
      </c>
      <c r="N23" s="162" t="str">
        <f aca="false">IFERROR(H23/M23-1,"-")</f>
        <v>-</v>
      </c>
      <c r="O23" s="162" t="str">
        <f aca="false">IFERROR(H23/M23,"-")</f>
        <v>-</v>
      </c>
      <c r="P23" s="145" t="n">
        <f aca="false">H23-M23</f>
        <v>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W23" s="145" t="n">
        <v>0</v>
      </c>
      <c r="X23" s="5" t="n">
        <f aca="false">H23-W23</f>
        <v>0</v>
      </c>
      <c r="Y23" s="163" t="str">
        <f aca="false">IFERROR((H23/W23)-1,"-")</f>
        <v>-</v>
      </c>
    </row>
    <row r="24" customFormat="false" ht="14.25" hidden="false" customHeight="true" outlineLevel="1" collapsed="false">
      <c r="A24" s="165" t="n">
        <v>23</v>
      </c>
      <c r="B24" s="85" t="s">
        <v>147</v>
      </c>
      <c r="C24" s="167" t="s">
        <v>61</v>
      </c>
      <c r="D24" s="167" t="s">
        <v>62</v>
      </c>
      <c r="E24" s="145" t="s">
        <v>63</v>
      </c>
      <c r="F24" s="145" t="n">
        <v>19066.6</v>
      </c>
      <c r="G24" s="145" t="n">
        <v>18496.39</v>
      </c>
      <c r="H24" s="145" t="n">
        <v>0</v>
      </c>
      <c r="I24" s="162" t="n">
        <f aca="false">IFERROR(H24/$H$19,"")</f>
        <v>0</v>
      </c>
      <c r="J24" s="194" t="n">
        <f aca="false">IFERROR(H24/G24-1,"")</f>
        <v>-1</v>
      </c>
      <c r="K24" s="145" t="n">
        <f aca="false">H24-G24</f>
        <v>-18496.39</v>
      </c>
      <c r="M24" s="145" t="n">
        <f aca="false">VLOOKUP(C24,'תקציב  '!$B:$S,11,0)*1</f>
        <v>10000</v>
      </c>
      <c r="N24" s="162" t="n">
        <f aca="false">IFERROR(H24/M24-1,"-")</f>
        <v>-1</v>
      </c>
      <c r="O24" s="162" t="n">
        <f aca="false">IFERROR(H24/M24,"-")</f>
        <v>0</v>
      </c>
      <c r="P24" s="145" t="n">
        <f aca="false">H24-M24</f>
        <v>-10000</v>
      </c>
      <c r="R24" s="147" t="n">
        <v>0</v>
      </c>
      <c r="S24" s="162" t="str">
        <f aca="false">IFERROR(H24/R24-1,"-")</f>
        <v>-</v>
      </c>
      <c r="T24" s="162" t="str">
        <f aca="false">IFERROR(H24/R24,"-")</f>
        <v>-</v>
      </c>
      <c r="U24" s="147" t="n">
        <f aca="false">H24-R24</f>
        <v>0</v>
      </c>
      <c r="W24" s="145" t="n">
        <v>0</v>
      </c>
      <c r="X24" s="5" t="n">
        <f aca="false">H24-W24</f>
        <v>0</v>
      </c>
      <c r="Y24" s="163" t="str">
        <f aca="false">IFERROR((H24/W24)-1,"-")</f>
        <v>-</v>
      </c>
    </row>
    <row r="25" customFormat="false" ht="14.25" hidden="false" customHeight="true" outlineLevel="1" collapsed="false">
      <c r="A25" s="165" t="n">
        <v>24</v>
      </c>
      <c r="B25" s="85" t="s">
        <v>148</v>
      </c>
      <c r="C25" s="167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94" t="str">
        <f aca="false">IFERROR(H25/G25-1,"")</f>
        <v/>
      </c>
      <c r="K25" s="145" t="n">
        <f aca="false">H25-G25</f>
        <v>0</v>
      </c>
      <c r="M25" s="145" t="n">
        <f aca="false">VLOOKUP(C25,'תקציב  '!$B:$S,11,0)*1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false" customHeight="true" outlineLevel="1" collapsed="false">
      <c r="A26" s="165" t="n">
        <v>25</v>
      </c>
      <c r="B26" s="85" t="s">
        <v>149</v>
      </c>
      <c r="C26" s="167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94" t="str">
        <f aca="false">IFERROR(H26/G26-1,"")</f>
        <v/>
      </c>
      <c r="K26" s="145" t="n">
        <f aca="false">H26-G26</f>
        <v>0</v>
      </c>
      <c r="M26" s="145" t="n">
        <f aca="false">VLOOKUP(C26,'תקציב  '!$B:$S,11,0)*1</f>
        <v>0</v>
      </c>
      <c r="N26" s="162" t="str">
        <f aca="false">IFERROR(H26/M26-1,"-")</f>
        <v>-</v>
      </c>
      <c r="O26" s="162" t="str">
        <f aca="false">IFERROR(H26/M26,"-")</f>
        <v>-</v>
      </c>
      <c r="P26" s="145" t="n">
        <f aca="false">H26-M26</f>
        <v>0</v>
      </c>
      <c r="R26" s="147" t="n">
        <v>0</v>
      </c>
      <c r="S26" s="162" t="str">
        <f aca="false">IFERROR(H26/R26-1,"-")</f>
        <v>-</v>
      </c>
      <c r="T26" s="162" t="str">
        <f aca="false">IFERROR(H26/R26,"-")</f>
        <v>-</v>
      </c>
      <c r="U26" s="147" t="n">
        <f aca="false">H26-R26</f>
        <v>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false" customHeight="true" outlineLevel="1" collapsed="false">
      <c r="A27" s="165" t="n">
        <v>26</v>
      </c>
      <c r="B27" s="85" t="s">
        <v>150</v>
      </c>
      <c r="C27" s="167" t="s">
        <v>70</v>
      </c>
      <c r="D27" s="167" t="s">
        <v>71</v>
      </c>
      <c r="E27" s="145" t="s">
        <v>72</v>
      </c>
      <c r="F27" s="145" t="n">
        <v>41467.05</v>
      </c>
      <c r="G27" s="145" t="n">
        <v>0</v>
      </c>
      <c r="H27" s="145" t="n">
        <v>0</v>
      </c>
      <c r="I27" s="162" t="n">
        <f aca="false">IFERROR(H27/$H$19,"")</f>
        <v>0</v>
      </c>
      <c r="J27" s="194" t="str">
        <f aca="false">IFERROR(H27/G27-1,"")</f>
        <v/>
      </c>
      <c r="K27" s="145" t="n">
        <f aca="false">H27-G27</f>
        <v>0</v>
      </c>
      <c r="M27" s="145" t="n">
        <f aca="false">VLOOKUP(C27,'תקציב  '!$B:$S,11,0)*1</f>
        <v>40000</v>
      </c>
      <c r="N27" s="162" t="n">
        <f aca="false">IFERROR(H27/M27-1,"-")</f>
        <v>-1</v>
      </c>
      <c r="O27" s="162" t="n">
        <f aca="false">IFERROR(H27/M27,"-")</f>
        <v>0</v>
      </c>
      <c r="P27" s="145" t="n">
        <f aca="false">H27-M27</f>
        <v>-40000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false" customHeight="true" outlineLevel="1" collapsed="false">
      <c r="A28" s="165" t="n">
        <v>27</v>
      </c>
      <c r="B28" s="85" t="s">
        <v>151</v>
      </c>
      <c r="C28" s="167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94" t="str">
        <f aca="false">IFERROR(H28/G28-1,"")</f>
        <v/>
      </c>
      <c r="K28" s="145" t="n">
        <f aca="false">H28-G28</f>
        <v>0</v>
      </c>
      <c r="M28" s="145" t="n">
        <f aca="false">VLOOKUP(C28,'תקציב  '!$B:$S,11,0)*1</f>
        <v>250000</v>
      </c>
      <c r="N28" s="162" t="n">
        <f aca="false">IFERROR(H28/M28-1,"-")</f>
        <v>-1</v>
      </c>
      <c r="O28" s="162" t="n">
        <f aca="false">IFERROR(H28/M28,"-")</f>
        <v>0</v>
      </c>
      <c r="P28" s="145" t="n">
        <f aca="false">H28-M28</f>
        <v>-250000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false" customHeight="true" outlineLevel="1" collapsed="false">
      <c r="A29" s="165" t="n">
        <v>28</v>
      </c>
      <c r="B29" s="85" t="s">
        <v>152</v>
      </c>
      <c r="C29" s="167" t="s">
        <v>76</v>
      </c>
      <c r="D29" s="167" t="s">
        <v>77</v>
      </c>
      <c r="E29" s="145" t="s">
        <v>78</v>
      </c>
      <c r="F29" s="145" t="n">
        <v>21966.81</v>
      </c>
      <c r="G29" s="145" t="n">
        <v>26937.54</v>
      </c>
      <c r="H29" s="145" t="n">
        <v>30237.69</v>
      </c>
      <c r="I29" s="162" t="n">
        <f aca="false">IFERROR(H29/$H$19,"")</f>
        <v>0.0153145588132939</v>
      </c>
      <c r="J29" s="194" t="n">
        <f aca="false">IFERROR(H29/G29-1,"")</f>
        <v>0.122511186990349</v>
      </c>
      <c r="K29" s="145" t="n">
        <f aca="false">H29-G29</f>
        <v>3300.15</v>
      </c>
      <c r="M29" s="145" t="n">
        <f aca="false">VLOOKUP(C29,'תקציב  '!$B:$S,11,0)*1</f>
        <v>39765.076</v>
      </c>
      <c r="N29" s="162" t="n">
        <f aca="false">IFERROR(H29/M29-1,"-")</f>
        <v>-0.239591796580497</v>
      </c>
      <c r="O29" s="162" t="n">
        <f aca="false">IFERROR(H29/M29,"-")</f>
        <v>0.760408203419503</v>
      </c>
      <c r="P29" s="145" t="n">
        <f aca="false">H29-M29</f>
        <v>-9527.386</v>
      </c>
      <c r="R29" s="147" t="n">
        <v>20000</v>
      </c>
      <c r="S29" s="162" t="n">
        <f aca="false">IFERROR(H29/R29-1,"-")</f>
        <v>0.5118845</v>
      </c>
      <c r="T29" s="162" t="n">
        <f aca="false">IFERROR(H29/R29,"-")</f>
        <v>1.5118845</v>
      </c>
      <c r="U29" s="147" t="n">
        <f aca="false">H29-R29</f>
        <v>10237.69</v>
      </c>
      <c r="W29" s="145" t="n">
        <v>30237.69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false" customHeight="true" outlineLevel="1" collapsed="false">
      <c r="A30" s="165" t="n">
        <v>29</v>
      </c>
      <c r="B30" s="85" t="s">
        <v>153</v>
      </c>
      <c r="C30" s="167" t="s">
        <v>79</v>
      </c>
      <c r="D30" s="167" t="s">
        <v>80</v>
      </c>
      <c r="E30" s="145" t="s">
        <v>81</v>
      </c>
      <c r="F30" s="145" t="n">
        <v>0</v>
      </c>
      <c r="G30" s="145" t="n">
        <v>0</v>
      </c>
      <c r="H30" s="145" t="n">
        <v>0</v>
      </c>
      <c r="I30" s="162" t="n">
        <f aca="false">IFERROR(H30/$H$19,"")</f>
        <v>0</v>
      </c>
      <c r="J30" s="194" t="str">
        <f aca="false">IFERROR(H30/G30-1,"")</f>
        <v/>
      </c>
      <c r="K30" s="145" t="n">
        <f aca="false">H30-G30</f>
        <v>0</v>
      </c>
      <c r="M30" s="145" t="n">
        <f aca="false">VLOOKUP(C30,'תקציב  '!$B:$S,11,0)*1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false" customHeight="true" outlineLevel="1" collapsed="false">
      <c r="A31" s="165" t="n">
        <v>30</v>
      </c>
      <c r="B31" s="85" t="s">
        <v>154</v>
      </c>
      <c r="C31" s="167" t="s">
        <v>82</v>
      </c>
      <c r="D31" s="167" t="s">
        <v>83</v>
      </c>
      <c r="E31" s="145" t="s">
        <v>81</v>
      </c>
      <c r="F31" s="145" t="n">
        <v>0</v>
      </c>
      <c r="G31" s="145" t="n">
        <v>0</v>
      </c>
      <c r="H31" s="145" t="n">
        <v>0</v>
      </c>
      <c r="I31" s="162" t="n">
        <f aca="false">IFERROR(H31/$H$19,"")</f>
        <v>0</v>
      </c>
      <c r="J31" s="194" t="str">
        <f aca="false">IFERROR(H31/G31-1,"")</f>
        <v/>
      </c>
      <c r="K31" s="145" t="n">
        <f aca="false">H31-G31</f>
        <v>0</v>
      </c>
      <c r="M31" s="145" t="n">
        <f aca="false">VLOOKUP(C31,'תקציב  '!$B:$S,11,0)*1</f>
        <v>0</v>
      </c>
      <c r="N31" s="162" t="str">
        <f aca="false">IFERROR(H31/M31-1,"-")</f>
        <v>-</v>
      </c>
      <c r="O31" s="162" t="str">
        <f aca="false">IFERROR(H31/M31,"-")</f>
        <v>-</v>
      </c>
      <c r="P31" s="145" t="n">
        <f aca="false">H31-M31</f>
        <v>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W31" s="145" t="n">
        <v>0</v>
      </c>
      <c r="X31" s="5" t="n">
        <f aca="false">H31-W31</f>
        <v>0</v>
      </c>
      <c r="Y31" s="163" t="str">
        <f aca="false">IFERROR((H31/W31)-1,"-")</f>
        <v>-</v>
      </c>
    </row>
    <row r="32" customFormat="false" ht="13.5" hidden="false" customHeight="true" outlineLevel="1" collapsed="false">
      <c r="A32" s="165" t="n">
        <v>31</v>
      </c>
      <c r="B32" s="85" t="s">
        <v>84</v>
      </c>
      <c r="C32" s="167" t="s">
        <v>84</v>
      </c>
      <c r="D32" s="167" t="s">
        <v>85</v>
      </c>
      <c r="E32" s="145" t="s">
        <v>86</v>
      </c>
      <c r="F32" s="145" t="n">
        <v>0</v>
      </c>
      <c r="G32" s="145" t="n">
        <v>0</v>
      </c>
      <c r="H32" s="145" t="n">
        <v>10037.15</v>
      </c>
      <c r="I32" s="162" t="n">
        <f aca="false">IFERROR(H32/$H$19,"")</f>
        <v>0.00508354057445701</v>
      </c>
      <c r="J32" s="194" t="str">
        <f aca="false">IFERROR(H32/G32-1,"")</f>
        <v/>
      </c>
      <c r="K32" s="145" t="n">
        <f aca="false">H32-G32</f>
        <v>10037.15</v>
      </c>
      <c r="M32" s="145" t="n">
        <f aca="false">VLOOKUP(C32,'תקציב  '!$B:$S,11,0)*1</f>
        <v>0</v>
      </c>
      <c r="N32" s="162" t="str">
        <f aca="false">IFERROR(H32/M32-1,"-")</f>
        <v>-</v>
      </c>
      <c r="O32" s="162" t="str">
        <f aca="false">IFERROR(H32/M32,"-")</f>
        <v>-</v>
      </c>
      <c r="P32" s="145" t="n">
        <f aca="false">H32-M32</f>
        <v>10037.15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10037.15</v>
      </c>
      <c r="W32" s="145" t="n">
        <v>10037.15</v>
      </c>
      <c r="X32" s="5" t="n">
        <f aca="false">H32-W32</f>
        <v>0</v>
      </c>
      <c r="Y32" s="163" t="n">
        <f aca="false">IFERROR((H32/W32)-1,"-")</f>
        <v>0</v>
      </c>
    </row>
    <row r="33" customFormat="false" ht="13.5" hidden="false" customHeight="true" outlineLevel="1" collapsed="false">
      <c r="A33" s="165"/>
      <c r="C33" s="167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94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IFERROR(H33/M33-1,"-")</f>
        <v>-</v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false" customHeight="true" outlineLevel="1" collapsed="false">
      <c r="A34" s="165" t="n">
        <v>32</v>
      </c>
      <c r="B34" s="85" t="s">
        <v>157</v>
      </c>
      <c r="C34" s="167" t="s">
        <v>87</v>
      </c>
      <c r="D34" s="167" t="s">
        <v>88</v>
      </c>
      <c r="E34" s="145" t="s">
        <v>89</v>
      </c>
      <c r="F34" s="145" t="n">
        <v>0</v>
      </c>
      <c r="G34" s="145" t="n">
        <v>0</v>
      </c>
      <c r="H34" s="145" t="n">
        <v>18350.05</v>
      </c>
      <c r="I34" s="162" t="n">
        <f aca="false">IFERROR(H34/$H$19,"")</f>
        <v>0.00929379591998872</v>
      </c>
      <c r="J34" s="194" t="str">
        <f aca="false">IFERROR(H34/G34-1,"")</f>
        <v/>
      </c>
      <c r="K34" s="145" t="n">
        <f aca="false">H34-G34</f>
        <v>18350.05</v>
      </c>
      <c r="M34" s="145" t="n">
        <f aca="false">VLOOKUP(C34,'תקציב  '!$B:$S,11,0)*1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5" t="n">
        <f aca="false">H34-M34</f>
        <v>18350.05</v>
      </c>
      <c r="R34" s="147" t="n">
        <v>20000</v>
      </c>
      <c r="S34" s="162" t="n">
        <f aca="false">IFERROR(H34/R34-1,"-")</f>
        <v>-0.0824975</v>
      </c>
      <c r="T34" s="162" t="n">
        <f aca="false">IFERROR(H34/R34,"-")</f>
        <v>0.9175025</v>
      </c>
      <c r="U34" s="147" t="n">
        <f aca="false">H34-R34</f>
        <v>-1649.95</v>
      </c>
      <c r="W34" s="145" t="n">
        <v>18350.05</v>
      </c>
      <c r="X34" s="5" t="n">
        <f aca="false">H34-W34</f>
        <v>0</v>
      </c>
      <c r="Y34" s="163" t="n">
        <f aca="false">IFERROR((H34/W34)-1,"-")</f>
        <v>0</v>
      </c>
    </row>
    <row r="35" customFormat="false" ht="13.5" hidden="false" customHeight="true" outlineLevel="1" collapsed="false">
      <c r="A35" s="165" t="n">
        <v>33</v>
      </c>
      <c r="B35" s="85" t="s">
        <v>158</v>
      </c>
      <c r="C35" s="167" t="s">
        <v>90</v>
      </c>
      <c r="D35" s="167" t="s">
        <v>91</v>
      </c>
      <c r="E35" s="145" t="s">
        <v>92</v>
      </c>
      <c r="F35" s="145" t="n">
        <v>25140.85</v>
      </c>
      <c r="G35" s="145" t="n">
        <v>0</v>
      </c>
      <c r="H35" s="145" t="n">
        <v>26105.72</v>
      </c>
      <c r="I35" s="162" t="n">
        <f aca="false">IFERROR(H35/$H$19,"")</f>
        <v>0.0132218295876234</v>
      </c>
      <c r="J35" s="194" t="str">
        <f aca="false">IFERROR(H35/G35-1,"")</f>
        <v/>
      </c>
      <c r="K35" s="145" t="n">
        <f aca="false">H35-G35</f>
        <v>26105.72</v>
      </c>
      <c r="M35" s="145" t="n">
        <f aca="false">VLOOKUP(C35,'תקציב  '!$B:$S,11,0)*1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5" t="n">
        <f aca="false">H35-M35</f>
        <v>26105.72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26105.72</v>
      </c>
      <c r="W35" s="145" t="n">
        <v>26105.72</v>
      </c>
      <c r="X35" s="5" t="n">
        <f aca="false">H35-W35</f>
        <v>0</v>
      </c>
      <c r="Y35" s="163" t="n">
        <f aca="false">IFERROR((H35/W35)-1,"-")</f>
        <v>0</v>
      </c>
    </row>
    <row r="36" customFormat="false" ht="14.25" hidden="false" customHeight="true" outlineLevel="1" collapsed="false">
      <c r="A36" s="165"/>
      <c r="B36" s="85" t="s">
        <v>159</v>
      </c>
      <c r="C36" s="167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94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IFERROR(H36/M36-1,"-")</f>
        <v>-</v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false" customHeight="true" outlineLevel="1" collapsed="false">
      <c r="A37" s="165" t="n">
        <v>34</v>
      </c>
      <c r="B37" s="85" t="s">
        <v>161</v>
      </c>
      <c r="C37" s="167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94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IFERROR(H37/M37-1,"-")</f>
        <v>-</v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false" customHeight="true" outlineLevel="1" collapsed="false">
      <c r="A38" s="165" t="n">
        <v>35</v>
      </c>
      <c r="B38" s="85" t="s">
        <v>94</v>
      </c>
      <c r="C38" s="167" t="s">
        <v>94</v>
      </c>
      <c r="D38" s="167" t="s">
        <v>95</v>
      </c>
      <c r="E38" s="145" t="s">
        <v>51</v>
      </c>
      <c r="F38" s="145" t="n">
        <v>0</v>
      </c>
      <c r="G38" s="145" t="n">
        <v>0</v>
      </c>
      <c r="H38" s="145" t="n">
        <v>0</v>
      </c>
      <c r="I38" s="162" t="n">
        <f aca="false">IFERROR(H38/$H$19,"")</f>
        <v>0</v>
      </c>
      <c r="J38" s="194" t="str">
        <f aca="false">IFERROR(H38/G38-1,"")</f>
        <v/>
      </c>
      <c r="K38" s="145" t="n">
        <f aca="false">H38-G38</f>
        <v>0</v>
      </c>
      <c r="M38" s="145" t="n">
        <f aca="false">VLOOKUP(C38,'תקציב  '!$B:$S,11,0)*1</f>
        <v>200000</v>
      </c>
      <c r="N38" s="162" t="n">
        <f aca="false">IFERROR(H38/M38-1,"-")</f>
        <v>-1</v>
      </c>
      <c r="O38" s="162" t="n">
        <f aca="false">IFERROR(H38/M38,"-")</f>
        <v>0</v>
      </c>
      <c r="P38" s="145" t="n">
        <f aca="false">H38-M38</f>
        <v>-200000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false" customHeight="true" outlineLevel="1" collapsed="false">
      <c r="A39" s="196" t="n">
        <v>36</v>
      </c>
      <c r="C39" s="197" t="s">
        <v>97</v>
      </c>
      <c r="D39" s="197" t="s">
        <v>97</v>
      </c>
      <c r="E39" s="198"/>
      <c r="F39" s="198"/>
      <c r="G39" s="198"/>
      <c r="H39" s="198" t="n">
        <v>0</v>
      </c>
      <c r="I39" s="199" t="n">
        <f aca="false">IFERROR(H39/$H$19,"")</f>
        <v>0</v>
      </c>
      <c r="J39" s="194" t="str">
        <f aca="false">IFERROR(H39/G39-1,"")</f>
        <v/>
      </c>
      <c r="K39" s="198" t="n">
        <f aca="false">H39-G39</f>
        <v>0</v>
      </c>
      <c r="M39" s="198" t="n">
        <f aca="false">VLOOKUP(C39,'תקציב  '!$B:$S,11,0)*1</f>
        <v>0</v>
      </c>
      <c r="N39" s="199" t="str">
        <f aca="false">IFERROR(H39/M39-1,"-")</f>
        <v>-</v>
      </c>
      <c r="O39" s="199" t="str">
        <f aca="false">IFERROR(H39/M39,"-")</f>
        <v>-</v>
      </c>
      <c r="P39" s="198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200"/>
      <c r="C40" s="182"/>
      <c r="D40" s="182" t="s">
        <v>98</v>
      </c>
      <c r="E40" s="183"/>
      <c r="F40" s="183" t="n">
        <f aca="false">SUM(F20:F39)+F51+F52</f>
        <v>394530.67</v>
      </c>
      <c r="G40" s="183" t="n">
        <f aca="false">SUM(G20:G39)+G51+G52</f>
        <v>430934.25</v>
      </c>
      <c r="H40" s="183" t="n">
        <f aca="false">SUM(H20:H39)+H51+H52</f>
        <v>430411</v>
      </c>
      <c r="I40" s="184" t="n">
        <f aca="false">IFERROR(H40/$H$19,"")</f>
        <v>0.217991340389714</v>
      </c>
      <c r="J40" s="184" t="n">
        <f aca="false">H40/G40-1</f>
        <v>-0.00121422235526647</v>
      </c>
      <c r="K40" s="183" t="n">
        <f aca="false">SUM(K20:K39)+K51+K52</f>
        <v>-523.25</v>
      </c>
      <c r="M40" s="183" t="n">
        <f aca="false">SUM(M20:M39)+M51+M52</f>
        <v>1146567.022175</v>
      </c>
      <c r="N40" s="184" t="n">
        <f aca="false">IFERROR(H40/M40-1,"-")</f>
        <v>-0.624608948560613</v>
      </c>
      <c r="O40" s="184" t="n">
        <f aca="false">IFERROR(H40/M40,"-")</f>
        <v>0.375391051439387</v>
      </c>
      <c r="P40" s="183" t="n">
        <f aca="false">SUM(P20:P39)+P51+P52</f>
        <v>-716156.022175</v>
      </c>
      <c r="R40" s="183" t="n">
        <f aca="false">SUM(R20:R39)+R51+R52</f>
        <v>495012.4</v>
      </c>
      <c r="S40" s="184" t="n">
        <f aca="false">IFERROR(H40/R40-1,"-")</f>
        <v>-0.130504609581497</v>
      </c>
      <c r="T40" s="184" t="n">
        <f aca="false">IFERROR(H40/R40,"-")</f>
        <v>0.869495390418503</v>
      </c>
      <c r="U40" s="183" t="n">
        <f aca="false">H40-R40</f>
        <v>-64601.4</v>
      </c>
      <c r="V40" s="174"/>
      <c r="W40" s="183" t="n">
        <v>430411</v>
      </c>
      <c r="X40" s="175" t="n">
        <f aca="false">H40-W40</f>
        <v>0</v>
      </c>
      <c r="Y40" s="176" t="n">
        <f aca="false">IFERROR((H40/W40)-1,"-")</f>
        <v>0</v>
      </c>
    </row>
    <row r="41" customFormat="false" ht="15" hidden="false" customHeight="true" outlineLevel="0" collapsed="false">
      <c r="A41" s="165"/>
      <c r="B41" s="200"/>
      <c r="C41" s="185"/>
      <c r="D41" s="185" t="s">
        <v>163</v>
      </c>
      <c r="E41" s="186"/>
      <c r="F41" s="186" t="n">
        <f aca="false">F40+F19</f>
        <v>1957759.307</v>
      </c>
      <c r="G41" s="186" t="n">
        <f aca="false">G40+G19</f>
        <v>1998960.06</v>
      </c>
      <c r="H41" s="186" t="n">
        <f aca="false">H40+H19</f>
        <v>2404851.816</v>
      </c>
      <c r="I41" s="134" t="n">
        <f aca="false">IFERROR(H41/$H$19,"")</f>
        <v>1.21799134038971</v>
      </c>
      <c r="J41" s="134" t="n">
        <f aca="false">H41/G41-1</f>
        <v>0.203051458666963</v>
      </c>
      <c r="K41" s="186" t="n">
        <f aca="false">K40+K19</f>
        <v>405891.756</v>
      </c>
      <c r="M41" s="186" t="n">
        <f aca="false">M40+M19</f>
        <v>4141049.61905824</v>
      </c>
      <c r="N41" s="134" t="n">
        <f aca="false">IFERROR(H41/M41-1,"-")</f>
        <v>-0.419265153227768</v>
      </c>
      <c r="O41" s="134" t="n">
        <f aca="false">IFERROR(H41/M41,"-")</f>
        <v>0.580734846772232</v>
      </c>
      <c r="P41" s="186" t="n">
        <f aca="false">P40+P19</f>
        <v>-1736197.80305824</v>
      </c>
      <c r="R41" s="186" t="n">
        <f aca="false">R40+R19</f>
        <v>2626512.4</v>
      </c>
      <c r="S41" s="134" t="n">
        <f aca="false">IFERROR(H41/R41-1,"-")</f>
        <v>-0.0843935037199901</v>
      </c>
      <c r="T41" s="134" t="n">
        <f aca="false">IFERROR(H41/R41,"-")</f>
        <v>0.91560649628001</v>
      </c>
      <c r="U41" s="186" t="n">
        <f aca="false">H41-R41</f>
        <v>-221660.584</v>
      </c>
      <c r="V41" s="174"/>
      <c r="W41" s="186" t="n">
        <v>2350176.121</v>
      </c>
      <c r="X41" s="175" t="n">
        <f aca="false">H41-W41</f>
        <v>54675.6949999998</v>
      </c>
      <c r="Y41" s="176" t="n">
        <f aca="false">IFERROR((H41/W41)-1,"-")</f>
        <v>0.0232645096303401</v>
      </c>
    </row>
    <row r="42" customFormat="false" ht="14.25" hidden="false" customHeight="true" outlineLevel="0" collapsed="false">
      <c r="E42" s="144"/>
      <c r="F42" s="144" t="n">
        <v>0</v>
      </c>
      <c r="G42" s="144"/>
      <c r="H42" s="144"/>
      <c r="J42" s="201"/>
      <c r="K42" s="144"/>
      <c r="M42" s="144"/>
      <c r="P42" s="144"/>
    </row>
    <row r="44" customFormat="false" ht="14.25" hidden="false" customHeight="true" outlineLevel="0" collapsed="false">
      <c r="H44" s="5"/>
    </row>
    <row r="50" customFormat="false" ht="14.25" hidden="false" customHeight="true" outlineLevel="0" collapsed="false">
      <c r="A50" s="159"/>
      <c r="B50" s="85"/>
      <c r="C50" s="161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94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85"/>
      <c r="C51" s="167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94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85"/>
      <c r="C52" s="167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94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H16" activePane="bottomRight" state="frozen"/>
      <selection pane="topLeft" activeCell="A1" activeCellId="0" sqref="A1"/>
      <selection pane="topRight" activeCell="H1" activeCellId="0" sqref="H1"/>
      <selection pane="bottomLeft" activeCell="A16" activeCellId="0" sqref="A16"/>
      <selection pane="bottomRight" activeCell="P73" activeCellId="0" sqref="P73"/>
    </sheetView>
  </sheetViews>
  <sheetFormatPr defaultColWidth="8.625" defaultRowHeight="14.25" zeroHeight="false" outlineLevelRow="1" outlineLevelCol="0"/>
  <cols>
    <col collapsed="false" customWidth="true" hidden="true" outlineLevel="0" max="1" min="1" style="1" width="2.88"/>
    <col collapsed="false" customWidth="true" hidden="true" outlineLevel="0" max="2" min="2" style="90" width="26"/>
    <col collapsed="false" customWidth="true" hidden="true" outlineLevel="0" max="3" min="3" style="1" width="13.38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2" min="12" style="1" width="1.75"/>
    <col collapsed="false" customWidth="true" hidden="false" outlineLevel="0" max="13" min="13" style="1" width="10.26"/>
    <col collapsed="false" customWidth="true" hidden="false" outlineLevel="0" max="14" min="14" style="1" width="11"/>
    <col collapsed="false" customWidth="true" hidden="false" outlineLevel="0" max="15" min="15" style="1" width="6.88"/>
    <col collapsed="false" customWidth="true" hidden="false" outlineLevel="0" max="16" min="16" style="1" width="10.75"/>
    <col collapsed="false" customWidth="true" hidden="false" outlineLevel="0" max="17" min="17" style="1" width="3.5"/>
    <col collapsed="false" customWidth="true" hidden="false" outlineLevel="0" max="18" min="18" style="1" width="10.26"/>
    <col collapsed="false" customWidth="true" hidden="fals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3" min="23" style="1" width="9.87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B1" s="149"/>
      <c r="C1" s="7" t="s">
        <v>180</v>
      </c>
      <c r="D1" s="149" t="s">
        <v>180</v>
      </c>
      <c r="E1" s="7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B2" s="38"/>
      <c r="C2" s="154"/>
      <c r="D2" s="38"/>
      <c r="E2" s="154" t="s">
        <v>3</v>
      </c>
      <c r="F2" s="154" t="n">
        <v>9.2024</v>
      </c>
      <c r="G2" s="154" t="n">
        <v>9.2025</v>
      </c>
      <c r="H2" s="154" t="n">
        <v>9.2026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4" t="n">
        <v>9.2026</v>
      </c>
      <c r="X2" s="157"/>
    </row>
    <row r="3" customFormat="false" ht="14.25" hidden="true" customHeight="true" outlineLevel="1" collapsed="false">
      <c r="A3" s="159" t="n">
        <v>5</v>
      </c>
      <c r="B3" s="161" t="s">
        <v>131</v>
      </c>
      <c r="C3" s="145" t="s">
        <v>31</v>
      </c>
      <c r="D3" s="161" t="s">
        <v>31</v>
      </c>
      <c r="E3" s="145" t="s">
        <v>32</v>
      </c>
      <c r="F3" s="145" t="n">
        <v>124776.4</v>
      </c>
      <c r="G3" s="145" t="n">
        <v>157587.19</v>
      </c>
      <c r="H3" s="145" t="n">
        <v>193941.5</v>
      </c>
      <c r="I3" s="162" t="n">
        <f aca="false">IFERROR(H3/$H$19,"")</f>
        <v>0.110928212845793</v>
      </c>
      <c r="J3" s="162" t="n">
        <f aca="false">IFERROR(H3/G3-1,"")</f>
        <v>0.230693306987706</v>
      </c>
      <c r="K3" s="145" t="n">
        <f aca="false">H3-G3</f>
        <v>36354.31</v>
      </c>
      <c r="M3" s="145" t="n">
        <f aca="false">VLOOKUP(C3,'תקציב  '!$B:$S,12,0)*1</f>
        <v>209841.26984127</v>
      </c>
      <c r="N3" s="162" t="n">
        <f aca="false">IFERROR(H3/M3-1,"")</f>
        <v>-0.0757704614220884</v>
      </c>
      <c r="O3" s="162" t="n">
        <f aca="false">IFERROR(H3/M3,"-")</f>
        <v>0.924229538577912</v>
      </c>
      <c r="P3" s="145" t="n">
        <f aca="false">H3-M3</f>
        <v>-15899.76984127</v>
      </c>
      <c r="R3" s="147" t="n">
        <v>200000</v>
      </c>
      <c r="S3" s="162" t="n">
        <f aca="false">IFERROR(H3/R3-1,"-")</f>
        <v>-0.0302925000000001</v>
      </c>
      <c r="T3" s="162" t="n">
        <f aca="false">IFERROR(H3/R3,"-")</f>
        <v>0.9697075</v>
      </c>
      <c r="U3" s="147" t="n">
        <f aca="false">H3-R3</f>
        <v>-6058.5</v>
      </c>
      <c r="W3" s="145" t="n">
        <v>193941.5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true" customHeight="true" outlineLevel="1" collapsed="false">
      <c r="A4" s="164" t="n">
        <v>1</v>
      </c>
      <c r="B4" s="161" t="s">
        <v>33</v>
      </c>
      <c r="C4" s="145" t="s">
        <v>33</v>
      </c>
      <c r="D4" s="161" t="s">
        <v>33</v>
      </c>
      <c r="E4" s="145" t="s">
        <v>32</v>
      </c>
      <c r="F4" s="145" t="n">
        <v>514559.045</v>
      </c>
      <c r="G4" s="145" t="n">
        <v>465794.42</v>
      </c>
      <c r="H4" s="145" t="n">
        <v>507718.575</v>
      </c>
      <c r="I4" s="162" t="n">
        <f aca="false">IFERROR(H4/$H$19,"")</f>
        <v>0.290398466307432</v>
      </c>
      <c r="J4" s="162" t="n">
        <f aca="false">IFERROR(H4/G4-1,"")</f>
        <v>0.0900057046625848</v>
      </c>
      <c r="K4" s="145" t="n">
        <f aca="false">H4-G4</f>
        <v>41924.155</v>
      </c>
      <c r="M4" s="145" t="n">
        <f aca="false">VLOOKUP(C4,'תקציב  '!$B:$S,12,0)*1</f>
        <v>527603.174603175</v>
      </c>
      <c r="N4" s="162" t="n">
        <f aca="false">IFERROR(H4/M4-1,"")</f>
        <v>-0.0376885518517411</v>
      </c>
      <c r="O4" s="162" t="n">
        <f aca="false">IFERROR(H4/M4,"-")</f>
        <v>0.962311448148259</v>
      </c>
      <c r="P4" s="145" t="n">
        <f aca="false">H4-M4</f>
        <v>-19884.599603175</v>
      </c>
      <c r="R4" s="147" t="n">
        <v>550000</v>
      </c>
      <c r="S4" s="162" t="n">
        <f aca="false">IFERROR(H4/R4-1,"-")</f>
        <v>-0.0768753181818181</v>
      </c>
      <c r="T4" s="162" t="n">
        <f aca="false">IFERROR(H4/R4,"-")</f>
        <v>0.923124681818182</v>
      </c>
      <c r="U4" s="147" t="n">
        <f aca="false">H4-R4</f>
        <v>-42281.425</v>
      </c>
      <c r="W4" s="145" t="n">
        <v>343121.506</v>
      </c>
      <c r="X4" s="5" t="n">
        <f aca="false">H4-W4</f>
        <v>164597.069</v>
      </c>
      <c r="Y4" s="163" t="n">
        <f aca="false">IFERROR((H4/W4)-1,"-")</f>
        <v>0.479704903720025</v>
      </c>
    </row>
    <row r="5" customFormat="false" ht="14.25" hidden="true" customHeight="true" outlineLevel="1" collapsed="false">
      <c r="A5" s="164" t="n">
        <v>7</v>
      </c>
      <c r="B5" s="161" t="s">
        <v>34</v>
      </c>
      <c r="C5" s="145" t="s">
        <v>34</v>
      </c>
      <c r="D5" s="161" t="s">
        <v>34</v>
      </c>
      <c r="E5" s="145" t="s">
        <v>32</v>
      </c>
      <c r="F5" s="145" t="n">
        <v>104489.476</v>
      </c>
      <c r="G5" s="145" t="n">
        <v>64918.49</v>
      </c>
      <c r="H5" s="145" t="n">
        <v>73475.311</v>
      </c>
      <c r="I5" s="162" t="n">
        <f aca="false">IFERROR(H5/$H$19,"")</f>
        <v>0.0420254815886175</v>
      </c>
      <c r="J5" s="162" t="n">
        <f aca="false">IFERROR(H5/G5-1,"")</f>
        <v>0.131808688094871</v>
      </c>
      <c r="K5" s="145" t="n">
        <f aca="false">H5-G5</f>
        <v>8556.821</v>
      </c>
      <c r="M5" s="145" t="n">
        <f aca="false">VLOOKUP(C5,'תקציב  '!$B:$S,12,0)*1</f>
        <v>67857.1428571428</v>
      </c>
      <c r="N5" s="162" t="n">
        <f aca="false">IFERROR(H5/M5-1,"")</f>
        <v>0.0827940568421062</v>
      </c>
      <c r="O5" s="162" t="n">
        <f aca="false">IFERROR(H5/M5,"-")</f>
        <v>1.08279405684211</v>
      </c>
      <c r="P5" s="145" t="n">
        <f aca="false">H5-M5</f>
        <v>5618.16814285721</v>
      </c>
      <c r="R5" s="147" t="n">
        <v>100000</v>
      </c>
      <c r="S5" s="162" t="n">
        <f aca="false">IFERROR(H5/R5-1,"-")</f>
        <v>-0.26524689</v>
      </c>
      <c r="T5" s="162" t="n">
        <f aca="false">IFERROR(H5/R5,"-")</f>
        <v>0.73475311</v>
      </c>
      <c r="U5" s="147" t="n">
        <f aca="false">H5-R5</f>
        <v>-26524.689</v>
      </c>
      <c r="W5" s="145" t="n">
        <v>60296.236</v>
      </c>
      <c r="X5" s="5" t="n">
        <f aca="false">H5-W5</f>
        <v>13179.075</v>
      </c>
      <c r="Y5" s="163" t="n">
        <f aca="false">IFERROR((H5/W5)-1,"-")</f>
        <v>0.218572101250234</v>
      </c>
    </row>
    <row r="6" customFormat="false" ht="14.25" hidden="true" customHeight="true" outlineLevel="1" collapsed="false">
      <c r="A6" s="164" t="n">
        <v>4</v>
      </c>
      <c r="B6" s="161" t="s">
        <v>35</v>
      </c>
      <c r="C6" s="145" t="s">
        <v>35</v>
      </c>
      <c r="D6" s="161" t="s">
        <v>35</v>
      </c>
      <c r="E6" s="145" t="s">
        <v>32</v>
      </c>
      <c r="F6" s="145" t="n">
        <v>141046.592</v>
      </c>
      <c r="G6" s="145" t="n">
        <v>134403.73</v>
      </c>
      <c r="H6" s="145" t="n">
        <v>182488.743</v>
      </c>
      <c r="I6" s="162" t="n">
        <f aca="false">IFERROR(H6/$H$19,"")</f>
        <v>0.104377609358829</v>
      </c>
      <c r="J6" s="162" t="n">
        <f aca="false">IFERROR(H6/G6-1,"")</f>
        <v>0.357765465288798</v>
      </c>
      <c r="K6" s="145" t="n">
        <f aca="false">H6-G6</f>
        <v>48085.013</v>
      </c>
      <c r="M6" s="145" t="n">
        <f aca="false">VLOOKUP(B6,'תקציב  '!$B:$S,12,0)*1</f>
        <v>150253.968253968</v>
      </c>
      <c r="N6" s="162" t="n">
        <f aca="false">IFERROR(H6/M6-1,"")</f>
        <v>0.214535263997467</v>
      </c>
      <c r="O6" s="162" t="n">
        <f aca="false">IFERROR(H6/M6,"-")</f>
        <v>1.21453526399747</v>
      </c>
      <c r="P6" s="145" t="n">
        <f aca="false">H6-M6</f>
        <v>32234.774746032</v>
      </c>
      <c r="R6" s="147" t="n">
        <v>200000</v>
      </c>
      <c r="S6" s="162" t="n">
        <f aca="false">IFERROR(H6/R6-1,"-")</f>
        <v>-0.087556285</v>
      </c>
      <c r="T6" s="162" t="n">
        <f aca="false">IFERROR(H6/R6,"-")</f>
        <v>0.912443715</v>
      </c>
      <c r="U6" s="147" t="n">
        <f aca="false">H6-R6</f>
        <v>-17511.257</v>
      </c>
      <c r="W6" s="145" t="n">
        <v>169016.557</v>
      </c>
      <c r="X6" s="5" t="n">
        <f aca="false">H6-W6</f>
        <v>13472.186</v>
      </c>
      <c r="Y6" s="163" t="n">
        <f aca="false">IFERROR((H6/W6)-1,"-")</f>
        <v>0.0797092677730975</v>
      </c>
    </row>
    <row r="7" customFormat="false" ht="14.25" hidden="true" customHeight="true" outlineLevel="1" collapsed="false">
      <c r="A7" s="164" t="n">
        <v>3</v>
      </c>
      <c r="B7" s="161" t="s">
        <v>132</v>
      </c>
      <c r="C7" s="145" t="s">
        <v>36</v>
      </c>
      <c r="D7" s="161" t="s">
        <v>36</v>
      </c>
      <c r="E7" s="145" t="s">
        <v>32</v>
      </c>
      <c r="F7" s="145" t="n">
        <v>309520.8</v>
      </c>
      <c r="G7" s="145" t="n">
        <v>337200.15</v>
      </c>
      <c r="H7" s="145" t="n">
        <v>296928.1</v>
      </c>
      <c r="I7" s="162" t="n">
        <f aca="false">IFERROR(H7/$H$19,"")</f>
        <v>0.169833189269429</v>
      </c>
      <c r="J7" s="162" t="n">
        <f aca="false">IFERROR(H7/G7-1,"")</f>
        <v>-0.119430700134623</v>
      </c>
      <c r="K7" s="145" t="n">
        <f aca="false">H7-G7</f>
        <v>-40272.0500000001</v>
      </c>
      <c r="M7" s="145" t="n">
        <f aca="false">VLOOKUP(C7,'תקציב  '!$B:$S,12,0)*1</f>
        <v>365000</v>
      </c>
      <c r="N7" s="162" t="n">
        <f aca="false">IFERROR(H7/M7-1,"")</f>
        <v>-0.186498356164384</v>
      </c>
      <c r="O7" s="162" t="n">
        <f aca="false">IFERROR(H7/M7,"-")</f>
        <v>0.813501643835616</v>
      </c>
      <c r="P7" s="145" t="n">
        <f aca="false">H7-M7</f>
        <v>-68071.9</v>
      </c>
      <c r="R7" s="147" t="n">
        <v>330000</v>
      </c>
      <c r="S7" s="162" t="n">
        <f aca="false">IFERROR(H7/R7-1,"-")</f>
        <v>-0.100217878787879</v>
      </c>
      <c r="T7" s="162" t="n">
        <f aca="false">IFERROR(H7/R7,"-")</f>
        <v>0.899782121212121</v>
      </c>
      <c r="U7" s="147" t="n">
        <f aca="false">H7-R7</f>
        <v>-33071.9</v>
      </c>
      <c r="W7" s="145" t="n">
        <v>224717.2</v>
      </c>
      <c r="X7" s="5" t="n">
        <f aca="false">H7-W7</f>
        <v>72210.9</v>
      </c>
      <c r="Y7" s="163" t="n">
        <f aca="false">IFERROR((H7/W7)-1,"-")</f>
        <v>0.321341223546751</v>
      </c>
    </row>
    <row r="8" customFormat="false" ht="14.25" hidden="true" customHeight="true" outlineLevel="1" collapsed="false">
      <c r="A8" s="164" t="n">
        <v>8</v>
      </c>
      <c r="B8" s="161" t="s">
        <v>133</v>
      </c>
      <c r="C8" s="145" t="s">
        <v>37</v>
      </c>
      <c r="D8" s="161" t="s">
        <v>37</v>
      </c>
      <c r="E8" s="145" t="s">
        <v>32</v>
      </c>
      <c r="F8" s="145" t="n">
        <v>65554.73</v>
      </c>
      <c r="G8" s="145" t="n">
        <v>89206.99</v>
      </c>
      <c r="H8" s="145" t="n">
        <v>55452.215</v>
      </c>
      <c r="I8" s="162" t="n">
        <f aca="false">IFERROR(H8/$H$19,"")</f>
        <v>0.0317168584768639</v>
      </c>
      <c r="J8" s="162" t="n">
        <f aca="false">IFERROR(H8/G8-1,"")</f>
        <v>-0.378387108454169</v>
      </c>
      <c r="K8" s="145" t="n">
        <f aca="false">H8-G8</f>
        <v>-33754.775</v>
      </c>
      <c r="M8" s="145" t="n">
        <f aca="false">VLOOKUP(C8,'תקציב  '!$B:$S,12,0)*1</f>
        <v>95396.8253968254</v>
      </c>
      <c r="N8" s="162" t="n">
        <f aca="false">IFERROR(H8/M8-1,"")</f>
        <v>-0.418720541597338</v>
      </c>
      <c r="O8" s="162" t="n">
        <f aca="false">IFERROR(H8/M8,"-")</f>
        <v>0.581279458402662</v>
      </c>
      <c r="P8" s="145" t="n">
        <f aca="false">H8-M8</f>
        <v>-39944.6103968254</v>
      </c>
      <c r="R8" s="147" t="n">
        <v>100000</v>
      </c>
      <c r="S8" s="162" t="n">
        <f aca="false">IFERROR(H8/R8-1,"-")</f>
        <v>-0.44547785</v>
      </c>
      <c r="T8" s="162" t="n">
        <f aca="false">IFERROR(H8/R8,"-")</f>
        <v>0.55452215</v>
      </c>
      <c r="U8" s="147" t="n">
        <f aca="false">H8-R8</f>
        <v>-44547.785</v>
      </c>
      <c r="W8" s="145" t="n">
        <v>49516.012</v>
      </c>
      <c r="X8" s="5" t="n">
        <f aca="false">H8-W8</f>
        <v>5936.20299999999</v>
      </c>
      <c r="Y8" s="163" t="n">
        <f aca="false">IFERROR((H8/W8)-1,"-")</f>
        <v>0.119884513316622</v>
      </c>
    </row>
    <row r="9" customFormat="false" ht="14.25" hidden="true" customHeight="true" outlineLevel="1" collapsed="false">
      <c r="A9" s="164" t="n">
        <v>6</v>
      </c>
      <c r="B9" s="161" t="s">
        <v>134</v>
      </c>
      <c r="C9" s="145" t="s">
        <v>38</v>
      </c>
      <c r="D9" s="161" t="s">
        <v>38</v>
      </c>
      <c r="E9" s="145" t="s">
        <v>32</v>
      </c>
      <c r="F9" s="145" t="n">
        <v>65856.52</v>
      </c>
      <c r="G9" s="145" t="n">
        <v>69988.58</v>
      </c>
      <c r="H9" s="145" t="n">
        <v>60353.17</v>
      </c>
      <c r="I9" s="162" t="n">
        <f aca="false">IFERROR(H9/$H$19,"")</f>
        <v>0.0345200448984789</v>
      </c>
      <c r="J9" s="162" t="n">
        <f aca="false">IFERROR(H9/G9-1,"")</f>
        <v>-0.137671174354445</v>
      </c>
      <c r="K9" s="145" t="n">
        <f aca="false">H9-G9</f>
        <v>-9635.41</v>
      </c>
      <c r="M9" s="145" t="n">
        <f aca="false">VLOOKUP(C9,'תקציב  '!$B:$S,12,0)*1</f>
        <v>166575.396825397</v>
      </c>
      <c r="N9" s="162" t="n">
        <f aca="false">IFERROR(H9/M9-1,"")</f>
        <v>-0.637682568072993</v>
      </c>
      <c r="O9" s="162" t="n">
        <f aca="false">IFERROR(H9/M9,"-")</f>
        <v>0.362317431927007</v>
      </c>
      <c r="P9" s="145" t="n">
        <f aca="false">H9-M9</f>
        <v>-106222.226825397</v>
      </c>
      <c r="R9" s="147" t="n">
        <v>100000</v>
      </c>
      <c r="S9" s="162" t="n">
        <f aca="false">IFERROR(H9/R9-1,"-")</f>
        <v>-0.3964683</v>
      </c>
      <c r="T9" s="162" t="n">
        <f aca="false">IFERROR(H9/R9,"-")</f>
        <v>0.6035317</v>
      </c>
      <c r="U9" s="147" t="n">
        <f aca="false">H9-R9</f>
        <v>-39646.83</v>
      </c>
      <c r="W9" s="145" t="n">
        <v>50664.95</v>
      </c>
      <c r="X9" s="5" t="n">
        <f aca="false">H9-W9</f>
        <v>9688.22</v>
      </c>
      <c r="Y9" s="163" t="n">
        <f aca="false">IFERROR((H9/W9)-1,"-")</f>
        <v>0.191221347302228</v>
      </c>
    </row>
    <row r="10" customFormat="false" ht="14.25" hidden="true" customHeight="true" outlineLevel="1" collapsed="false">
      <c r="A10" s="165" t="n">
        <v>10</v>
      </c>
      <c r="B10" s="167" t="s">
        <v>135</v>
      </c>
      <c r="C10" s="145" t="s">
        <v>39</v>
      </c>
      <c r="D10" s="167" t="s">
        <v>39</v>
      </c>
      <c r="E10" s="145" t="s">
        <v>32</v>
      </c>
      <c r="F10" s="145" t="n">
        <v>10468.76</v>
      </c>
      <c r="G10" s="145" t="n">
        <v>17490.72</v>
      </c>
      <c r="H10" s="145" t="n">
        <v>8627.76</v>
      </c>
      <c r="I10" s="162" t="n">
        <f aca="false">IFERROR(H10/$H$19,"")</f>
        <v>0.00493479733663204</v>
      </c>
      <c r="J10" s="162" t="n">
        <f aca="false">IFERROR(H10/G10-1,"")</f>
        <v>-0.506723565410686</v>
      </c>
      <c r="K10" s="145" t="n">
        <f aca="false">H10-G10</f>
        <v>-8862.96</v>
      </c>
      <c r="M10" s="145" t="n">
        <f aca="false">VLOOKUP(C10,'תקציב  '!$B:$S,12,0)*1</f>
        <v>14325.3968253968</v>
      </c>
      <c r="N10" s="162" t="n">
        <f aca="false">IFERROR(H10/M10-1,"")</f>
        <v>-0.397729772853184</v>
      </c>
      <c r="O10" s="162" t="n">
        <f aca="false">IFERROR(H10/M10,"-")</f>
        <v>0.602270227146816</v>
      </c>
      <c r="P10" s="145" t="n">
        <f aca="false">H10-M10</f>
        <v>-5697.6368253968</v>
      </c>
      <c r="R10" s="147" t="n">
        <v>15000</v>
      </c>
      <c r="S10" s="162" t="n">
        <f aca="false">IFERROR(H10/R10-1,"-")</f>
        <v>-0.424816</v>
      </c>
      <c r="T10" s="162" t="n">
        <f aca="false">IFERROR(H10/R10,"-")</f>
        <v>0.575184</v>
      </c>
      <c r="U10" s="147" t="n">
        <f aca="false">H10-R10</f>
        <v>-6372.24</v>
      </c>
      <c r="W10" s="145" t="n">
        <v>8922.67</v>
      </c>
      <c r="X10" s="5" t="n">
        <f aca="false">H10-W10</f>
        <v>-294.91</v>
      </c>
      <c r="Y10" s="163" t="n">
        <f aca="false">IFERROR((H10/W10)-1,"-")</f>
        <v>-0.0330517658951861</v>
      </c>
    </row>
    <row r="11" customFormat="false" ht="14.25" hidden="true" customHeight="true" outlineLevel="1" collapsed="false">
      <c r="A11" s="164" t="n">
        <v>11</v>
      </c>
      <c r="B11" s="161" t="s">
        <v>136</v>
      </c>
      <c r="C11" s="145" t="s">
        <v>40</v>
      </c>
      <c r="D11" s="161" t="s">
        <v>40</v>
      </c>
      <c r="E11" s="145" t="s">
        <v>32</v>
      </c>
      <c r="F11" s="145" t="n">
        <v>3066.38</v>
      </c>
      <c r="G11" s="145" t="n">
        <v>4228.87</v>
      </c>
      <c r="H11" s="145" t="n">
        <v>5091.7</v>
      </c>
      <c r="I11" s="162" t="n">
        <f aca="false">IFERROR(H11/$H$19,"")</f>
        <v>0.00291228634071061</v>
      </c>
      <c r="J11" s="162" t="n">
        <f aca="false">IFERROR(H11/G11-1,"")</f>
        <v>0.204033228734863</v>
      </c>
      <c r="K11" s="145" t="n">
        <f aca="false">H11-G11</f>
        <v>862.83</v>
      </c>
      <c r="M11" s="145" t="n">
        <f aca="false">VLOOKUP(C11,'תקציב  '!$B:$S,12,0)*1</f>
        <v>8539.68253968254</v>
      </c>
      <c r="N11" s="162" t="n">
        <f aca="false">IFERROR(H11/M11-1,"")</f>
        <v>-0.403760037174721</v>
      </c>
      <c r="O11" s="162" t="n">
        <f aca="false">IFERROR(H11/M11,"-")</f>
        <v>0.596239962825279</v>
      </c>
      <c r="P11" s="145" t="n">
        <f aca="false">H11-M11</f>
        <v>-3447.98253968254</v>
      </c>
      <c r="R11" s="147" t="n">
        <v>10000</v>
      </c>
      <c r="S11" s="162" t="n">
        <f aca="false">IFERROR(H11/R11-1,"-")</f>
        <v>-0.49083</v>
      </c>
      <c r="T11" s="162" t="n">
        <f aca="false">IFERROR(H11/R11,"-")</f>
        <v>0.50917</v>
      </c>
      <c r="U11" s="147" t="n">
        <f aca="false">H11-R11</f>
        <v>-4908.3</v>
      </c>
      <c r="W11" s="145" t="n">
        <v>5091.7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true" customHeight="true" outlineLevel="1" collapsed="false">
      <c r="A12" s="164" t="n">
        <v>14</v>
      </c>
      <c r="B12" s="161" t="s">
        <v>137</v>
      </c>
      <c r="C12" s="145" t="s">
        <v>41</v>
      </c>
      <c r="D12" s="161" t="s">
        <v>41</v>
      </c>
      <c r="E12" s="145" t="s">
        <v>32</v>
      </c>
      <c r="F12" s="145" t="n">
        <v>850.4</v>
      </c>
      <c r="G12" s="145" t="n">
        <v>0</v>
      </c>
      <c r="H12" s="145" t="n">
        <v>0</v>
      </c>
      <c r="I12" s="162" t="n">
        <f aca="false">IFERROR(H12/$H$19,"")</f>
        <v>0</v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'!$B:$S,12,0)*1</f>
        <v>0</v>
      </c>
      <c r="N12" s="162" t="str">
        <f aca="false">IFERROR(H12/M12-1,"")</f>
        <v/>
      </c>
      <c r="O12" s="162" t="str">
        <f aca="false">IFERROR(H12/M12,"-")</f>
        <v>-</v>
      </c>
      <c r="P12" s="145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W12" s="145" t="n">
        <v>0</v>
      </c>
      <c r="X12" s="5" t="n">
        <f aca="false">H12-W12</f>
        <v>0</v>
      </c>
      <c r="Y12" s="163" t="str">
        <f aca="false">IFERROR((H12/W12)-1,"-")</f>
        <v>-</v>
      </c>
    </row>
    <row r="13" customFormat="false" ht="14.25" hidden="true" customHeight="true" outlineLevel="1" collapsed="false">
      <c r="A13" s="164" t="n">
        <v>15</v>
      </c>
      <c r="B13" s="161" t="s">
        <v>138</v>
      </c>
      <c r="C13" s="145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'!$B:$S,12,0)*1</f>
        <v>0</v>
      </c>
      <c r="N13" s="162" t="str">
        <f aca="false">IFERROR(H13/M13-1,"")</f>
        <v/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true" customHeight="true" outlineLevel="1" collapsed="false">
      <c r="A14" s="164" t="n">
        <v>13</v>
      </c>
      <c r="B14" s="161" t="s">
        <v>139</v>
      </c>
      <c r="C14" s="145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6726.56</v>
      </c>
      <c r="I14" s="162" t="n">
        <f aca="false">IFERROR(H14/$H$19,"")</f>
        <v>0.00384737294184071</v>
      </c>
      <c r="J14" s="162" t="str">
        <f aca="false">IFERROR(H14/G14-1,"")</f>
        <v/>
      </c>
      <c r="K14" s="145" t="n">
        <f aca="false">H14-G14</f>
        <v>6726.56</v>
      </c>
      <c r="M14" s="145" t="n">
        <f aca="false">VLOOKUP(C14,'תקציב  '!$B:$S,12,0)*1</f>
        <v>50000</v>
      </c>
      <c r="N14" s="162" t="n">
        <f aca="false">IFERROR(H14/M14-1,"")</f>
        <v>-0.8654688</v>
      </c>
      <c r="O14" s="162" t="n">
        <f aca="false">IFERROR(H14/M14,"-")</f>
        <v>0.1345312</v>
      </c>
      <c r="P14" s="145" t="n">
        <f aca="false">H14-M14</f>
        <v>-43273.44</v>
      </c>
      <c r="R14" s="147" t="n">
        <v>5000</v>
      </c>
      <c r="S14" s="162" t="n">
        <f aca="false">IFERROR(H14/R14-1,"-")</f>
        <v>0.345312</v>
      </c>
      <c r="T14" s="162" t="n">
        <f aca="false">IFERROR(H14/R14,"-")</f>
        <v>1.345312</v>
      </c>
      <c r="U14" s="147" t="n">
        <f aca="false">H14-R14</f>
        <v>1726.56</v>
      </c>
      <c r="W14" s="145" t="n">
        <v>3512.91</v>
      </c>
      <c r="X14" s="5" t="n">
        <f aca="false">H14-W14</f>
        <v>3213.65</v>
      </c>
      <c r="Y14" s="163" t="n">
        <f aca="false">IFERROR((H14/W14)-1,"-")</f>
        <v>0.914811367214076</v>
      </c>
    </row>
    <row r="15" customFormat="false" ht="14.25" hidden="true" customHeight="true" outlineLevel="1" collapsed="false">
      <c r="A15" s="164" t="n">
        <v>9</v>
      </c>
      <c r="B15" s="161" t="s">
        <v>140</v>
      </c>
      <c r="C15" s="145" t="s">
        <v>44</v>
      </c>
      <c r="D15" s="161" t="s">
        <v>44</v>
      </c>
      <c r="E15" s="145" t="s">
        <v>32</v>
      </c>
      <c r="F15" s="145" t="n">
        <v>5902.85</v>
      </c>
      <c r="G15" s="145" t="n">
        <v>9679.47</v>
      </c>
      <c r="H15" s="145" t="n">
        <v>9421.74</v>
      </c>
      <c r="I15" s="162" t="n">
        <f aca="false">IFERROR(H15/$H$19,"")</f>
        <v>0.00538892800198887</v>
      </c>
      <c r="J15" s="162" t="n">
        <f aca="false">IFERROR(H15/G15-1,"")</f>
        <v>-0.0266264578535808</v>
      </c>
      <c r="K15" s="145" t="n">
        <f aca="false">H15-G15</f>
        <v>-257.73</v>
      </c>
      <c r="M15" s="145" t="n">
        <f aca="false">VLOOKUP(C15,'תקציב  '!$B:$S,12,0)*1</f>
        <v>15079.3650793651</v>
      </c>
      <c r="N15" s="162" t="n">
        <f aca="false">IFERROR(H15/M15-1,"")</f>
        <v>-0.375189873684211</v>
      </c>
      <c r="O15" s="162" t="n">
        <f aca="false">IFERROR(H15/M15,"-")</f>
        <v>0.624810126315789</v>
      </c>
      <c r="P15" s="145" t="n">
        <f aca="false">H15-M15</f>
        <v>-5657.6250793651</v>
      </c>
      <c r="R15" s="147" t="n">
        <v>25000</v>
      </c>
      <c r="S15" s="162" t="n">
        <f aca="false">IFERROR(H15/R15-1,"-")</f>
        <v>-0.6231304</v>
      </c>
      <c r="T15" s="162" t="n">
        <f aca="false">IFERROR(H15/R15,"-")</f>
        <v>0.3768696</v>
      </c>
      <c r="U15" s="147" t="n">
        <f aca="false">H15-R15</f>
        <v>-15578.26</v>
      </c>
      <c r="W15" s="145" t="n">
        <v>9421.74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B16" s="170"/>
      <c r="C16" s="172" t="s">
        <v>115</v>
      </c>
      <c r="D16" s="170" t="s">
        <v>115</v>
      </c>
      <c r="E16" s="172"/>
      <c r="F16" s="172" t="n">
        <f aca="false">SUM(F3:F15)+F50</f>
        <v>1346091.953</v>
      </c>
      <c r="G16" s="172" t="n">
        <f aca="false">SUM(G3:G15)+G50</f>
        <v>1350498.61</v>
      </c>
      <c r="H16" s="172" t="n">
        <f aca="false">SUM(H3:H15)+H50</f>
        <v>1400225.374</v>
      </c>
      <c r="I16" s="173" t="n">
        <f aca="false">IFERROR(H16/$H$19,"")</f>
        <v>0.800883247366616</v>
      </c>
      <c r="J16" s="173" t="n">
        <f aca="false">H16/G16-1</f>
        <v>0.0368210404896308</v>
      </c>
      <c r="K16" s="172" t="n">
        <f aca="false">SUM(K3:K15)+K50</f>
        <v>49726.764</v>
      </c>
      <c r="M16" s="172" t="n">
        <f aca="false">SUM(M3:M15)+M50</f>
        <v>1670472.22222222</v>
      </c>
      <c r="N16" s="173" t="n">
        <f aca="false">H16/M16-1</f>
        <v>-0.161778714202571</v>
      </c>
      <c r="O16" s="173" t="n">
        <f aca="false">IFERROR(H16/M16,"-")</f>
        <v>0.838221285797429</v>
      </c>
      <c r="P16" s="172" t="n">
        <f aca="false">SUM(P3:P15)+P50</f>
        <v>-270246.848222223</v>
      </c>
      <c r="R16" s="172" t="n">
        <f aca="false">SUM(R3:R15)+R50</f>
        <v>1645000</v>
      </c>
      <c r="S16" s="173" t="n">
        <f aca="false">IFERROR(H16/R16-1,"-")</f>
        <v>-0.148799164741641</v>
      </c>
      <c r="T16" s="173" t="n">
        <f aca="false">IFERROR(H16/R16,"-")</f>
        <v>0.851200835258359</v>
      </c>
      <c r="U16" s="172" t="n">
        <f aca="false">H16-R16</f>
        <v>-244774.626</v>
      </c>
      <c r="V16" s="174"/>
      <c r="W16" s="172" t="n">
        <v>1118222.981</v>
      </c>
      <c r="X16" s="175" t="n">
        <f aca="false">H16-W16</f>
        <v>282002.393</v>
      </c>
      <c r="Y16" s="176" t="n">
        <f aca="false">IFERROR((H16/W16)-1,"-")</f>
        <v>0.252187978418948</v>
      </c>
    </row>
    <row r="17" customFormat="false" ht="14.25" hidden="true" customHeight="true" outlineLevel="1" collapsed="false">
      <c r="A17" s="164" t="n">
        <v>2</v>
      </c>
      <c r="B17" s="161" t="s">
        <v>141</v>
      </c>
      <c r="C17" s="145" t="s">
        <v>45</v>
      </c>
      <c r="D17" s="161" t="s">
        <v>45</v>
      </c>
      <c r="E17" s="145" t="s">
        <v>32</v>
      </c>
      <c r="F17" s="145" t="n">
        <v>56193.1900000001</v>
      </c>
      <c r="G17" s="145" t="n">
        <v>143120.649999998</v>
      </c>
      <c r="H17" s="145" t="n">
        <v>347579.04</v>
      </c>
      <c r="I17" s="162" t="n">
        <f aca="false">IFERROR(H17/$H$19,"")</f>
        <v>0.198803875033742</v>
      </c>
      <c r="J17" s="162" t="n">
        <f aca="false">IFERROR(H17/G17-1,"")</f>
        <v>1.42857365446569</v>
      </c>
      <c r="K17" s="145" t="n">
        <f aca="false">H17-G17</f>
        <v>204458.390000002</v>
      </c>
      <c r="M17" s="145" t="n">
        <f aca="false">VLOOKUP(C17,'תקציב  '!$B:$S,12,0)*1</f>
        <v>1012800</v>
      </c>
      <c r="N17" s="162" t="n">
        <f aca="false">IFERROR(H17/M17-1,"")</f>
        <v>-0.65681374407583</v>
      </c>
      <c r="O17" s="162" t="n">
        <f aca="false">IFERROR(H17/M17,"-")</f>
        <v>0.343186255924171</v>
      </c>
      <c r="P17" s="145" t="n">
        <f aca="false">H17-M17</f>
        <v>-665220.96</v>
      </c>
      <c r="R17" s="147" t="n">
        <v>977100.847457627</v>
      </c>
      <c r="S17" s="162" t="n">
        <f aca="false">IFERROR(H17/R17-1,"-")</f>
        <v>-0.644275162687265</v>
      </c>
      <c r="T17" s="162" t="n">
        <f aca="false">IFERROR(H17/R17,"-")</f>
        <v>0.355724837312735</v>
      </c>
      <c r="U17" s="147" t="n">
        <f aca="false">H17-R17</f>
        <v>-629521.807457627</v>
      </c>
      <c r="W17" s="145" t="n">
        <v>327556.57</v>
      </c>
      <c r="X17" s="5" t="n">
        <f aca="false">H17-W17</f>
        <v>20022.47</v>
      </c>
      <c r="Y17" s="163" t="n">
        <f aca="false">IFERROR((H17/W17)-1,"-")</f>
        <v>0.061126754380167</v>
      </c>
    </row>
    <row r="18" customFormat="false" ht="14.25" hidden="true" customHeight="true" outlineLevel="1" collapsed="false">
      <c r="A18" s="164" t="n">
        <v>12</v>
      </c>
      <c r="B18" s="161" t="s">
        <v>142</v>
      </c>
      <c r="C18" s="145" t="s">
        <v>46</v>
      </c>
      <c r="D18" s="161" t="s">
        <v>46</v>
      </c>
      <c r="E18" s="145" t="s">
        <v>32</v>
      </c>
      <c r="F18" s="145" t="n">
        <v>3358.59</v>
      </c>
      <c r="G18" s="145" t="n">
        <v>1798.35</v>
      </c>
      <c r="H18" s="145" t="n">
        <v>547.02</v>
      </c>
      <c r="I18" s="162" t="n">
        <f aca="false">IFERROR(H18/$H$19,"")</f>
        <v>0.000312877599641675</v>
      </c>
      <c r="J18" s="162" t="n">
        <f aca="false">IFERROR(H18/G18-1,"")</f>
        <v>-0.695821169405288</v>
      </c>
      <c r="K18" s="145" t="n">
        <f aca="false">H18-G18</f>
        <v>-1251.33</v>
      </c>
      <c r="M18" s="145" t="n">
        <f aca="false">VLOOKUP(C18,'תקציב  '!$B:$S,12,0)*1</f>
        <v>2536.92833333333</v>
      </c>
      <c r="N18" s="162" t="n">
        <f aca="false">IFERROR(H18/M18-1,"")</f>
        <v>-0.784377038636619</v>
      </c>
      <c r="O18" s="162" t="n">
        <f aca="false">IFERROR(H18/M18,"-")</f>
        <v>0.215622961363381</v>
      </c>
      <c r="P18" s="145" t="n">
        <f aca="false">H18-M18</f>
        <v>-1989.90833333333</v>
      </c>
      <c r="R18" s="147" t="n">
        <v>5000</v>
      </c>
      <c r="S18" s="162" t="n">
        <f aca="false">IFERROR(H18/R18-1,"-")</f>
        <v>-0.890596</v>
      </c>
      <c r="T18" s="162" t="n">
        <f aca="false">IFERROR(H18/R18,"-")</f>
        <v>0.109404</v>
      </c>
      <c r="U18" s="147" t="n">
        <f aca="false">H18-R18</f>
        <v>-4452.98</v>
      </c>
      <c r="W18" s="145" t="n">
        <v>547.02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B19" s="178"/>
      <c r="C19" s="172" t="s">
        <v>48</v>
      </c>
      <c r="D19" s="178" t="s">
        <v>48</v>
      </c>
      <c r="E19" s="172"/>
      <c r="F19" s="172" t="n">
        <f aca="false">F16+F17+F18</f>
        <v>1405643.733</v>
      </c>
      <c r="G19" s="172" t="n">
        <f aca="false">G16+G17+G18</f>
        <v>1495417.61</v>
      </c>
      <c r="H19" s="172" t="n">
        <f aca="false">H16+H17+H18</f>
        <v>1748351.434</v>
      </c>
      <c r="I19" s="173" t="n">
        <f aca="false">IFERROR(H19/$H$19,"")</f>
        <v>1</v>
      </c>
      <c r="J19" s="173" t="n">
        <f aca="false">H19/G19-1</f>
        <v>0.169139257361027</v>
      </c>
      <c r="K19" s="172" t="n">
        <f aca="false">K16+K17+K18</f>
        <v>252933.824000002</v>
      </c>
      <c r="M19" s="172" t="n">
        <f aca="false">M16+M17+M18</f>
        <v>2685809.15055556</v>
      </c>
      <c r="N19" s="173" t="n">
        <f aca="false">H19/M19-1</f>
        <v>-0.349041076266214</v>
      </c>
      <c r="O19" s="173" t="n">
        <f aca="false">IFERROR(H19/M19,"-")</f>
        <v>0.650958923733787</v>
      </c>
      <c r="P19" s="172" t="n">
        <f aca="false">P16+P17+P18</f>
        <v>-937457.716555556</v>
      </c>
      <c r="R19" s="172" t="n">
        <f aca="false">R16+R17+R18</f>
        <v>2627100.84745763</v>
      </c>
      <c r="S19" s="173" t="n">
        <f aca="false">IFERROR(H19/R19-1,"-")</f>
        <v>-0.334493978146303</v>
      </c>
      <c r="T19" s="173" t="n">
        <f aca="false">IFERROR(H19/R19,"-")</f>
        <v>0.665506021853697</v>
      </c>
      <c r="U19" s="172" t="n">
        <f aca="false">H19-R19</f>
        <v>-878749.413457627</v>
      </c>
      <c r="V19" s="174"/>
      <c r="W19" s="172" t="n">
        <v>1446326.571</v>
      </c>
      <c r="X19" s="175" t="n">
        <f aca="false">H19-W19</f>
        <v>302024.863</v>
      </c>
      <c r="Y19" s="176" t="n">
        <f aca="false">IFERROR((H19/W19)-1,"-")</f>
        <v>0.208822038574026</v>
      </c>
    </row>
    <row r="20" customFormat="false" ht="14.25" hidden="true" customHeight="true" outlineLevel="1" collapsed="false">
      <c r="A20" s="165" t="n">
        <v>50</v>
      </c>
      <c r="B20" s="167" t="s">
        <v>143</v>
      </c>
      <c r="C20" s="145" t="s">
        <v>49</v>
      </c>
      <c r="D20" s="167" t="s">
        <v>50</v>
      </c>
      <c r="E20" s="145" t="s">
        <v>51</v>
      </c>
      <c r="F20" s="145" t="n">
        <v>258929.86</v>
      </c>
      <c r="G20" s="145" t="n">
        <v>247434.35</v>
      </c>
      <c r="H20" s="145" t="n">
        <v>198718.53</v>
      </c>
      <c r="I20" s="162" t="n">
        <f aca="false">IFERROR(H20/$H$19,"")</f>
        <v>0.113660518209064</v>
      </c>
      <c r="J20" s="162" t="n">
        <f aca="false">IFERROR(H20/G20-1,"")</f>
        <v>-0.196883819890003</v>
      </c>
      <c r="K20" s="145" t="n">
        <f aca="false">H20-G20</f>
        <v>-48715.82</v>
      </c>
      <c r="M20" s="145" t="n">
        <f aca="false">VLOOKUP(C20,'תקציב  '!$B:$S,12,0)*1</f>
        <v>477395.46855</v>
      </c>
      <c r="N20" s="162" t="n">
        <f aca="false">IFERROR(H20/M20-1,"")</f>
        <v>-0.583744415078822</v>
      </c>
      <c r="O20" s="162" t="n">
        <f aca="false">IFERROR(H20/M20,"-")</f>
        <v>0.416255584921178</v>
      </c>
      <c r="P20" s="145" t="n">
        <f aca="false">H20-M20</f>
        <v>-278676.93855</v>
      </c>
      <c r="R20" s="147" t="n">
        <v>327115.8</v>
      </c>
      <c r="S20" s="162" t="n">
        <f aca="false">IFERROR(H20/R20-1,"-")</f>
        <v>-0.392513201746904</v>
      </c>
      <c r="T20" s="162" t="n">
        <f aca="false">IFERROR(H20/R20,"-")</f>
        <v>0.607486798253096</v>
      </c>
      <c r="U20" s="147" t="n">
        <f aca="false">H20-R20</f>
        <v>-128397.27</v>
      </c>
      <c r="W20" s="145" t="n">
        <v>183052.05</v>
      </c>
      <c r="X20" s="5" t="n">
        <f aca="false">H20-W20</f>
        <v>15666.48</v>
      </c>
      <c r="Y20" s="163" t="n">
        <f aca="false">IFERROR((H20/W20)-1,"-")</f>
        <v>0.0855848377551631</v>
      </c>
    </row>
    <row r="21" customFormat="false" ht="14.25" hidden="true" customHeight="true" outlineLevel="1" collapsed="false">
      <c r="A21" s="165" t="n">
        <v>20</v>
      </c>
      <c r="B21" s="167" t="s">
        <v>144</v>
      </c>
      <c r="C21" s="145" t="s">
        <v>52</v>
      </c>
      <c r="D21" s="167" t="s">
        <v>53</v>
      </c>
      <c r="E21" s="145" t="s">
        <v>54</v>
      </c>
      <c r="F21" s="145" t="n">
        <v>159908.54</v>
      </c>
      <c r="G21" s="145" t="n">
        <v>0</v>
      </c>
      <c r="H21" s="145" t="n">
        <v>0</v>
      </c>
      <c r="I21" s="162" t="n">
        <f aca="false">IFERROR(H21/$H$19,"")</f>
        <v>0</v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'!$B:$S,12,0)*1</f>
        <v>0</v>
      </c>
      <c r="N21" s="162" t="str">
        <f aca="false">IFERROR(H21/M21-1,"")</f>
        <v/>
      </c>
      <c r="O21" s="162" t="str">
        <f aca="false">IFERROR(H21/M21,"-")</f>
        <v>-</v>
      </c>
      <c r="P21" s="145" t="n">
        <f aca="false">H21-M21</f>
        <v>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W21" s="145" t="n">
        <v>0</v>
      </c>
      <c r="X21" s="5" t="n">
        <f aca="false">H21-W21</f>
        <v>0</v>
      </c>
      <c r="Y21" s="163" t="str">
        <f aca="false">IFERROR((H21/W21)-1,"-")</f>
        <v>-</v>
      </c>
    </row>
    <row r="22" customFormat="false" ht="14.25" hidden="true" customHeight="true" outlineLevel="1" collapsed="false">
      <c r="A22" s="165" t="n">
        <v>21</v>
      </c>
      <c r="B22" s="167" t="s">
        <v>145</v>
      </c>
      <c r="C22" s="145" t="s">
        <v>55</v>
      </c>
      <c r="D22" s="167" t="s">
        <v>56</v>
      </c>
      <c r="E22" s="145" t="s">
        <v>57</v>
      </c>
      <c r="F22" s="145" t="n">
        <v>16422.81</v>
      </c>
      <c r="G22" s="145" t="n">
        <v>10281.02</v>
      </c>
      <c r="H22" s="145" t="n">
        <v>0</v>
      </c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-10281.02</v>
      </c>
      <c r="M22" s="145" t="n">
        <f aca="false">VLOOKUP(C22,'תקציב  '!$B:$S,12,0)*1</f>
        <v>15000</v>
      </c>
      <c r="N22" s="162" t="n">
        <f aca="false">IFERROR(H22/M22-1,"")</f>
        <v>-1</v>
      </c>
      <c r="O22" s="162" t="n">
        <f aca="false">IFERROR(H22/M22,"-")</f>
        <v>0</v>
      </c>
      <c r="P22" s="145" t="n">
        <f aca="false">H22-M22</f>
        <v>-15000</v>
      </c>
      <c r="R22" s="147" t="n">
        <v>40000</v>
      </c>
      <c r="S22" s="162" t="n">
        <f aca="false">IFERROR(H22/R22-1,"-")</f>
        <v>-1</v>
      </c>
      <c r="T22" s="162" t="n">
        <f aca="false">IFERROR(H22/R22,"-")</f>
        <v>0</v>
      </c>
      <c r="U22" s="147" t="n">
        <f aca="false">H22-R22</f>
        <v>-40000</v>
      </c>
      <c r="W22" s="145" t="n">
        <v>0</v>
      </c>
      <c r="X22" s="5" t="n">
        <f aca="false">H22-W22</f>
        <v>0</v>
      </c>
      <c r="Y22" s="163" t="str">
        <f aca="false">IFERROR((H22/W22)-1,"-")</f>
        <v>-</v>
      </c>
    </row>
    <row r="23" customFormat="false" ht="14.25" hidden="true" customHeight="true" outlineLevel="1" collapsed="false">
      <c r="A23" s="165" t="n">
        <v>22</v>
      </c>
      <c r="B23" s="167" t="s">
        <v>146</v>
      </c>
      <c r="C23" s="145" t="s">
        <v>58</v>
      </c>
      <c r="D23" s="167" t="s">
        <v>59</v>
      </c>
      <c r="E23" s="145" t="s">
        <v>60</v>
      </c>
      <c r="F23" s="145" t="n">
        <v>-4343.69</v>
      </c>
      <c r="G23" s="145" t="n">
        <v>0</v>
      </c>
      <c r="H23" s="145" t="n">
        <v>51223.23</v>
      </c>
      <c r="I23" s="162" t="n">
        <f aca="false">IFERROR(H23/$H$19,"")</f>
        <v>0.0292980169798059</v>
      </c>
      <c r="J23" s="162" t="str">
        <f aca="false">IFERROR(H23/G23-1,"")</f>
        <v/>
      </c>
      <c r="K23" s="145" t="n">
        <f aca="false">H23-G23</f>
        <v>51223.23</v>
      </c>
      <c r="M23" s="145" t="n">
        <f aca="false">VLOOKUP(C23,'תקציב  '!$B:$S,12,0)*1</f>
        <v>85000</v>
      </c>
      <c r="N23" s="162" t="n">
        <f aca="false">IFERROR(H23/M23-1,"")</f>
        <v>-0.397373764705882</v>
      </c>
      <c r="O23" s="162" t="n">
        <f aca="false">IFERROR(H23/M23,"-")</f>
        <v>0.602626235294118</v>
      </c>
      <c r="P23" s="145" t="n">
        <f aca="false">H23-M23</f>
        <v>-33776.77</v>
      </c>
      <c r="R23" s="147" t="n">
        <v>75000</v>
      </c>
      <c r="S23" s="162" t="n">
        <f aca="false">IFERROR(H23/R23-1,"-")</f>
        <v>-0.3170236</v>
      </c>
      <c r="T23" s="162" t="n">
        <f aca="false">IFERROR(H23/R23,"-")</f>
        <v>0.6829764</v>
      </c>
      <c r="U23" s="147" t="n">
        <f aca="false">H23-R23</f>
        <v>-23776.77</v>
      </c>
      <c r="W23" s="145" t="n">
        <v>51223.23</v>
      </c>
      <c r="X23" s="5" t="n">
        <f aca="false">H23-W23</f>
        <v>0</v>
      </c>
      <c r="Y23" s="163" t="n">
        <f aca="false">IFERROR((H23/W23)-1,"-")</f>
        <v>0</v>
      </c>
    </row>
    <row r="24" customFormat="false" ht="14.25" hidden="true" customHeight="true" outlineLevel="1" collapsed="false">
      <c r="A24" s="165" t="n">
        <v>23</v>
      </c>
      <c r="B24" s="167" t="s">
        <v>147</v>
      </c>
      <c r="C24" s="145" t="s">
        <v>61</v>
      </c>
      <c r="D24" s="167" t="s">
        <v>62</v>
      </c>
      <c r="E24" s="145" t="s">
        <v>63</v>
      </c>
      <c r="F24" s="145" t="n">
        <v>11239.03</v>
      </c>
      <c r="G24" s="145" t="n">
        <v>0</v>
      </c>
      <c r="H24" s="145" t="n">
        <v>15160.58</v>
      </c>
      <c r="I24" s="162" t="n">
        <f aca="false">IFERROR(H24/$H$19,"")</f>
        <v>0.00867135731705528</v>
      </c>
      <c r="J24" s="162" t="str">
        <f aca="false">IFERROR(H24/G24-1,"")</f>
        <v/>
      </c>
      <c r="K24" s="145" t="n">
        <f aca="false">H24-G24</f>
        <v>15160.58</v>
      </c>
      <c r="M24" s="145" t="n">
        <f aca="false">VLOOKUP(C24,'תקציב  '!$B:$S,12,0)*1</f>
        <v>17000</v>
      </c>
      <c r="N24" s="162" t="n">
        <f aca="false">IFERROR(H24/M24-1,"")</f>
        <v>-0.108201176470588</v>
      </c>
      <c r="O24" s="162" t="n">
        <f aca="false">IFERROR(H24/M24,"-")</f>
        <v>0.891798823529412</v>
      </c>
      <c r="P24" s="145" t="n">
        <f aca="false">H24-M24</f>
        <v>-1839.42</v>
      </c>
      <c r="R24" s="147" t="n">
        <v>15000</v>
      </c>
      <c r="S24" s="162" t="n">
        <f aca="false">IFERROR(H24/R24-1,"-")</f>
        <v>0.0107053333333333</v>
      </c>
      <c r="T24" s="162" t="n">
        <f aca="false">IFERROR(H24/R24,"-")</f>
        <v>1.01070533333333</v>
      </c>
      <c r="U24" s="147" t="n">
        <f aca="false">H24-R24</f>
        <v>160.58</v>
      </c>
      <c r="W24" s="145" t="n">
        <v>15160.58</v>
      </c>
      <c r="X24" s="5" t="n">
        <f aca="false">H24-W24</f>
        <v>0</v>
      </c>
      <c r="Y24" s="163" t="n">
        <f aca="false">IFERROR((H24/W24)-1,"-")</f>
        <v>0</v>
      </c>
    </row>
    <row r="25" customFormat="false" ht="14.25" hidden="true" customHeight="true" outlineLevel="1" collapsed="false">
      <c r="A25" s="165" t="n">
        <v>24</v>
      </c>
      <c r="B25" s="167" t="s">
        <v>148</v>
      </c>
      <c r="C25" s="145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'!$B:$S,12,0)*1</f>
        <v>5000</v>
      </c>
      <c r="N25" s="162" t="n">
        <f aca="false">IFERROR(H25/M25-1,"")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true" customHeight="true" outlineLevel="1" collapsed="false">
      <c r="A26" s="165" t="n">
        <v>25</v>
      </c>
      <c r="B26" s="167" t="s">
        <v>149</v>
      </c>
      <c r="C26" s="145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'!$B:$S,12,0)*1</f>
        <v>0</v>
      </c>
      <c r="N26" s="162" t="str">
        <f aca="false">IFERROR(H26/M26-1,"")</f>
        <v/>
      </c>
      <c r="O26" s="162" t="str">
        <f aca="false">IFERROR(H26/M26,"-")</f>
        <v>-</v>
      </c>
      <c r="P26" s="145" t="n">
        <f aca="false">H26-M26</f>
        <v>0</v>
      </c>
      <c r="R26" s="147" t="n">
        <v>70000</v>
      </c>
      <c r="S26" s="162" t="n">
        <f aca="false">IFERROR(H26/R26-1,"-")</f>
        <v>-1</v>
      </c>
      <c r="T26" s="162" t="n">
        <f aca="false">IFERROR(H26/R26,"-")</f>
        <v>0</v>
      </c>
      <c r="U26" s="147" t="n">
        <f aca="false">H26-R26</f>
        <v>-70000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true" customHeight="true" outlineLevel="1" collapsed="false">
      <c r="A27" s="165" t="n">
        <v>26</v>
      </c>
      <c r="B27" s="167" t="s">
        <v>150</v>
      </c>
      <c r="C27" s="145" t="s">
        <v>70</v>
      </c>
      <c r="D27" s="167" t="s">
        <v>71</v>
      </c>
      <c r="E27" s="145" t="s">
        <v>72</v>
      </c>
      <c r="F27" s="145" t="n">
        <v>0</v>
      </c>
      <c r="G27" s="145" t="n">
        <v>0</v>
      </c>
      <c r="H27" s="145" t="n">
        <v>0</v>
      </c>
      <c r="I27" s="162" t="n">
        <f aca="false">IFERROR(H27/$H$19,"")</f>
        <v>0</v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'!$B:$S,12,0)*1</f>
        <v>0</v>
      </c>
      <c r="N27" s="162" t="str">
        <f aca="false">IFERROR(H27/M27-1,"")</f>
        <v/>
      </c>
      <c r="O27" s="162" t="str">
        <f aca="false">IFERROR(H27/M27,"-")</f>
        <v>-</v>
      </c>
      <c r="P27" s="145" t="n">
        <f aca="false">H27-M27</f>
        <v>0</v>
      </c>
      <c r="R27" s="147" t="n">
        <v>20000</v>
      </c>
      <c r="S27" s="162" t="n">
        <f aca="false">IFERROR(H27/R27-1,"-")</f>
        <v>-1</v>
      </c>
      <c r="T27" s="162" t="n">
        <f aca="false">IFERROR(H27/R27,"-")</f>
        <v>0</v>
      </c>
      <c r="U27" s="147" t="n">
        <f aca="false">H27-R27</f>
        <v>-20000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true" customHeight="true" outlineLevel="1" collapsed="false">
      <c r="A28" s="165" t="n">
        <v>27</v>
      </c>
      <c r="B28" s="167" t="s">
        <v>151</v>
      </c>
      <c r="C28" s="145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'!$B:$S,12,0)*1</f>
        <v>0</v>
      </c>
      <c r="N28" s="162" t="str">
        <f aca="false">IFERROR(H28/M28-1,"")</f>
        <v/>
      </c>
      <c r="O28" s="162" t="str">
        <f aca="false">IFERROR(H28/M28,"-")</f>
        <v>-</v>
      </c>
      <c r="P28" s="145" t="n">
        <f aca="false">H28-M28</f>
        <v>0</v>
      </c>
      <c r="R28" s="147" t="n">
        <v>150000</v>
      </c>
      <c r="S28" s="162" t="n">
        <f aca="false">IFERROR(H28/R28-1,"-")</f>
        <v>-1</v>
      </c>
      <c r="T28" s="162" t="n">
        <f aca="false">IFERROR(H28/R28,"-")</f>
        <v>0</v>
      </c>
      <c r="U28" s="147" t="n">
        <f aca="false">H28-R28</f>
        <v>-150000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true" customHeight="true" outlineLevel="1" collapsed="false">
      <c r="A29" s="165" t="n">
        <v>28</v>
      </c>
      <c r="B29" s="167" t="s">
        <v>152</v>
      </c>
      <c r="C29" s="145" t="s">
        <v>76</v>
      </c>
      <c r="D29" s="167" t="s">
        <v>77</v>
      </c>
      <c r="E29" s="145" t="s">
        <v>78</v>
      </c>
      <c r="F29" s="145" t="n">
        <v>64828.58</v>
      </c>
      <c r="G29" s="145" t="n">
        <v>27485.96</v>
      </c>
      <c r="H29" s="145" t="n">
        <v>25430.19</v>
      </c>
      <c r="I29" s="162" t="n">
        <f aca="false">IFERROR(H29/$H$19,"")</f>
        <v>0.0145452393068475</v>
      </c>
      <c r="J29" s="162" t="n">
        <f aca="false">IFERROR(H29/G29-1,"")</f>
        <v>-0.07479345818738</v>
      </c>
      <c r="K29" s="145" t="n">
        <f aca="false">H29-G29</f>
        <v>-2055.77</v>
      </c>
      <c r="M29" s="145" t="n">
        <f aca="false">VLOOKUP(C29,'תקציב  '!$B:$S,12,0)*1</f>
        <v>39765.076</v>
      </c>
      <c r="N29" s="162" t="n">
        <f aca="false">IFERROR(H29/M29-1,"")</f>
        <v>-0.360489339942416</v>
      </c>
      <c r="O29" s="162" t="n">
        <f aca="false">IFERROR(H29/M29,"-")</f>
        <v>0.639510660057584</v>
      </c>
      <c r="P29" s="145" t="n">
        <f aca="false">H29-M29</f>
        <v>-14334.886</v>
      </c>
      <c r="R29" s="147" t="n">
        <v>40000</v>
      </c>
      <c r="S29" s="162" t="n">
        <f aca="false">IFERROR(H29/R29-1,"-")</f>
        <v>-0.36424525</v>
      </c>
      <c r="T29" s="162" t="n">
        <f aca="false">IFERROR(H29/R29,"-")</f>
        <v>0.63575475</v>
      </c>
      <c r="U29" s="147" t="n">
        <f aca="false">H29-R29</f>
        <v>-14569.81</v>
      </c>
      <c r="W29" s="145" t="n">
        <v>25430.19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true" customHeight="true" outlineLevel="1" collapsed="false">
      <c r="A30" s="165" t="n">
        <v>29</v>
      </c>
      <c r="B30" s="167" t="s">
        <v>153</v>
      </c>
      <c r="C30" s="145" t="s">
        <v>79</v>
      </c>
      <c r="D30" s="167" t="s">
        <v>80</v>
      </c>
      <c r="E30" s="145" t="s">
        <v>81</v>
      </c>
      <c r="F30" s="145" t="n">
        <v>54153.1</v>
      </c>
      <c r="G30" s="145" t="n">
        <v>0</v>
      </c>
      <c r="H30" s="145" t="n">
        <v>0</v>
      </c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'!$B:$S,12,0)*1</f>
        <v>0</v>
      </c>
      <c r="N30" s="162" t="str">
        <f aca="false">IFERROR(H30/M30-1,"")</f>
        <v/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true" customHeight="true" outlineLevel="1" collapsed="false">
      <c r="A31" s="165" t="n">
        <v>30</v>
      </c>
      <c r="B31" s="167" t="s">
        <v>154</v>
      </c>
      <c r="C31" s="145" t="s">
        <v>82</v>
      </c>
      <c r="D31" s="167" t="s">
        <v>83</v>
      </c>
      <c r="E31" s="145" t="s">
        <v>81</v>
      </c>
      <c r="F31" s="145" t="n">
        <v>20673.57</v>
      </c>
      <c r="G31" s="145" t="n">
        <v>0</v>
      </c>
      <c r="H31" s="145" t="n">
        <v>21590.63</v>
      </c>
      <c r="I31" s="162" t="n">
        <f aca="false">IFERROR(H31/$H$19,"")</f>
        <v>0.0123491362091908</v>
      </c>
      <c r="J31" s="162" t="str">
        <f aca="false">IFERROR(H31/G31-1,"")</f>
        <v/>
      </c>
      <c r="K31" s="145" t="n">
        <f aca="false">H31-G31</f>
        <v>21590.63</v>
      </c>
      <c r="M31" s="145" t="n">
        <f aca="false">VLOOKUP(C31,'תקציב  '!$B:$S,12,0)*1</f>
        <v>0</v>
      </c>
      <c r="N31" s="162" t="str">
        <f aca="false">IFERROR(H31/M31-1,"")</f>
        <v/>
      </c>
      <c r="O31" s="162" t="str">
        <f aca="false">IFERROR(H31/M31,"-")</f>
        <v>-</v>
      </c>
      <c r="P31" s="145" t="n">
        <f aca="false">H31-M31</f>
        <v>21590.63</v>
      </c>
      <c r="R31" s="147" t="n">
        <v>25000</v>
      </c>
      <c r="S31" s="162" t="n">
        <f aca="false">IFERROR(H31/R31-1,"-")</f>
        <v>-0.1363748</v>
      </c>
      <c r="T31" s="162" t="n">
        <f aca="false">IFERROR(H31/R31,"-")</f>
        <v>0.8636252</v>
      </c>
      <c r="U31" s="147" t="n">
        <f aca="false">H31-R31</f>
        <v>-3409.37</v>
      </c>
      <c r="W31" s="145" t="n">
        <v>21590.63</v>
      </c>
      <c r="X31" s="5" t="n">
        <f aca="false">H31-W31</f>
        <v>0</v>
      </c>
      <c r="Y31" s="163" t="n">
        <f aca="false">IFERROR((H31/W31)-1,"-")</f>
        <v>0</v>
      </c>
    </row>
    <row r="32" customFormat="false" ht="13.5" hidden="true" customHeight="true" outlineLevel="1" collapsed="false">
      <c r="A32" s="165" t="n">
        <v>31</v>
      </c>
      <c r="B32" s="167" t="s">
        <v>84</v>
      </c>
      <c r="C32" s="145" t="s">
        <v>84</v>
      </c>
      <c r="D32" s="167" t="s">
        <v>85</v>
      </c>
      <c r="E32" s="145" t="s">
        <v>86</v>
      </c>
      <c r="F32" s="145" t="n">
        <v>31722.98</v>
      </c>
      <c r="G32" s="145" t="n">
        <v>50202.49</v>
      </c>
      <c r="H32" s="145" t="n">
        <v>0</v>
      </c>
      <c r="I32" s="162" t="n">
        <f aca="false">IFERROR(H32/$H$19,"")</f>
        <v>0</v>
      </c>
      <c r="J32" s="162" t="n">
        <f aca="false">IFERROR(H32/G32-1,"")</f>
        <v>-1</v>
      </c>
      <c r="K32" s="145" t="n">
        <f aca="false">H32-G32</f>
        <v>-50202.49</v>
      </c>
      <c r="M32" s="145" t="n">
        <f aca="false">VLOOKUP(C32,'תקציב  '!$B:$S,12,0)*1</f>
        <v>49000</v>
      </c>
      <c r="N32" s="162" t="n">
        <f aca="false">IFERROR(H32/M32-1,"")</f>
        <v>-1</v>
      </c>
      <c r="O32" s="162" t="n">
        <f aca="false">IFERROR(H32/M32,"-")</f>
        <v>0</v>
      </c>
      <c r="P32" s="145" t="n">
        <f aca="false">H32-M32</f>
        <v>-49000</v>
      </c>
      <c r="R32" s="147" t="n">
        <v>17500</v>
      </c>
      <c r="S32" s="162" t="n">
        <f aca="false">IFERROR(H32/R32-1,"-")</f>
        <v>-1</v>
      </c>
      <c r="T32" s="162" t="n">
        <f aca="false">IFERROR(H32/R32,"-")</f>
        <v>0</v>
      </c>
      <c r="U32" s="147" t="n">
        <f aca="false">H32-R32</f>
        <v>-17500</v>
      </c>
      <c r="W32" s="145" t="n">
        <v>0</v>
      </c>
      <c r="X32" s="5" t="n">
        <f aca="false">H32-W32</f>
        <v>0</v>
      </c>
      <c r="Y32" s="163" t="str">
        <f aca="false">IFERROR((H32/W32)-1,"-")</f>
        <v>-</v>
      </c>
    </row>
    <row r="33" customFormat="false" ht="13.5" hidden="true" customHeight="true" outlineLevel="1" collapsed="false">
      <c r="A33" s="165"/>
      <c r="B33" s="167"/>
      <c r="C33" s="145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true" customHeight="true" outlineLevel="1" collapsed="false">
      <c r="A34" s="165" t="n">
        <v>32</v>
      </c>
      <c r="B34" s="167" t="s">
        <v>157</v>
      </c>
      <c r="C34" s="145" t="s">
        <v>87</v>
      </c>
      <c r="D34" s="167" t="s">
        <v>88</v>
      </c>
      <c r="E34" s="145" t="s">
        <v>89</v>
      </c>
      <c r="F34" s="145" t="n">
        <v>1987.54</v>
      </c>
      <c r="G34" s="145" t="n">
        <v>0</v>
      </c>
      <c r="H34" s="145" t="n">
        <v>0</v>
      </c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'!$B:$S,12,0)*1</f>
        <v>0</v>
      </c>
      <c r="N34" s="162" t="str">
        <f aca="false">IFERROR(H34/M34-1,"")</f>
        <v/>
      </c>
      <c r="O34" s="162" t="str">
        <f aca="false">IFERROR(H34/M34,"-")</f>
        <v>-</v>
      </c>
      <c r="P34" s="145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W34" s="145" t="n">
        <v>0</v>
      </c>
      <c r="X34" s="5" t="n">
        <f aca="false">H34-W34</f>
        <v>0</v>
      </c>
      <c r="Y34" s="163" t="str">
        <f aca="false">IFERROR((H34/W34)-1,"-")</f>
        <v>-</v>
      </c>
    </row>
    <row r="35" customFormat="false" ht="13.5" hidden="true" customHeight="true" outlineLevel="1" collapsed="false">
      <c r="A35" s="165" t="n">
        <v>33</v>
      </c>
      <c r="B35" s="167" t="s">
        <v>158</v>
      </c>
      <c r="C35" s="145" t="s">
        <v>90</v>
      </c>
      <c r="D35" s="167" t="s">
        <v>91</v>
      </c>
      <c r="E35" s="145" t="s">
        <v>92</v>
      </c>
      <c r="F35" s="145" t="n">
        <v>0</v>
      </c>
      <c r="G35" s="145" t="n">
        <v>0</v>
      </c>
      <c r="H35" s="145" t="n">
        <v>0</v>
      </c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'!$B:$S,12,0)*1</f>
        <v>0</v>
      </c>
      <c r="N35" s="162" t="str">
        <f aca="false">IFERROR(H35/M35-1,"")</f>
        <v/>
      </c>
      <c r="O35" s="162" t="str">
        <f aca="false">IFERROR(H35/M35,"-")</f>
        <v>-</v>
      </c>
      <c r="P35" s="145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W35" s="145" t="n">
        <v>0</v>
      </c>
      <c r="X35" s="5" t="n">
        <f aca="false">H35-W35</f>
        <v>0</v>
      </c>
      <c r="Y35" s="163" t="str">
        <f aca="false">IFERROR((H35/W35)-1,"-")</f>
        <v>-</v>
      </c>
    </row>
    <row r="36" customFormat="false" ht="14.25" hidden="true" customHeight="true" outlineLevel="1" collapsed="false">
      <c r="A36" s="165"/>
      <c r="B36" s="167" t="s">
        <v>159</v>
      </c>
      <c r="C36" s="145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true" customHeight="true" outlineLevel="1" collapsed="false">
      <c r="A37" s="165" t="n">
        <v>34</v>
      </c>
      <c r="B37" s="167" t="s">
        <v>161</v>
      </c>
      <c r="C37" s="145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true" customHeight="true" outlineLevel="1" collapsed="false">
      <c r="A38" s="165" t="n">
        <v>35</v>
      </c>
      <c r="B38" s="167" t="s">
        <v>94</v>
      </c>
      <c r="C38" s="145" t="s">
        <v>94</v>
      </c>
      <c r="D38" s="167" t="s">
        <v>95</v>
      </c>
      <c r="E38" s="145" t="s">
        <v>51</v>
      </c>
      <c r="F38" s="145" t="n">
        <v>-1.37</v>
      </c>
      <c r="G38" s="145" t="n">
        <v>0</v>
      </c>
      <c r="H38" s="145" t="n">
        <v>0</v>
      </c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'!$B:$S,12,0)*1</f>
        <v>0</v>
      </c>
      <c r="N38" s="162" t="str">
        <f aca="false">IFERROR(H38/M38-1,"")</f>
        <v/>
      </c>
      <c r="O38" s="162" t="str">
        <f aca="false">IFERROR(H38/M38,"-")</f>
        <v>-</v>
      </c>
      <c r="P38" s="145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true" customHeight="true" outlineLevel="1" collapsed="false">
      <c r="A39" s="196" t="n">
        <v>36</v>
      </c>
      <c r="B39" s="197"/>
      <c r="C39" s="198" t="s">
        <v>97</v>
      </c>
      <c r="D39" s="197" t="s">
        <v>97</v>
      </c>
      <c r="E39" s="198"/>
      <c r="F39" s="145"/>
      <c r="G39" s="145"/>
      <c r="H39" s="145" t="n">
        <v>0</v>
      </c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'!$B:$S,12,0)*1</f>
        <v>0</v>
      </c>
      <c r="N39" s="162" t="str">
        <f aca="false">IFERROR(H39/M39-1,"")</f>
        <v/>
      </c>
      <c r="O39" s="199" t="str">
        <f aca="false">IFERROR(H39/M39,"-")</f>
        <v>-</v>
      </c>
      <c r="P39" s="145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182"/>
      <c r="C40" s="183" t="s">
        <v>98</v>
      </c>
      <c r="D40" s="182" t="s">
        <v>98</v>
      </c>
      <c r="E40" s="183"/>
      <c r="F40" s="183" t="n">
        <f aca="false">SUM(F20:F39)+F51+F52</f>
        <v>615520.95</v>
      </c>
      <c r="G40" s="183" t="n">
        <f aca="false">SUM(G20:G39)+G51+G52</f>
        <v>335403.82</v>
      </c>
      <c r="H40" s="183" t="n">
        <f aca="false">SUM(H20:H39)+H51+H52</f>
        <v>312123.16</v>
      </c>
      <c r="I40" s="184" t="n">
        <f aca="false">IFERROR(H40/$H$19,"")</f>
        <v>0.178524268021963</v>
      </c>
      <c r="J40" s="184" t="n">
        <f aca="false">H40/G40-1</f>
        <v>-0.0694108373601708</v>
      </c>
      <c r="K40" s="183" t="n">
        <f aca="false">SUM(K20:K39)+K51+K52</f>
        <v>-23280.66</v>
      </c>
      <c r="M40" s="183" t="n">
        <f aca="false">SUM(M20:M39)+M51+M52</f>
        <v>688160.54455</v>
      </c>
      <c r="N40" s="184" t="n">
        <f aca="false">H40/M40-1</f>
        <v>-0.546438454700854</v>
      </c>
      <c r="O40" s="184" t="n">
        <f aca="false">IFERROR(H40/M40,"-")</f>
        <v>0.453561545299146</v>
      </c>
      <c r="P40" s="183" t="n">
        <f aca="false">SUM(P20:P39)+P51+P52</f>
        <v>-376037.38455</v>
      </c>
      <c r="R40" s="183" t="n">
        <f aca="false">SUM(R20:R39)+R51+R52</f>
        <v>779615.8</v>
      </c>
      <c r="S40" s="184" t="n">
        <f aca="false">IFERROR(H40/R40-1,"-")</f>
        <v>-0.599644902014556</v>
      </c>
      <c r="T40" s="184" t="n">
        <f aca="false">IFERROR(H40/R40,"-")</f>
        <v>0.400355097985444</v>
      </c>
      <c r="U40" s="183" t="n">
        <f aca="false">H40-R40</f>
        <v>-467492.64</v>
      </c>
      <c r="V40" s="174"/>
      <c r="W40" s="183" t="n">
        <v>296456.68</v>
      </c>
      <c r="X40" s="175" t="n">
        <f aca="false">H40-W40</f>
        <v>15666.48</v>
      </c>
      <c r="Y40" s="176" t="n">
        <f aca="false">IFERROR((H40/W40)-1,"-")</f>
        <v>0.0528457648517144</v>
      </c>
    </row>
    <row r="41" customFormat="false" ht="15" hidden="false" customHeight="true" outlineLevel="0" collapsed="false">
      <c r="A41" s="165"/>
      <c r="B41" s="185"/>
      <c r="C41" s="186" t="s">
        <v>163</v>
      </c>
      <c r="D41" s="185" t="s">
        <v>163</v>
      </c>
      <c r="E41" s="186"/>
      <c r="F41" s="186" t="n">
        <f aca="false">F40+F19</f>
        <v>2021164.683</v>
      </c>
      <c r="G41" s="186" t="n">
        <f aca="false">G40+G19</f>
        <v>1830821.43</v>
      </c>
      <c r="H41" s="186" t="n">
        <f aca="false">H40+H19</f>
        <v>2060474.594</v>
      </c>
      <c r="I41" s="134" t="n">
        <f aca="false">IFERROR(H41/$H$19,"")</f>
        <v>1.17852426802196</v>
      </c>
      <c r="J41" s="134" t="n">
        <f aca="false">H41/G41-1</f>
        <v>0.12543722737613</v>
      </c>
      <c r="K41" s="186" t="n">
        <f aca="false">K40+K19</f>
        <v>229653.164000002</v>
      </c>
      <c r="M41" s="186" t="n">
        <f aca="false">M40+M19</f>
        <v>3373969.69510556</v>
      </c>
      <c r="N41" s="134" t="n">
        <f aca="false">H41/M41-1</f>
        <v>-0.389302578209572</v>
      </c>
      <c r="O41" s="134" t="n">
        <f aca="false">IFERROR(H41/M41,"-")</f>
        <v>0.610697421790428</v>
      </c>
      <c r="P41" s="186" t="n">
        <f aca="false">P40+P19</f>
        <v>-1313495.10110556</v>
      </c>
      <c r="R41" s="186" t="n">
        <f aca="false">R40+R19</f>
        <v>3406716.64745763</v>
      </c>
      <c r="S41" s="134" t="n">
        <f aca="false">IFERROR(H41/R41-1,"-")</f>
        <v>-0.395172887202786</v>
      </c>
      <c r="T41" s="134" t="n">
        <f aca="false">IFERROR(H41/R41,"-")</f>
        <v>0.604827112797214</v>
      </c>
      <c r="U41" s="186" t="n">
        <f aca="false">H41-R41</f>
        <v>-1346242.05345763</v>
      </c>
      <c r="V41" s="174"/>
      <c r="W41" s="186" t="n">
        <v>1742783.251</v>
      </c>
      <c r="X41" s="175" t="n">
        <f aca="false">H41-W41</f>
        <v>317691.343</v>
      </c>
      <c r="Y41" s="176" t="n">
        <f aca="false">IFERROR((H41/W41)-1,"-")</f>
        <v>0.182289646642926</v>
      </c>
    </row>
    <row r="42" customFormat="false" ht="14.25" hidden="false" customHeight="true" outlineLevel="0" collapsed="false">
      <c r="C42" s="144"/>
      <c r="E42" s="144"/>
      <c r="F42" s="1" t="n">
        <v>0</v>
      </c>
    </row>
    <row r="50" customFormat="false" ht="14.25" hidden="false" customHeight="true" outlineLevel="0" collapsed="false">
      <c r="A50" s="159"/>
      <c r="B50" s="161"/>
      <c r="C50" s="145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45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45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Q31" activeCellId="0" sqref="Q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0" min="10" style="1" width="11"/>
    <col collapsed="false" customWidth="true" hidden="false" outlineLevel="0" max="11" min="11" style="1" width="11.88"/>
    <col collapsed="false" customWidth="true" hidden="false" outlineLevel="0" max="13" min="13" style="1" width="9.87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18" min="18" style="1" width="10.88"/>
    <col collapsed="false" customWidth="true" hidden="false" outlineLevel="0" max="19" min="19" style="1" width="7.62"/>
    <col collapsed="false" customWidth="true" hidden="false" outlineLevel="0" max="20" min="20" style="1" width="13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181</v>
      </c>
      <c r="D1" s="149" t="s">
        <v>181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10.2024</v>
      </c>
      <c r="G2" s="154" t="n">
        <v>10.2025</v>
      </c>
      <c r="H2" s="154" t="n">
        <v>10.2026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8" t="s">
        <v>178</v>
      </c>
      <c r="U2" s="157"/>
      <c r="V2" s="158" t="n">
        <v>10.2026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0</v>
      </c>
      <c r="G3" s="145" t="n">
        <v>33955.2</v>
      </c>
      <c r="H3" s="145" t="n">
        <v>20995.2</v>
      </c>
      <c r="I3" s="162" t="n">
        <f aca="false">IFERROR(H3/$H$19,"")</f>
        <v>1</v>
      </c>
      <c r="J3" s="162" t="n">
        <f aca="false">IFERROR(H3/G3-1,"")</f>
        <v>-0.381679389312977</v>
      </c>
      <c r="K3" s="145" t="n">
        <f aca="false">H3-G3</f>
        <v>-12960</v>
      </c>
      <c r="M3" s="145" t="n">
        <f aca="false">VLOOKUP(C3,'תקציב  '!$B:$S,13,0)*1</f>
        <v>226666.666666667</v>
      </c>
      <c r="N3" s="162" t="n">
        <f aca="false">IFERROR(H3/M3-1,"")</f>
        <v>-0.907374117647059</v>
      </c>
      <c r="O3" s="145" t="n">
        <f aca="false">H3-M3</f>
        <v>-205671.466666667</v>
      </c>
      <c r="Q3" s="147" t="n">
        <v>200000</v>
      </c>
      <c r="R3" s="162" t="n">
        <f aca="false">IFERROR(G3/Q3-1,"-")</f>
        <v>-0.830224</v>
      </c>
      <c r="S3" s="162" t="n">
        <f aca="false">IFERROR(G3/Q3,"-")</f>
        <v>0.169776</v>
      </c>
      <c r="T3" s="147" t="n">
        <f aca="false">G3-Q3</f>
        <v>-166044.8</v>
      </c>
      <c r="V3" s="145"/>
      <c r="W3" s="5" t="n">
        <f aca="false">H3-V3</f>
        <v>20995.2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403387.075</v>
      </c>
      <c r="G4" s="145" t="n">
        <v>417469.78</v>
      </c>
      <c r="H4" s="145"/>
      <c r="I4" s="162" t="n">
        <f aca="false">IFERROR(H4/$H$19,"")</f>
        <v>0</v>
      </c>
      <c r="J4" s="162" t="n">
        <f aca="false">IFERROR(H4/G4-1,"")</f>
        <v>-1</v>
      </c>
      <c r="K4" s="145" t="n">
        <f aca="false">H4-G4</f>
        <v>-417469.78</v>
      </c>
      <c r="M4" s="145" t="n">
        <f aca="false">VLOOKUP(C4,'תקציב  '!$B:$S,13,0)*1</f>
        <v>546666.666666667</v>
      </c>
      <c r="N4" s="162" t="n">
        <f aca="false">IFERROR(H4/M4-1,"")</f>
        <v>-1</v>
      </c>
      <c r="O4" s="145" t="n">
        <f aca="false">H4-M4</f>
        <v>-546666.666666667</v>
      </c>
      <c r="Q4" s="147" t="n">
        <v>550000</v>
      </c>
      <c r="R4" s="162" t="n">
        <f aca="false">IFERROR(G4/Q4-1,"-")</f>
        <v>-0.240964036363636</v>
      </c>
      <c r="S4" s="162" t="n">
        <f aca="false">IFERROR(G4/Q4,"-")</f>
        <v>0.759035963636364</v>
      </c>
      <c r="T4" s="147" t="n">
        <f aca="false">G4-Q4</f>
        <v>-132530.22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80742.389</v>
      </c>
      <c r="G5" s="145" t="n">
        <v>61390.42</v>
      </c>
      <c r="H5" s="145"/>
      <c r="I5" s="162" t="n">
        <f aca="false">IFERROR(H5/$H$19,"")</f>
        <v>0</v>
      </c>
      <c r="J5" s="162" t="n">
        <f aca="false">IFERROR(H5/G5-1,"")</f>
        <v>-1</v>
      </c>
      <c r="K5" s="145" t="n">
        <f aca="false">H5-G5</f>
        <v>-61390.42</v>
      </c>
      <c r="M5" s="145" t="n">
        <f aca="false">VLOOKUP(C5,'תקציב  '!$B:$S,13,0)*1</f>
        <v>75000</v>
      </c>
      <c r="N5" s="162" t="n">
        <f aca="false">IFERROR(H5/M5-1,"")</f>
        <v>-1</v>
      </c>
      <c r="O5" s="145" t="n">
        <f aca="false">H5-M5</f>
        <v>-75000</v>
      </c>
      <c r="Q5" s="147" t="n">
        <v>100000</v>
      </c>
      <c r="R5" s="162" t="n">
        <f aca="false">IFERROR(G5/Q5-1,"-")</f>
        <v>-0.3860958</v>
      </c>
      <c r="S5" s="162" t="n">
        <f aca="false">IFERROR(G5/Q5,"-")</f>
        <v>0.6139042</v>
      </c>
      <c r="T5" s="147" t="n">
        <f aca="false">G5-Q5</f>
        <v>-38609.58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128887.331</v>
      </c>
      <c r="G6" s="145" t="n">
        <v>150616.42</v>
      </c>
      <c r="H6" s="145"/>
      <c r="I6" s="162" t="n">
        <f aca="false">IFERROR(H6/$H$19,"")</f>
        <v>0</v>
      </c>
      <c r="J6" s="162" t="n">
        <f aca="false">IFERROR(H6/G6-1,"")</f>
        <v>-1</v>
      </c>
      <c r="K6" s="145" t="n">
        <f aca="false">H6-G6</f>
        <v>-150616.42</v>
      </c>
      <c r="M6" s="145" t="n">
        <f aca="false">VLOOKUP(B6,'תקציב  '!$B:$S,13,0)*1</f>
        <v>162333.333333333</v>
      </c>
      <c r="N6" s="162" t="n">
        <f aca="false">IFERROR(H6/M6-1,"")</f>
        <v>-1</v>
      </c>
      <c r="O6" s="145" t="n">
        <f aca="false">H6-M6</f>
        <v>-162333.333333333</v>
      </c>
      <c r="Q6" s="147" t="n">
        <v>200000</v>
      </c>
      <c r="R6" s="162" t="n">
        <f aca="false">IFERROR(G6/Q6-1,"-")</f>
        <v>-0.2469179</v>
      </c>
      <c r="S6" s="162" t="n">
        <f aca="false">IFERROR(G6/Q6,"-")</f>
        <v>0.7530821</v>
      </c>
      <c r="T6" s="147" t="n">
        <f aca="false">G6-Q6</f>
        <v>-49383.58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291076</v>
      </c>
      <c r="G7" s="145" t="n">
        <v>184903.8</v>
      </c>
      <c r="H7" s="145"/>
      <c r="I7" s="162" t="n">
        <f aca="false">IFERROR(H7/$H$19,"")</f>
        <v>0</v>
      </c>
      <c r="J7" s="162" t="n">
        <f aca="false">IFERROR(H7/G7-1,"")</f>
        <v>-1</v>
      </c>
      <c r="K7" s="145" t="n">
        <f aca="false">H7-G7</f>
        <v>-184903.8</v>
      </c>
      <c r="M7" s="145" t="n">
        <f aca="false">VLOOKUP(C7,'תקציב  '!$B:$S,13,0)*1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IFERROR(G7/Q7-1,"-")</f>
        <v>-0.439685454545455</v>
      </c>
      <c r="S7" s="162" t="n">
        <f aca="false">IFERROR(G7/Q7,"-")</f>
        <v>0.560314545454545</v>
      </c>
      <c r="T7" s="147" t="n">
        <f aca="false">G7-Q7</f>
        <v>-145096.2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50225.36</v>
      </c>
      <c r="G8" s="145" t="n">
        <v>70789.24</v>
      </c>
      <c r="H8" s="145"/>
      <c r="I8" s="162" t="n">
        <f aca="false">IFERROR(H8/$H$19,"")</f>
        <v>0</v>
      </c>
      <c r="J8" s="162" t="n">
        <f aca="false">IFERROR(H8/G8-1,"")</f>
        <v>-1</v>
      </c>
      <c r="K8" s="145" t="n">
        <f aca="false">H8-G8</f>
        <v>-70789.24</v>
      </c>
      <c r="M8" s="145" t="n">
        <f aca="false">VLOOKUP(C8,'תקציב  '!$B:$S,13,0)*1</f>
        <v>103333.333333333</v>
      </c>
      <c r="N8" s="162" t="n">
        <f aca="false">IFERROR(H8/M8-1,"")</f>
        <v>-1</v>
      </c>
      <c r="O8" s="145" t="n">
        <f aca="false">H8-M8</f>
        <v>-103333.333333333</v>
      </c>
      <c r="Q8" s="147" t="n">
        <v>100000</v>
      </c>
      <c r="R8" s="162" t="n">
        <f aca="false">IFERROR(G8/Q8-1,"-")</f>
        <v>-0.2921076</v>
      </c>
      <c r="S8" s="162" t="n">
        <f aca="false">IFERROR(G8/Q8,"-")</f>
        <v>0.7078924</v>
      </c>
      <c r="T8" s="147" t="n">
        <f aca="false">G8-Q8</f>
        <v>-29210.76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56916.24</v>
      </c>
      <c r="G9" s="145" t="n">
        <v>57765.28</v>
      </c>
      <c r="H9" s="145"/>
      <c r="I9" s="162" t="n">
        <f aca="false">IFERROR(H9/$H$19,"")</f>
        <v>0</v>
      </c>
      <c r="J9" s="162" t="n">
        <f aca="false">IFERROR(H9/G9-1,"")</f>
        <v>-1</v>
      </c>
      <c r="K9" s="145" t="n">
        <f aca="false">H9-G9</f>
        <v>-57765.28</v>
      </c>
      <c r="M9" s="145" t="n">
        <f aca="false">VLOOKUP(C9,'תקציב  '!$B:$S,13,0)*1</f>
        <v>173583.333333333</v>
      </c>
      <c r="N9" s="162" t="n">
        <f aca="false">IFERROR(H9/M9-1,"")</f>
        <v>-1</v>
      </c>
      <c r="O9" s="145" t="n">
        <f aca="false">H9-M9</f>
        <v>-173583.333333333</v>
      </c>
      <c r="Q9" s="147" t="n">
        <v>100000</v>
      </c>
      <c r="R9" s="162" t="n">
        <f aca="false">IFERROR(G9/Q9-1,"-")</f>
        <v>-0.4223472</v>
      </c>
      <c r="S9" s="162" t="n">
        <f aca="false">IFERROR(G9/Q9,"-")</f>
        <v>0.5776528</v>
      </c>
      <c r="T9" s="147" t="n">
        <f aca="false">G9-Q9</f>
        <v>-42234.72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11253.22</v>
      </c>
      <c r="G10" s="145" t="n">
        <v>9579</v>
      </c>
      <c r="H10" s="145"/>
      <c r="I10" s="162" t="n">
        <f aca="false">IFERROR(H10/$H$19,"")</f>
        <v>0</v>
      </c>
      <c r="J10" s="162" t="n">
        <f aca="false">IFERROR(H10/G10-1,"")</f>
        <v>-1</v>
      </c>
      <c r="K10" s="145" t="n">
        <f aca="false">H10-G10</f>
        <v>-9579</v>
      </c>
      <c r="M10" s="145" t="n">
        <f aca="false">VLOOKUP(C10,'תקציב  '!$B:$S,13,0)*1</f>
        <v>15833.3333333333</v>
      </c>
      <c r="N10" s="162" t="n">
        <f aca="false">IFERROR(H10/M10-1,"")</f>
        <v>-1</v>
      </c>
      <c r="O10" s="145" t="n">
        <f aca="false">H10-M10</f>
        <v>-15833.3333333333</v>
      </c>
      <c r="Q10" s="147" t="n">
        <v>15000</v>
      </c>
      <c r="R10" s="162" t="n">
        <f aca="false">IFERROR(G10/Q10-1,"-")</f>
        <v>-0.3614</v>
      </c>
      <c r="S10" s="162" t="n">
        <f aca="false">IFERROR(G10/Q10,"-")</f>
        <v>0.6386</v>
      </c>
      <c r="T10" s="147" t="n">
        <f aca="false">G10-Q10</f>
        <v>-5421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-1766.36</v>
      </c>
      <c r="G11" s="145" t="n">
        <v>3274.69</v>
      </c>
      <c r="H11" s="145"/>
      <c r="I11" s="162" t="n">
        <f aca="false">IFERROR(H11/$H$19,"")</f>
        <v>0</v>
      </c>
      <c r="J11" s="162" t="n">
        <f aca="false">IFERROR(H11/G11-1,"")</f>
        <v>-1</v>
      </c>
      <c r="K11" s="145" t="n">
        <f aca="false">H11-G11</f>
        <v>-3274.69</v>
      </c>
      <c r="M11" s="145" t="n">
        <f aca="false">VLOOKUP(C11,'תקציב  '!$B:$S,13,0)*1</f>
        <v>9333.33333333333</v>
      </c>
      <c r="N11" s="162" t="n">
        <f aca="false">IFERROR(H11/M11-1,"")</f>
        <v>-1</v>
      </c>
      <c r="O11" s="145" t="n">
        <f aca="false">H11-M11</f>
        <v>-9333.33333333333</v>
      </c>
      <c r="Q11" s="147" t="n">
        <v>10000</v>
      </c>
      <c r="R11" s="162" t="n">
        <f aca="false">IFERROR(G11/Q11-1,"-")</f>
        <v>-0.672531</v>
      </c>
      <c r="S11" s="162" t="n">
        <f aca="false">IFERROR(G11/Q11,"-")</f>
        <v>0.327469</v>
      </c>
      <c r="T11" s="147" t="n">
        <f aca="false">G11-Q11</f>
        <v>-6725.31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669.74</v>
      </c>
      <c r="H12" s="145"/>
      <c r="I12" s="162" t="n">
        <f aca="false">IFERROR(H12/$H$19,"")</f>
        <v>0</v>
      </c>
      <c r="J12" s="162" t="n">
        <f aca="false">IFERROR(H12/G12-1,"")</f>
        <v>-1</v>
      </c>
      <c r="K12" s="145" t="n">
        <f aca="false">H12-G12</f>
        <v>-669.74</v>
      </c>
      <c r="M12" s="145" t="n">
        <f aca="false">VLOOKUP(C12,'תקציב  '!$B:$S,13,0)*1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IFERROR(G12/Q12-1,"-")</f>
        <v>-0.866052</v>
      </c>
      <c r="S12" s="162" t="n">
        <f aca="false">IFERROR(G12/Q12,"-")</f>
        <v>0.133948</v>
      </c>
      <c r="T12" s="147" t="n">
        <f aca="false">G12-Q12</f>
        <v>-4330.26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514.2</v>
      </c>
      <c r="H13" s="145"/>
      <c r="I13" s="162" t="n">
        <f aca="false">IFERROR(H13/$H$19,"")</f>
        <v>0</v>
      </c>
      <c r="J13" s="162" t="n">
        <f aca="false">IFERROR(H13/G13-1,"")</f>
        <v>-1</v>
      </c>
      <c r="K13" s="145" t="n">
        <f aca="false">H13-G13</f>
        <v>-514.2</v>
      </c>
      <c r="M13" s="145" t="n">
        <f aca="false">VLOOKUP(C13,'תקציב  '!$B:$S,13,0)*1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IFERROR(G13/Q13-1,"-")</f>
        <v>-0.89716</v>
      </c>
      <c r="S13" s="162" t="n">
        <f aca="false">IFERROR(G13/Q13,"-")</f>
        <v>0.10284</v>
      </c>
      <c r="T13" s="147" t="n">
        <f aca="false">G13-Q13</f>
        <v>-4485.8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507.08</v>
      </c>
      <c r="G14" s="145" t="n">
        <v>0</v>
      </c>
      <c r="H14" s="145"/>
      <c r="I14" s="162" t="n">
        <f aca="false">IFERROR(H14/$H$19,"")</f>
        <v>0</v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'!$B:$S,13,0)*1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IFERROR(G14/Q14-1,"-")</f>
        <v>-1</v>
      </c>
      <c r="S14" s="162" t="n">
        <f aca="false">IFERROR(G14/Q14,"-")</f>
        <v>0</v>
      </c>
      <c r="T14" s="147" t="n">
        <f aca="false">G14-Q14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2059.32</v>
      </c>
      <c r="G15" s="145" t="n">
        <v>4038.81</v>
      </c>
      <c r="H15" s="145"/>
      <c r="I15" s="162" t="n">
        <f aca="false">IFERROR(H15/$H$19,"")</f>
        <v>0</v>
      </c>
      <c r="J15" s="162" t="n">
        <f aca="false">IFERROR(H15/G15-1,"")</f>
        <v>-1</v>
      </c>
      <c r="K15" s="145" t="n">
        <f aca="false">H15-G15</f>
        <v>-4038.81</v>
      </c>
      <c r="M15" s="145" t="n">
        <f aca="false">VLOOKUP(C15,'תקציב  '!$B:$S,13,0)*1</f>
        <v>16666.6666666667</v>
      </c>
      <c r="N15" s="162" t="n">
        <f aca="false">IFERROR(H15/M15-1,"")</f>
        <v>-1</v>
      </c>
      <c r="O15" s="145" t="n">
        <f aca="false">H15-M15</f>
        <v>-16666.6666666667</v>
      </c>
      <c r="Q15" s="147" t="n">
        <v>25000</v>
      </c>
      <c r="R15" s="162" t="n">
        <f aca="false">IFERROR(G15/Q15-1,"-")</f>
        <v>-0.8384476</v>
      </c>
      <c r="S15" s="162" t="n">
        <f aca="false">IFERROR(G15/Q15,"-")</f>
        <v>0.1615524</v>
      </c>
      <c r="T15" s="147" t="n">
        <f aca="false">G15-Q15</f>
        <v>-20961.19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1023287.655</v>
      </c>
      <c r="G16" s="172" t="n">
        <f aca="false">SUM(G3:G15)+G50</f>
        <v>994966.58</v>
      </c>
      <c r="H16" s="172" t="n">
        <f aca="false">SUM(H3:H15)+H50</f>
        <v>20995.2</v>
      </c>
      <c r="I16" s="173" t="n">
        <f aca="false">IFERROR(H16/$H$19,"")</f>
        <v>1</v>
      </c>
      <c r="J16" s="173" t="n">
        <f aca="false">IFERROR(H16/G16-1,"")</f>
        <v>-0.978898587729449</v>
      </c>
      <c r="K16" s="172" t="n">
        <f aca="false">SUM(K3:K15)+K50</f>
        <v>-973971.38</v>
      </c>
      <c r="M16" s="172" t="n">
        <f aca="false">SUM(M3:M15)+M50</f>
        <v>1744416.66666667</v>
      </c>
      <c r="N16" s="173" t="n">
        <f aca="false">IFERROR(H16/M16-1,"")</f>
        <v>-0.987964343381264</v>
      </c>
      <c r="O16" s="172" t="n">
        <f aca="false">SUM(O3:O15)+O50</f>
        <v>-1723421.46666667</v>
      </c>
      <c r="Q16" s="172" t="n">
        <f aca="false">SUM(Q3:Q15)+Q50</f>
        <v>1645000</v>
      </c>
      <c r="R16" s="173" t="n">
        <f aca="false">IFERROR(G16/Q16-1,"-")</f>
        <v>-0.395157094224924</v>
      </c>
      <c r="S16" s="173" t="n">
        <f aca="false">IFERROR(G16/Q16,"-")</f>
        <v>0.604842905775076</v>
      </c>
      <c r="T16" s="172" t="n">
        <f aca="false">G16-Q16</f>
        <v>-650033.42</v>
      </c>
      <c r="U16" s="174"/>
      <c r="V16" s="172"/>
      <c r="W16" s="175" t="n">
        <f aca="false">H16-V16</f>
        <v>20995.2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71675.5700000002</v>
      </c>
      <c r="G17" s="145" t="n">
        <v>136200.54</v>
      </c>
      <c r="H17" s="145"/>
      <c r="I17" s="162" t="n">
        <f aca="false">IFERROR(H17/$H$19,"")</f>
        <v>0</v>
      </c>
      <c r="J17" s="162" t="n">
        <f aca="false">IFERROR(H17/G17-1,"")</f>
        <v>-1</v>
      </c>
      <c r="K17" s="145" t="n">
        <f aca="false">H17-G17</f>
        <v>-136200.54</v>
      </c>
      <c r="M17" s="145" t="n">
        <f aca="false">VLOOKUP(C17,'תקציב  '!$B:$S,13,0)*1</f>
        <v>1300521.18644068</v>
      </c>
      <c r="N17" s="162" t="n">
        <f aca="false">IFERROR(H17/M17-1,"")</f>
        <v>-1</v>
      </c>
      <c r="O17" s="145" t="n">
        <f aca="false">H17-M17</f>
        <v>-1300521.18644068</v>
      </c>
      <c r="Q17" s="147" t="n">
        <v>1159556.77966102</v>
      </c>
      <c r="R17" s="162" t="n">
        <f aca="false">IFERROR(G17/Q17-1,"-")</f>
        <v>-0.882540861828417</v>
      </c>
      <c r="S17" s="162" t="n">
        <f aca="false">IFERROR(G17/Q17,"-")</f>
        <v>0.117459138171583</v>
      </c>
      <c r="T17" s="147" t="n">
        <f aca="false">G17-Q17</f>
        <v>-1023356.23966102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3795.33</v>
      </c>
      <c r="G18" s="145" t="n">
        <v>1762.26</v>
      </c>
      <c r="H18" s="145"/>
      <c r="I18" s="162" t="n">
        <f aca="false">IFERROR(H18/$H$19,"")</f>
        <v>0</v>
      </c>
      <c r="J18" s="162" t="n">
        <f aca="false">IFERROR(H18/G18-1,"")</f>
        <v>-1</v>
      </c>
      <c r="K18" s="145" t="n">
        <f aca="false">H18-G18</f>
        <v>-1762.26</v>
      </c>
      <c r="M18" s="145" t="n">
        <f aca="false">VLOOKUP(C18,'תקציב  '!$B:$S,13,0)*1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IFERROR(G18/Q18-1,"-")</f>
        <v>-0.647548</v>
      </c>
      <c r="S18" s="162" t="n">
        <f aca="false">IFERROR(G18/Q18,"-")</f>
        <v>0.352452</v>
      </c>
      <c r="T18" s="147" t="n">
        <f aca="false">G18-Q18</f>
        <v>-3237.74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1098758.555</v>
      </c>
      <c r="G19" s="172" t="n">
        <f aca="false">G16+G17+G18</f>
        <v>1132929.38</v>
      </c>
      <c r="H19" s="172" t="n">
        <f aca="false">H16+H17+H18</f>
        <v>20995.2</v>
      </c>
      <c r="I19" s="173" t="n">
        <f aca="false">IFERROR(H19/$H$19,"")</f>
        <v>1</v>
      </c>
      <c r="J19" s="173" t="n">
        <f aca="false">IFERROR(H19/G19-1,"")</f>
        <v>-0.981468218257346</v>
      </c>
      <c r="K19" s="172" t="n">
        <f aca="false">K16+K17+K18</f>
        <v>-1111934.18</v>
      </c>
      <c r="M19" s="172" t="n">
        <f aca="false">M16+M17+M18</f>
        <v>3047474.78144068</v>
      </c>
      <c r="N19" s="173" t="n">
        <f aca="false">IFERROR(H19/M19-1,"")</f>
        <v>-0.993110623875262</v>
      </c>
      <c r="O19" s="172" t="n">
        <f aca="false">O16+O17+O18</f>
        <v>-3026479.58144068</v>
      </c>
      <c r="Q19" s="172" t="n">
        <f aca="false">Q16+Q17+Q18</f>
        <v>2809556.77966102</v>
      </c>
      <c r="R19" s="173" t="n">
        <f aca="false">IFERROR(G19/Q19-1,"-")</f>
        <v>-0.596758681582263</v>
      </c>
      <c r="S19" s="173" t="n">
        <f aca="false">IFERROR(G19/Q19,"-")</f>
        <v>0.403241318417737</v>
      </c>
      <c r="T19" s="172" t="n">
        <f aca="false">G19-Q19</f>
        <v>-1676627.39966102</v>
      </c>
      <c r="U19" s="174"/>
      <c r="V19" s="172"/>
      <c r="W19" s="175" t="n">
        <f aca="false">H19-V19</f>
        <v>20995.2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234970.3</v>
      </c>
      <c r="G20" s="145" t="n">
        <v>223589.21</v>
      </c>
      <c r="H20" s="145"/>
      <c r="I20" s="162" t="n">
        <f aca="false">IFERROR(H20/$H$19,"")</f>
        <v>0</v>
      </c>
      <c r="J20" s="162" t="n">
        <f aca="false">IFERROR(H20/G20-1,"")</f>
        <v>-1</v>
      </c>
      <c r="K20" s="145" t="n">
        <f aca="false">H20-G20</f>
        <v>-223589.21</v>
      </c>
      <c r="M20" s="145" t="n">
        <f aca="false">VLOOKUP(C20,'תקציב  '!$B:$S,13,0)*1</f>
        <v>443955.5208</v>
      </c>
      <c r="N20" s="162" t="n">
        <f aca="false">IFERROR(H20/M20-1,"")</f>
        <v>-1</v>
      </c>
      <c r="O20" s="145" t="n">
        <f aca="false">H20-M20</f>
        <v>-443955.5208</v>
      </c>
      <c r="Q20" s="147" t="n">
        <v>321888.6</v>
      </c>
      <c r="R20" s="162" t="n">
        <f aca="false">IFERROR(G20/Q20-1,"-")</f>
        <v>-0.305383259922843</v>
      </c>
      <c r="S20" s="162" t="n">
        <f aca="false">IFERROR(G20/Q20,"-")</f>
        <v>0.694616740077157</v>
      </c>
      <c r="T20" s="147" t="n">
        <f aca="false">G20-Q20</f>
        <v>-98299.39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140125.45</v>
      </c>
      <c r="H21" s="145"/>
      <c r="I21" s="162" t="n">
        <f aca="false">IFERROR(H21/$H$19,"")</f>
        <v>0</v>
      </c>
      <c r="J21" s="162" t="n">
        <f aca="false">IFERROR(H21/G21-1,"")</f>
        <v>-1</v>
      </c>
      <c r="K21" s="145" t="n">
        <f aca="false">H21-G21</f>
        <v>-140125.45</v>
      </c>
      <c r="M21" s="145" t="n">
        <f aca="false">VLOOKUP(C21,'תקציב  '!$B:$S,13,0)*1</f>
        <v>156800</v>
      </c>
      <c r="N21" s="162" t="n">
        <f aca="false">IFERROR(H21/M21-1,"")</f>
        <v>-1</v>
      </c>
      <c r="O21" s="145" t="n">
        <f aca="false">H21-M21</f>
        <v>-156800</v>
      </c>
      <c r="Q21" s="147" t="n">
        <v>300000</v>
      </c>
      <c r="R21" s="162" t="n">
        <f aca="false">IFERROR(G21/Q21-1,"-")</f>
        <v>-0.532915166666667</v>
      </c>
      <c r="S21" s="162" t="n">
        <f aca="false">IFERROR(G21/Q21,"-")</f>
        <v>0.467084833333333</v>
      </c>
      <c r="T21" s="147" t="n">
        <f aca="false">G21-Q21</f>
        <v>-159874.55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92018.45</v>
      </c>
      <c r="G22" s="145" t="n">
        <v>596.73</v>
      </c>
      <c r="H22" s="145"/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-596.73</v>
      </c>
      <c r="M22" s="145" t="n">
        <f aca="false">VLOOKUP(C22,'תקציב  '!$B:$S,13,0)*1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IFERROR(G22/Q22-1,"-")</f>
        <v>-</v>
      </c>
      <c r="S22" s="162" t="str">
        <f aca="false">IFERROR(G22/Q22,"-")</f>
        <v>-</v>
      </c>
      <c r="T22" s="147" t="n">
        <f aca="false">G22-Q22</f>
        <v>596.73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86858.25</v>
      </c>
      <c r="G23" s="145" t="n">
        <v>0</v>
      </c>
      <c r="H23" s="145"/>
      <c r="I23" s="162" t="n">
        <f aca="false">IFERROR(H23/$H$19,"")</f>
        <v>0</v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'!$B:$S,13,0)*1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IFERROR(G23/Q23-1,"-")</f>
        <v>-</v>
      </c>
      <c r="S23" s="162" t="str">
        <f aca="false">IFERROR(G23/Q23,"-")</f>
        <v>-</v>
      </c>
      <c r="T23" s="147" t="n">
        <f aca="false">G23-Q23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15474.02</v>
      </c>
      <c r="H24" s="145"/>
      <c r="I24" s="162" t="n">
        <f aca="false">IFERROR(H24/$H$19,"")</f>
        <v>0</v>
      </c>
      <c r="J24" s="162" t="n">
        <f aca="false">IFERROR(H24/G24-1,"")</f>
        <v>-1</v>
      </c>
      <c r="K24" s="145" t="n">
        <f aca="false">H24-G24</f>
        <v>-15474.02</v>
      </c>
      <c r="M24" s="145" t="n">
        <f aca="false">VLOOKUP(C24,'תקציב  '!$B:$S,13,0)*1</f>
        <v>9225</v>
      </c>
      <c r="N24" s="162" t="n">
        <f aca="false">IFERROR(H24/M24-1,"")</f>
        <v>-1</v>
      </c>
      <c r="O24" s="145" t="n">
        <f aca="false">H24-M24</f>
        <v>-9225</v>
      </c>
      <c r="Q24" s="147" t="n">
        <v>0</v>
      </c>
      <c r="R24" s="162" t="str">
        <f aca="false">IFERROR(G24/Q24-1,"-")</f>
        <v>-</v>
      </c>
      <c r="S24" s="162" t="str">
        <f aca="false">IFERROR(G24/Q24,"-")</f>
        <v>-</v>
      </c>
      <c r="T24" s="147" t="n">
        <f aca="false">G24-Q24</f>
        <v>15474.02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'!$B:$S,13,0)*1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IFERROR(G25/Q25-1,"-")</f>
        <v>-</v>
      </c>
      <c r="S25" s="162" t="str">
        <f aca="false">IFERROR(G25/Q25,"-")</f>
        <v>-</v>
      </c>
      <c r="T25" s="147" t="n">
        <f aca="false">G25-Q25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'!$B:$S,13,0)*1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IFERROR(G26/Q26-1,"-")</f>
        <v>-</v>
      </c>
      <c r="S26" s="162" t="str">
        <f aca="false">IFERROR(G26/Q26,"-")</f>
        <v>-</v>
      </c>
      <c r="T26" s="147" t="n">
        <f aca="false">G26-Q26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20724.08</v>
      </c>
      <c r="G27" s="145" t="n">
        <v>20604.23</v>
      </c>
      <c r="H27" s="145"/>
      <c r="I27" s="162" t="n">
        <f aca="false">IFERROR(H27/$H$19,"")</f>
        <v>0</v>
      </c>
      <c r="J27" s="162" t="n">
        <f aca="false">IFERROR(H27/G27-1,"")</f>
        <v>-1</v>
      </c>
      <c r="K27" s="145" t="n">
        <f aca="false">H27-G27</f>
        <v>-20604.23</v>
      </c>
      <c r="M27" s="145" t="n">
        <f aca="false">VLOOKUP(C27,'תקציב  '!$B:$S,13,0)*1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IFERROR(G27/Q27-1,"-")</f>
        <v>-</v>
      </c>
      <c r="S27" s="162" t="str">
        <f aca="false">IFERROR(G27/Q27,"-")</f>
        <v>-</v>
      </c>
      <c r="T27" s="147" t="n">
        <f aca="false">G27-Q27</f>
        <v>20604.23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0</v>
      </c>
      <c r="G28" s="145" t="n">
        <v>0</v>
      </c>
      <c r="H28" s="145"/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'!$B:$S,13,0)*1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100000</v>
      </c>
      <c r="R28" s="162" t="n">
        <f aca="false">IFERROR(G28/Q28-1,"-")</f>
        <v>-1</v>
      </c>
      <c r="S28" s="162" t="n">
        <f aca="false">IFERROR(G28/Q28,"-")</f>
        <v>0</v>
      </c>
      <c r="T28" s="147" t="n">
        <f aca="false">G28-Q28</f>
        <v>-100000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36333.04</v>
      </c>
      <c r="H29" s="145"/>
      <c r="I29" s="162" t="n">
        <f aca="false">IFERROR(H29/$H$19,"")</f>
        <v>0</v>
      </c>
      <c r="J29" s="162" t="n">
        <f aca="false">IFERROR(H29/G29-1,"")</f>
        <v>-1</v>
      </c>
      <c r="K29" s="145" t="n">
        <f aca="false">H29-G29</f>
        <v>-36333.04</v>
      </c>
      <c r="M29" s="145" t="n">
        <f aca="false">VLOOKUP(C29,'תקציב  '!$B:$S,13,0)*1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20000</v>
      </c>
      <c r="R29" s="162" t="n">
        <f aca="false">IFERROR(G29/Q29-1,"-")</f>
        <v>0.816652</v>
      </c>
      <c r="S29" s="162" t="n">
        <f aca="false">IFERROR(G29/Q29,"-")</f>
        <v>1.816652</v>
      </c>
      <c r="T29" s="147" t="n">
        <f aca="false">G29-Q29</f>
        <v>16333.04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3920.16</v>
      </c>
      <c r="G30" s="145" t="n">
        <v>0</v>
      </c>
      <c r="H30" s="145"/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'!$B:$S,13,0)*1</f>
        <v>35000</v>
      </c>
      <c r="N30" s="162" t="n">
        <f aca="false">IFERROR(H30/M30-1,"")</f>
        <v>-1</v>
      </c>
      <c r="O30" s="145" t="n">
        <f aca="false">H30-M30</f>
        <v>-35000</v>
      </c>
      <c r="Q30" s="147" t="n">
        <v>30000</v>
      </c>
      <c r="R30" s="162" t="n">
        <f aca="false">IFERROR(G30/Q30-1,"-")</f>
        <v>-1</v>
      </c>
      <c r="S30" s="162" t="n">
        <f aca="false">IFERROR(G30/Q30,"-")</f>
        <v>0</v>
      </c>
      <c r="T30" s="147" t="n">
        <f aca="false">G30-Q30</f>
        <v>-30000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22174.82</v>
      </c>
      <c r="H31" s="145"/>
      <c r="I31" s="162" t="n">
        <f aca="false">IFERROR(H31/$H$19,"")</f>
        <v>0</v>
      </c>
      <c r="J31" s="162" t="n">
        <f aca="false">IFERROR(H31/G31-1,"")</f>
        <v>-1</v>
      </c>
      <c r="K31" s="145" t="n">
        <f aca="false">H31-G31</f>
        <v>-22174.82</v>
      </c>
      <c r="M31" s="145" t="n">
        <f aca="false">VLOOKUP(C31,'תקציב  '!$B:$S,13,0)*1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IFERROR(G31/Q31-1,"-")</f>
        <v>-</v>
      </c>
      <c r="S31" s="162" t="str">
        <f aca="false">IFERROR(G31/Q31,"-")</f>
        <v>-</v>
      </c>
      <c r="T31" s="147" t="n">
        <f aca="false">G31-Q31</f>
        <v>22174.82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n">
        <f aca="false">IFERROR(H32/$H$19,"")</f>
        <v>0</v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'!$B:$S,13,0)*1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IFERROR(G32/Q32-1,"-")</f>
        <v>-</v>
      </c>
      <c r="S32" s="162" t="str">
        <f aca="false">IFERROR(G32/Q32,"-")</f>
        <v>-</v>
      </c>
      <c r="T32" s="147" t="n">
        <f aca="false">G32-Q32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IFERROR(G33/Q33-1,"-")</f>
        <v>-</v>
      </c>
      <c r="S33" s="162" t="str">
        <f aca="false">IFERROR(G33/Q33,"-")</f>
        <v>-</v>
      </c>
      <c r="T33" s="147" t="n">
        <f aca="false">G33-Q33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'!$B:$S,13,0)*1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IFERROR(G34/Q34-1,"-")</f>
        <v>-</v>
      </c>
      <c r="S34" s="162" t="str">
        <f aca="false">IFERROR(G34/Q34,"-")</f>
        <v>-</v>
      </c>
      <c r="T34" s="147" t="n">
        <f aca="false">G34-Q34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'!$B:$S,13,0)*1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0</v>
      </c>
      <c r="R35" s="162" t="str">
        <f aca="false">IFERROR(G35/Q35-1,"-")</f>
        <v>-</v>
      </c>
      <c r="S35" s="162" t="str">
        <f aca="false">IFERROR(G35/Q35,"-")</f>
        <v>-</v>
      </c>
      <c r="T35" s="147" t="n">
        <f aca="false">G35-Q35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IFERROR(G36/Q36-1,"-")</f>
        <v>-</v>
      </c>
      <c r="S36" s="162" t="str">
        <f aca="false">IFERROR(G36/Q36,"-")</f>
        <v>-</v>
      </c>
      <c r="T36" s="147" t="n">
        <f aca="false">G36-Q36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IFERROR(G37/Q37-1,"-")</f>
        <v>-</v>
      </c>
      <c r="S37" s="162" t="str">
        <f aca="false">IFERROR(G37/Q37,"-")</f>
        <v>-</v>
      </c>
      <c r="T37" s="147" t="n">
        <f aca="false">G37-Q37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'!$B:$S,13,0)*1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IFERROR(G38/Q38-1,"-")</f>
        <v>-</v>
      </c>
      <c r="S38" s="162" t="str">
        <f aca="false">IFERROR(G38/Q38,"-")</f>
        <v>-</v>
      </c>
      <c r="T38" s="147" t="n">
        <f aca="false">G38-Q38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'!$B:$S,13,0)*1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100000</v>
      </c>
      <c r="R39" s="162" t="n">
        <f aca="false">IFERROR(G39/Q39-1,"-")</f>
        <v>-1</v>
      </c>
      <c r="S39" s="162" t="n">
        <f aca="false">IFERROR(G39/Q39,"-")</f>
        <v>0</v>
      </c>
      <c r="T39" s="147" t="n">
        <f aca="false">G39-Q39</f>
        <v>-100000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438491.24</v>
      </c>
      <c r="G40" s="183" t="n">
        <f aca="false">SUM(G20:G39)+G51+G52</f>
        <v>458897.5</v>
      </c>
      <c r="H40" s="183" t="n">
        <f aca="false">SUM(H20:H39)+H51+H52</f>
        <v>0</v>
      </c>
      <c r="I40" s="184" t="n">
        <f aca="false">IFERROR(H40/$H$19,"")</f>
        <v>0</v>
      </c>
      <c r="J40" s="184" t="n">
        <f aca="false">IFERROR(H40/G40-1,"")</f>
        <v>-1</v>
      </c>
      <c r="K40" s="183" t="n">
        <f aca="false">SUM(K20:K39)+K51+K52</f>
        <v>-458897.5</v>
      </c>
      <c r="M40" s="183" t="n">
        <f aca="false">SUM(M20:M39)+M51+M52</f>
        <v>689745.5968</v>
      </c>
      <c r="N40" s="184" t="n">
        <f aca="false">IFERROR(H40/M40-1,"")</f>
        <v>-1</v>
      </c>
      <c r="O40" s="183" t="n">
        <f aca="false">SUM(O20:O39)+O51+O52</f>
        <v>-689745.5968</v>
      </c>
      <c r="Q40" s="183" t="n">
        <f aca="false">SUM(Q20:Q39)+Q51+Q52</f>
        <v>871888.6</v>
      </c>
      <c r="R40" s="184" t="n">
        <f aca="false">IFERROR(G40/Q40-1,"-")</f>
        <v>-0.473674159749307</v>
      </c>
      <c r="S40" s="184" t="n">
        <f aca="false">IFERROR(G40/Q40,"-")</f>
        <v>0.526325840250693</v>
      </c>
      <c r="T40" s="183" t="n">
        <f aca="false">G40-Q40</f>
        <v>-412991.1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1537249.795</v>
      </c>
      <c r="G41" s="186" t="n">
        <f aca="false">G40+G19</f>
        <v>1591826.88</v>
      </c>
      <c r="H41" s="186" t="n">
        <f aca="false">H40+H19</f>
        <v>20995.2</v>
      </c>
      <c r="I41" s="134" t="n">
        <f aca="false">IFERROR(H41/$H$19,"")</f>
        <v>1</v>
      </c>
      <c r="J41" s="134" t="n">
        <f aca="false">IFERROR(H41/G41-1,"")</f>
        <v>-0.986810626039937</v>
      </c>
      <c r="K41" s="186" t="n">
        <f aca="false">K40+K19</f>
        <v>-1570831.68</v>
      </c>
      <c r="M41" s="186" t="n">
        <f aca="false">M40+M19</f>
        <v>3737220.37824068</v>
      </c>
      <c r="N41" s="134" t="n">
        <f aca="false">IFERROR(H41/M41-1,"")</f>
        <v>-0.99438213488232</v>
      </c>
      <c r="O41" s="186" t="n">
        <f aca="false">O40+O19</f>
        <v>-3716225.17824068</v>
      </c>
      <c r="Q41" s="186" t="n">
        <f aca="false">Q40+Q19</f>
        <v>3681445.37966102</v>
      </c>
      <c r="R41" s="134" t="n">
        <f aca="false">IFERROR(G41/Q41-1,"-")</f>
        <v>-0.567608176724716</v>
      </c>
      <c r="S41" s="134" t="n">
        <f aca="false">IFERROR(G41/Q41,"-")</f>
        <v>0.432391823275284</v>
      </c>
      <c r="T41" s="186" t="n">
        <f aca="false">G41-Q41</f>
        <v>-2089618.49966102</v>
      </c>
      <c r="U41" s="174"/>
      <c r="V41" s="186"/>
      <c r="W41" s="175" t="n">
        <f aca="false">H41-V41</f>
        <v>20995.2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0.285243973637999</v>
      </c>
      <c r="G42" s="203" t="n">
        <f aca="false">G40/G41</f>
        <v>0.288283547517429</v>
      </c>
      <c r="H42" s="203" t="n">
        <f aca="false">H40/H41</f>
        <v>0</v>
      </c>
      <c r="I42" s="204" t="n">
        <f aca="false">IFERROR(H42/$H$19,"")</f>
        <v>0</v>
      </c>
      <c r="J42" s="204" t="n">
        <f aca="false">IFERROR(H42/G42-1,"")</f>
        <v>-1</v>
      </c>
      <c r="K42" s="203"/>
      <c r="M42" s="203" t="n">
        <f aca="false">M41-'תקציב  '!N41*1</f>
        <v>0</v>
      </c>
      <c r="N42" s="204"/>
      <c r="O42" s="203"/>
      <c r="Q42" s="189"/>
      <c r="R42" s="189"/>
      <c r="S42" s="189"/>
      <c r="T42" s="189"/>
      <c r="V42" s="205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46" activeCellId="0" sqref="S46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62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182</v>
      </c>
      <c r="D1" s="149" t="s">
        <v>182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11.2024</v>
      </c>
      <c r="G2" s="154" t="n">
        <v>11.2025</v>
      </c>
      <c r="H2" s="154" t="n">
        <v>11.2026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11.2026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183470.34</v>
      </c>
      <c r="G3" s="145" t="n">
        <v>265660.9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-265660.9</v>
      </c>
      <c r="M3" s="145" t="n">
        <f aca="false">VLOOKUP(C3,'תקציב  '!$B:$S,14,0)*1</f>
        <v>235079.365079365</v>
      </c>
      <c r="N3" s="162" t="n">
        <f aca="false">IFERROR(H3/M3-1,"")</f>
        <v>-1</v>
      </c>
      <c r="O3" s="145" t="n">
        <f aca="false">H3-M3</f>
        <v>-235079.365079365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399305.088</v>
      </c>
      <c r="G4" s="145" t="n">
        <v>507426.01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-507426.01</v>
      </c>
      <c r="M4" s="145" t="n">
        <f aca="false">VLOOKUP(C4,'תקציב  '!$B:$S,14,0)*1</f>
        <v>574698.412698413</v>
      </c>
      <c r="N4" s="162" t="n">
        <f aca="false">IFERROR(H4/M4-1,"")</f>
        <v>-1</v>
      </c>
      <c r="O4" s="145" t="n">
        <f aca="false">H4-M4</f>
        <v>-574698.412698413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78931.671</v>
      </c>
      <c r="G5" s="145" t="n">
        <v>85930.39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-85930.39</v>
      </c>
      <c r="M5" s="145" t="n">
        <f aca="false">VLOOKUP(C5,'תקציב  '!$B:$S,14,0)*1</f>
        <v>78571.4285714286</v>
      </c>
      <c r="N5" s="162" t="n">
        <f aca="false">IFERROR(H5/M5-1,"")</f>
        <v>-1</v>
      </c>
      <c r="O5" s="145" t="n">
        <f aca="false">H5-M5</f>
        <v>-78571.4285714286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144720.944</v>
      </c>
      <c r="G6" s="145" t="n">
        <v>167763.05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-167763.05</v>
      </c>
      <c r="M6" s="145" t="n">
        <f aca="false">VLOOKUP(B6,'תקציב  '!$B:$S,14,0)*1</f>
        <v>170873.015873016</v>
      </c>
      <c r="N6" s="162" t="n">
        <f aca="false">IFERROR(H6/M6-1,"")</f>
        <v>-1</v>
      </c>
      <c r="O6" s="145" t="n">
        <f aca="false">H6-M6</f>
        <v>-170873.015873016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319604.5</v>
      </c>
      <c r="G7" s="145" t="n">
        <v>308121.37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-308121.37</v>
      </c>
      <c r="M7" s="145" t="n">
        <f aca="false">VLOOKUP(C7,'תקציב  '!$B:$S,14,0)*1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57000.57</v>
      </c>
      <c r="G8" s="145" t="n">
        <v>68004.57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-68004.57</v>
      </c>
      <c r="M8" s="145" t="n">
        <f aca="false">VLOOKUP(C8,'תקציב  '!$B:$S,14,0)*1</f>
        <v>107301.587301587</v>
      </c>
      <c r="N8" s="162" t="n">
        <f aca="false">IFERROR(H8/M8-1,"")</f>
        <v>-1</v>
      </c>
      <c r="O8" s="145" t="n">
        <f aca="false">H8-M8</f>
        <v>-107301.587301587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62213.38</v>
      </c>
      <c r="G9" s="145" t="n">
        <v>96453.83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-96453.83</v>
      </c>
      <c r="M9" s="145" t="n">
        <f aca="false">VLOOKUP(C9,'תקציב  '!$B:$S,14,0)*1</f>
        <v>177087.301587302</v>
      </c>
      <c r="N9" s="162" t="n">
        <f aca="false">IFERROR(H9/M9-1,"")</f>
        <v>-1</v>
      </c>
      <c r="O9" s="145" t="n">
        <f aca="false">H9-M9</f>
        <v>-177087.301587302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10956.17</v>
      </c>
      <c r="G10" s="145" t="n">
        <v>28016.53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-28016.53</v>
      </c>
      <c r="M10" s="145" t="n">
        <f aca="false">VLOOKUP(C10,'תקציב  '!$B:$S,14,0)*1</f>
        <v>16587.3015873016</v>
      </c>
      <c r="N10" s="162" t="n">
        <f aca="false">IFERROR(H10/M10-1,"")</f>
        <v>-1</v>
      </c>
      <c r="O10" s="145" t="n">
        <f aca="false">H10-M10</f>
        <v>-16587.3015873016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30231.73</v>
      </c>
      <c r="G11" s="145" t="n">
        <v>1902.07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-1902.07</v>
      </c>
      <c r="M11" s="145" t="n">
        <f aca="false">VLOOKUP(C11,'תקציב  '!$B:$S,14,0)*1</f>
        <v>8730.15873015873</v>
      </c>
      <c r="N11" s="162" t="n">
        <f aca="false">IFERROR(H11/M11-1,"")</f>
        <v>-1</v>
      </c>
      <c r="O11" s="145" t="n">
        <f aca="false">H11-M11</f>
        <v>-8730.15873015873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498.8</v>
      </c>
      <c r="H12" s="145"/>
      <c r="I12" s="162" t="str">
        <f aca="false">IFERROR(H12/$H$19,"")</f>
        <v/>
      </c>
      <c r="J12" s="162" t="n">
        <f aca="false">IFERROR(H12/G12-1,"")</f>
        <v>-1</v>
      </c>
      <c r="K12" s="145" t="n">
        <f aca="false">H12-G12</f>
        <v>-498.8</v>
      </c>
      <c r="M12" s="145" t="n">
        <f aca="false">VLOOKUP(C12,'תקציב  '!$B:$S,14,0)*1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'!$B:$S,14,0)*1</f>
        <v>12500</v>
      </c>
      <c r="N13" s="162" t="n">
        <f aca="false">IFERROR(H13/M13-1,"")</f>
        <v>-1</v>
      </c>
      <c r="O13" s="145" t="n">
        <f aca="false">H13-M13</f>
        <v>-12500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695.57</v>
      </c>
      <c r="G14" s="145" t="n">
        <v>0</v>
      </c>
      <c r="H14" s="145"/>
      <c r="I14" s="162" t="str">
        <f aca="false">IFERROR(H14/$H$19,"")</f>
        <v/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'!$B:$S,14,0)*1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5017.43</v>
      </c>
      <c r="G15" s="145" t="n">
        <v>12930.62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-12930.62</v>
      </c>
      <c r="M15" s="145" t="n">
        <f aca="false">VLOOKUP(C15,'תקציב  '!$B:$S,14,0)*1</f>
        <v>17460.3174603175</v>
      </c>
      <c r="N15" s="162" t="n">
        <f aca="false">IFERROR(H15/M15-1,"")</f>
        <v>-1</v>
      </c>
      <c r="O15" s="145" t="n">
        <f aca="false">H15-M15</f>
        <v>-17460.3174603175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1292147.393</v>
      </c>
      <c r="G16" s="172" t="n">
        <f aca="false">SUM(G3:G15)+G50</f>
        <v>1542708.14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-1542708.14</v>
      </c>
      <c r="M16" s="172" t="n">
        <f aca="false">SUM(M3:M15)+M50</f>
        <v>1813888.88888889</v>
      </c>
      <c r="N16" s="173" t="n">
        <f aca="false">IFERROR(H16/M16-1,"")</f>
        <v>-1</v>
      </c>
      <c r="O16" s="172" t="n">
        <f aca="false">SUM(O3:O15)+O50</f>
        <v>-1813888.88888889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87038.7499999997</v>
      </c>
      <c r="G17" s="145" t="n">
        <v>249690.080000002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-249690.080000002</v>
      </c>
      <c r="M17" s="145" t="n">
        <f aca="false">VLOOKUP(C17,'תקציב  '!$B:$S,14,0)*1</f>
        <v>1684810.16949153</v>
      </c>
      <c r="N17" s="162" t="n">
        <f aca="false">IFERROR(H17/M17-1,"")</f>
        <v>-1</v>
      </c>
      <c r="O17" s="145" t="n">
        <f aca="false">H17-M17</f>
        <v>-1684810.16949153</v>
      </c>
      <c r="Q17" s="147" t="n">
        <v>1012800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-1012800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3533.44</v>
      </c>
      <c r="G18" s="145" t="n">
        <v>1058.88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-1058.88</v>
      </c>
      <c r="M18" s="145" t="n">
        <f aca="false">VLOOKUP(C18,'תקציב  '!$B:$S,14,0)*1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1382719.583</v>
      </c>
      <c r="G19" s="172" t="n">
        <f aca="false">G16+G17+G18</f>
        <v>1793457.1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-1793457.1</v>
      </c>
      <c r="M19" s="172" t="n">
        <f aca="false">M16+M17+M18</f>
        <v>3501235.98671375</v>
      </c>
      <c r="N19" s="173" t="n">
        <f aca="false">IFERROR(H19/M19-1,"")</f>
        <v>-1</v>
      </c>
      <c r="O19" s="172" t="n">
        <f aca="false">O16+O17+O18</f>
        <v>-3501235.98671375</v>
      </c>
      <c r="Q19" s="172" t="n">
        <f aca="false">Q16+Q17+Q18</f>
        <v>2662800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-2662800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169336.07</v>
      </c>
      <c r="G20" s="145" t="n">
        <v>271266.06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-271266.06</v>
      </c>
      <c r="M20" s="145" t="n">
        <f aca="false">VLOOKUP(C20,'תקציב  '!$B:$S,14,0)*1</f>
        <v>398561.0817375</v>
      </c>
      <c r="N20" s="162" t="n">
        <f aca="false">IFERROR(H20/M20-1,"")</f>
        <v>-1</v>
      </c>
      <c r="O20" s="145" t="n">
        <f aca="false">H20-M20</f>
        <v>-398561.0817375</v>
      </c>
      <c r="Q20" s="147" t="n">
        <v>326122.5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-326122.5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0</v>
      </c>
      <c r="H21" s="145"/>
      <c r="I21" s="162" t="str">
        <f aca="false">IFERROR(H21/$H$19,"")</f>
        <v/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'!$B:$S,14,0)*1</f>
        <v>0</v>
      </c>
      <c r="N21" s="162" t="str">
        <f aca="false">IFERROR(H21/M21-1,"")</f>
        <v/>
      </c>
      <c r="O21" s="145" t="n">
        <f aca="false">H21-M21</f>
        <v>0</v>
      </c>
      <c r="Q21" s="147" t="n">
        <v>0</v>
      </c>
      <c r="R21" s="162" t="str">
        <f aca="false">IFERROR(H21/Q21-1,"-")</f>
        <v>-</v>
      </c>
      <c r="S21" s="162" t="str">
        <f aca="false">IFERROR(H21/Q21,"-")</f>
        <v>-</v>
      </c>
      <c r="T21" s="145" t="n">
        <f aca="false">H21-Q21</f>
        <v>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127411.06</v>
      </c>
      <c r="G22" s="145" t="n">
        <v>53932.22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-53932.22</v>
      </c>
      <c r="M22" s="145" t="n">
        <f aca="false">VLOOKUP(C22,'תקציב  '!$B:$S,14,0)*1</f>
        <v>200000</v>
      </c>
      <c r="N22" s="162" t="n">
        <f aca="false">IFERROR(H22/M22-1,"")</f>
        <v>-1</v>
      </c>
      <c r="O22" s="145" t="n">
        <f aca="false">H22-M22</f>
        <v>-200000</v>
      </c>
      <c r="Q22" s="147" t="n">
        <v>220000</v>
      </c>
      <c r="R22" s="162" t="n">
        <f aca="false">IFERROR(H22/Q22-1,"-")</f>
        <v>-1</v>
      </c>
      <c r="S22" s="162" t="n">
        <f aca="false">IFERROR(H22/Q22,"-")</f>
        <v>0</v>
      </c>
      <c r="T22" s="145" t="n">
        <f aca="false">H22-Q22</f>
        <v>-220000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0</v>
      </c>
      <c r="G23" s="145" t="n">
        <v>83397.79</v>
      </c>
      <c r="H23" s="145"/>
      <c r="I23" s="162" t="str">
        <f aca="false">IFERROR(H23/$H$19,"")</f>
        <v/>
      </c>
      <c r="J23" s="162" t="n">
        <f aca="false">IFERROR(H23/G23-1,"")</f>
        <v>-1</v>
      </c>
      <c r="K23" s="145" t="n">
        <f aca="false">H23-G23</f>
        <v>-83397.79</v>
      </c>
      <c r="M23" s="145" t="n">
        <f aca="false">VLOOKUP(C23,'תקציב  '!$B:$S,14,0)*1</f>
        <v>82841</v>
      </c>
      <c r="N23" s="162" t="n">
        <f aca="false">IFERROR(H23/M23-1,"")</f>
        <v>-1</v>
      </c>
      <c r="O23" s="145" t="n">
        <f aca="false">H23-M23</f>
        <v>-82841</v>
      </c>
      <c r="Q23" s="147" t="n">
        <v>75000</v>
      </c>
      <c r="R23" s="162" t="n">
        <f aca="false">IFERROR(H23/Q23-1,"-")</f>
        <v>-1</v>
      </c>
      <c r="S23" s="162" t="n">
        <f aca="false">IFERROR(H23/Q23,"-")</f>
        <v>0</v>
      </c>
      <c r="T23" s="145" t="n">
        <f aca="false">H23-Q23</f>
        <v>-75000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17813.97</v>
      </c>
      <c r="G24" s="145" t="n">
        <v>15684.33</v>
      </c>
      <c r="H24" s="145"/>
      <c r="I24" s="162" t="str">
        <f aca="false">IFERROR(H24/$H$19,"")</f>
        <v/>
      </c>
      <c r="J24" s="162" t="n">
        <f aca="false">IFERROR(H24/G24-1,"")</f>
        <v>-1</v>
      </c>
      <c r="K24" s="145" t="n">
        <f aca="false">H24-G24</f>
        <v>-15684.33</v>
      </c>
      <c r="M24" s="145" t="n">
        <f aca="false">VLOOKUP(C24,'תקציב  '!$B:$S,14,0)*1</f>
        <v>17000</v>
      </c>
      <c r="N24" s="162" t="n">
        <f aca="false">IFERROR(H24/M24-1,"")</f>
        <v>-1</v>
      </c>
      <c r="O24" s="145" t="n">
        <f aca="false">H24-M24</f>
        <v>-17000</v>
      </c>
      <c r="Q24" s="147" t="n">
        <v>20000</v>
      </c>
      <c r="R24" s="162" t="n">
        <f aca="false">IFERROR(H24/Q24-1,"-")</f>
        <v>-1</v>
      </c>
      <c r="S24" s="162" t="n">
        <f aca="false">IFERROR(H24/Q24,"-")</f>
        <v>0</v>
      </c>
      <c r="T24" s="145" t="n">
        <f aca="false">H24-Q24</f>
        <v>-20000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44572.45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'!$B:$S,14,0)*1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str">
        <f aca="false">IFERROR(H26/$H$19,"")</f>
        <v/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'!$B:$S,14,0)*1</f>
        <v>150000</v>
      </c>
      <c r="N26" s="162" t="n">
        <f aca="false">IFERROR(H26/M26-1,"")</f>
        <v>-1</v>
      </c>
      <c r="O26" s="145" t="n">
        <f aca="false">H26-M26</f>
        <v>-150000</v>
      </c>
      <c r="Q26" s="147" t="n">
        <v>70000</v>
      </c>
      <c r="R26" s="162" t="n">
        <f aca="false">IFERROR(H26/Q26-1,"-")</f>
        <v>-1</v>
      </c>
      <c r="S26" s="162" t="n">
        <f aca="false">IFERROR(H26/Q26,"-")</f>
        <v>0</v>
      </c>
      <c r="T26" s="145" t="n">
        <f aca="false">H26-Q26</f>
        <v>-70000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'!$B:$S,14,0)*1</f>
        <v>40000</v>
      </c>
      <c r="N27" s="162" t="n">
        <f aca="false">IFERROR(H27/M27-1,"")</f>
        <v>-1</v>
      </c>
      <c r="O27" s="145" t="n">
        <f aca="false">H27-M27</f>
        <v>-40000</v>
      </c>
      <c r="Q27" s="147" t="n">
        <v>20000</v>
      </c>
      <c r="R27" s="162" t="n">
        <f aca="false">IFERROR(H27/Q27-1,"-")</f>
        <v>-1</v>
      </c>
      <c r="S27" s="162" t="n">
        <f aca="false">IFERROR(H27/Q27,"-")</f>
        <v>0</v>
      </c>
      <c r="T27" s="145" t="n">
        <f aca="false">H27-Q27</f>
        <v>-20000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115405.87</v>
      </c>
      <c r="G28" s="145" t="n">
        <v>256771.88</v>
      </c>
      <c r="H28" s="145"/>
      <c r="I28" s="162" t="str">
        <f aca="false">IFERROR(H28/$H$19,"")</f>
        <v/>
      </c>
      <c r="J28" s="162" t="n">
        <f aca="false">IFERROR(H28/G28-1,"")</f>
        <v>-1</v>
      </c>
      <c r="K28" s="145" t="n">
        <f aca="false">H28-G28</f>
        <v>-256771.88</v>
      </c>
      <c r="M28" s="145" t="n">
        <f aca="false">VLOOKUP(C28,'תקציב  '!$B:$S,14,0)*1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62633.86</v>
      </c>
      <c r="G29" s="145" t="n">
        <v>29107.59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-29107.59</v>
      </c>
      <c r="M29" s="145" t="n">
        <f aca="false">VLOOKUP(C29,'תקציב  '!$B:$S,14,0)*1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40000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-40000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32544.41</v>
      </c>
      <c r="H30" s="145"/>
      <c r="I30" s="162" t="str">
        <f aca="false">IFERROR(H30/$H$19,"")</f>
        <v/>
      </c>
      <c r="J30" s="162" t="n">
        <f aca="false">IFERROR(H30/G30-1,"")</f>
        <v>-1</v>
      </c>
      <c r="K30" s="145" t="n">
        <f aca="false">H30-G30</f>
        <v>-32544.41</v>
      </c>
      <c r="M30" s="145" t="n">
        <f aca="false">VLOOKUP(C30,'תקציב  '!$B:$S,14,0)*1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0.08</v>
      </c>
      <c r="H31" s="145"/>
      <c r="I31" s="162" t="str">
        <f aca="false">IFERROR(H31/$H$19,"")</f>
        <v/>
      </c>
      <c r="J31" s="162" t="n">
        <f aca="false">IFERROR(H31/G31-1,"")</f>
        <v>-1</v>
      </c>
      <c r="K31" s="145" t="n">
        <f aca="false">H31-G31</f>
        <v>-0.08</v>
      </c>
      <c r="M31" s="145" t="n">
        <f aca="false">VLOOKUP(C31,'תקציב  '!$B:$S,14,0)*1</f>
        <v>19793</v>
      </c>
      <c r="N31" s="162" t="n">
        <f aca="false">IFERROR(H31/M31-1,"")</f>
        <v>-1</v>
      </c>
      <c r="O31" s="145" t="n">
        <f aca="false">H31-M31</f>
        <v>-19793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'!$B:$S,14,0)*1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'!$B:$S,14,0)*1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23331.65</v>
      </c>
      <c r="H35" s="145"/>
      <c r="I35" s="162" t="str">
        <f aca="false">IFERROR(H35/$H$19,"")</f>
        <v/>
      </c>
      <c r="J35" s="162" t="n">
        <f aca="false">IFERROR(H35/G35-1,"")</f>
        <v>-1</v>
      </c>
      <c r="K35" s="145" t="n">
        <f aca="false">H35-G35</f>
        <v>-23331.65</v>
      </c>
      <c r="M35" s="145" t="n">
        <f aca="false">VLOOKUP(C35,'תקציב  '!$B:$S,14,0)*1</f>
        <v>40000</v>
      </c>
      <c r="N35" s="162" t="n">
        <f aca="false">IFERROR(H35/M35-1,"")</f>
        <v>-1</v>
      </c>
      <c r="O35" s="145" t="n">
        <f aca="false">H35-M35</f>
        <v>-40000</v>
      </c>
      <c r="Q35" s="147" t="n">
        <v>0</v>
      </c>
      <c r="R35" s="162" t="str">
        <f aca="false">IFERROR(H35/Q35-1,"-")</f>
        <v>-</v>
      </c>
      <c r="S35" s="162" t="str">
        <f aca="false">IFERROR(H35/Q35,"-")</f>
        <v>-</v>
      </c>
      <c r="T35" s="145" t="n">
        <f aca="false">H35-Q35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'!$B:$S,14,0)*1</f>
        <v>200000</v>
      </c>
      <c r="N38" s="162" t="n">
        <f aca="false">IFERROR(H38/M38-1,"")</f>
        <v>-1</v>
      </c>
      <c r="O38" s="145" t="n">
        <f aca="false">H38-M38</f>
        <v>-200000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'!$B:$S,14,0)*1</f>
        <v>200000</v>
      </c>
      <c r="N39" s="199" t="n">
        <f aca="false">IFERROR(H39/M39-1,"")</f>
        <v>-1</v>
      </c>
      <c r="O39" s="145" t="n">
        <f aca="false">H39-M39</f>
        <v>-200000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537173.28</v>
      </c>
      <c r="G40" s="183" t="n">
        <f aca="false">SUM(G20:G39)+G51+G52</f>
        <v>766036.01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-766036.01</v>
      </c>
      <c r="M40" s="183" t="n">
        <f aca="false">SUM(M20:M39)+M51+M52</f>
        <v>1392960.1577375</v>
      </c>
      <c r="N40" s="184" t="n">
        <f aca="false">IFERROR(H40/M40-1,"")</f>
        <v>-1</v>
      </c>
      <c r="O40" s="183" t="n">
        <f aca="false">SUM(O20:O39)+O51+O52</f>
        <v>-1392960.1577375</v>
      </c>
      <c r="Q40" s="183" t="n">
        <f aca="false">SUM(Q20:Q39)+Q51+Q52</f>
        <v>771122.5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-771122.5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1919892.863</v>
      </c>
      <c r="G41" s="186" t="n">
        <f aca="false">G40+G19</f>
        <v>2559493.11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-2559493.11</v>
      </c>
      <c r="M41" s="186" t="n">
        <f aca="false">M40+M19</f>
        <v>4894196.14445125</v>
      </c>
      <c r="N41" s="134" t="n">
        <f aca="false">IFERROR(H41/M41-1,"")</f>
        <v>-1</v>
      </c>
      <c r="O41" s="186" t="n">
        <f aca="false">O40+O19</f>
        <v>-4894196.14445125</v>
      </c>
      <c r="Q41" s="186" t="n">
        <f aca="false">Q40+Q19</f>
        <v>3433922.5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-3433922.5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0.27979336261536</v>
      </c>
      <c r="G42" s="203" t="n">
        <f aca="false">G40/G41</f>
        <v>0.299292077406686</v>
      </c>
      <c r="H42" s="203" t="str">
        <f aca="false">IFERROR(H40/H41,"")</f>
        <v/>
      </c>
      <c r="I42" s="204" t="str">
        <f aca="false">IFERROR(H42/$H$19,"")</f>
        <v/>
      </c>
      <c r="J42" s="204" t="str">
        <f aca="false">IFERROR(H42/G42-1,"")</f>
        <v/>
      </c>
      <c r="K42" s="203"/>
      <c r="M42" s="206" t="n">
        <f aca="false">M41-'תקציב  '!O41*1</f>
        <v>-20000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X55" activeCellId="0" sqref="X55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88"/>
    <col collapsed="false" customWidth="true" hidden="false" outlineLevel="0" max="14" min="14" style="1" width="11.88"/>
    <col collapsed="false" customWidth="true" hidden="false" outlineLevel="0" max="15" min="15" style="1" width="11.38"/>
    <col collapsed="false" customWidth="true" hidden="false" outlineLevel="0" max="17" min="17" style="1" width="10.88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183</v>
      </c>
      <c r="D1" s="149" t="s">
        <v>183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38" t="s">
        <v>3</v>
      </c>
      <c r="F2" s="154" t="n">
        <v>12.2024</v>
      </c>
      <c r="G2" s="154" t="n">
        <v>12.2025</v>
      </c>
      <c r="H2" s="154" t="n">
        <v>12.2026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12.2026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318421.6</v>
      </c>
      <c r="G3" s="145" t="n">
        <v>97619.06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-97619.06</v>
      </c>
      <c r="M3" s="145" t="n">
        <f aca="false">VLOOKUP(C3,'תקציב  '!$B:$S,15,0)*1</f>
        <v>243492.063492064</v>
      </c>
      <c r="N3" s="162" t="n">
        <f aca="false">IFERROR(H3/M3-1,"")</f>
        <v>-1</v>
      </c>
      <c r="O3" s="145" t="n">
        <f aca="false">H3-M3</f>
        <v>-243492.063492064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453775.686</v>
      </c>
      <c r="G4" s="145" t="n">
        <v>453051.69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-453051.69</v>
      </c>
      <c r="M4" s="145" t="n">
        <f aca="false">VLOOKUP(C4,'תקציב  '!$B:$S,15,0)*1</f>
        <v>598730.158730159</v>
      </c>
      <c r="N4" s="162" t="n">
        <f aca="false">IFERROR(H4/M4-1,"")</f>
        <v>-1</v>
      </c>
      <c r="O4" s="145" t="n">
        <f aca="false">H4-M4</f>
        <v>-598730.158730159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89875.877</v>
      </c>
      <c r="G5" s="145" t="n">
        <v>61250.28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-61250.28</v>
      </c>
      <c r="M5" s="145" t="n">
        <f aca="false">VLOOKUP(C5,'תקציב  '!$B:$S,15,0)*1</f>
        <v>82142.8571428571</v>
      </c>
      <c r="N5" s="162" t="n">
        <f aca="false">IFERROR(H5/M5-1,"")</f>
        <v>-1</v>
      </c>
      <c r="O5" s="145" t="n">
        <f aca="false">H5-M5</f>
        <v>-82142.8571428571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149421.213</v>
      </c>
      <c r="G6" s="145" t="n">
        <v>144058.52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-144058.52</v>
      </c>
      <c r="M6" s="145" t="n">
        <f aca="false">VLOOKUP(B6,'תקציב  '!$B:$S,15,0)*1</f>
        <v>173412.698412698</v>
      </c>
      <c r="N6" s="162" t="n">
        <f aca="false">IFERROR(H6/M6-1,"")</f>
        <v>-1</v>
      </c>
      <c r="O6" s="145" t="n">
        <f aca="false">H6-M6</f>
        <v>-173412.698412698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378149.8</v>
      </c>
      <c r="G7" s="145" t="n">
        <v>367699.5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-367699.5</v>
      </c>
      <c r="M7" s="145" t="n">
        <f aca="false">VLOOKUP(C7,'תקציב  '!$B:$S,15,0)*1</f>
        <v>366000</v>
      </c>
      <c r="N7" s="162" t="n">
        <f aca="false">IFERROR(H7/M7-1,"")</f>
        <v>-1</v>
      </c>
      <c r="O7" s="145" t="n">
        <f aca="false">H7-M7</f>
        <v>-366000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68517.25</v>
      </c>
      <c r="G8" s="145" t="n">
        <v>60034.25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-60034.25</v>
      </c>
      <c r="M8" s="145" t="n">
        <f aca="false">VLOOKUP(C8,'תקציב  '!$B:$S,15,0)*1</f>
        <v>91269.8412698413</v>
      </c>
      <c r="N8" s="162" t="n">
        <f aca="false">IFERROR(H8/M8-1,"")</f>
        <v>-1</v>
      </c>
      <c r="O8" s="145" t="n">
        <f aca="false">H8-M8</f>
        <v>-91269.8412698413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65670.46</v>
      </c>
      <c r="G9" s="145" t="n">
        <v>69362.57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-69362.57</v>
      </c>
      <c r="M9" s="145" t="n">
        <f aca="false">VLOOKUP(C9,'תקציב  '!$B:$S,15,0)*1</f>
        <v>177591.26984127</v>
      </c>
      <c r="N9" s="162" t="n">
        <f aca="false">IFERROR(H9/M9-1,"")</f>
        <v>-1</v>
      </c>
      <c r="O9" s="145" t="n">
        <f aca="false">H9-M9</f>
        <v>-177591.26984127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16400.06</v>
      </c>
      <c r="G10" s="145" t="n">
        <v>11214.5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-11214.5</v>
      </c>
      <c r="M10" s="145" t="n">
        <f aca="false">VLOOKUP(C10,'תקציב  '!$B:$S,15,0)*1</f>
        <v>17341.2698412698</v>
      </c>
      <c r="N10" s="162" t="n">
        <f aca="false">IFERROR(H10/M10-1,"")</f>
        <v>-1</v>
      </c>
      <c r="O10" s="145" t="n">
        <f aca="false">H10-M10</f>
        <v>-17341.2698412698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10713.92</v>
      </c>
      <c r="G11" s="145" t="n">
        <v>5866.58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-5866.58</v>
      </c>
      <c r="M11" s="145" t="n">
        <f aca="false">VLOOKUP(C11,'תקציב  '!$B:$S,15,0)*1</f>
        <v>9126.98412698413</v>
      </c>
      <c r="N11" s="162" t="n">
        <f aca="false">IFERROR(H11/M11-1,"")</f>
        <v>-1</v>
      </c>
      <c r="O11" s="145" t="n">
        <f aca="false">H11-M11</f>
        <v>-9126.98412698413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850.4</v>
      </c>
      <c r="G12" s="145" t="n">
        <v>0</v>
      </c>
      <c r="H12" s="145"/>
      <c r="I12" s="162" t="str">
        <f aca="false">IFERROR(H12/$H$19,"")</f>
        <v/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'!$B:$S,15,0)*1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-14.28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'!$B:$S,15,0)*1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2520</v>
      </c>
      <c r="G14" s="145" t="n">
        <v>1813.57</v>
      </c>
      <c r="H14" s="145"/>
      <c r="I14" s="162" t="str">
        <f aca="false">IFERROR(H14/$H$19,"")</f>
        <v/>
      </c>
      <c r="J14" s="162" t="n">
        <f aca="false">IFERROR(H14/G14-1,"")</f>
        <v>-1</v>
      </c>
      <c r="K14" s="145" t="n">
        <f aca="false">H14-G14</f>
        <v>-1813.57</v>
      </c>
      <c r="M14" s="145" t="n">
        <f aca="false">VLOOKUP(C14,'תקציב  '!$B:$S,15,0)*1</f>
        <v>0</v>
      </c>
      <c r="N14" s="162" t="str">
        <f aca="false">IFERROR(H14/M14-1,"")</f>
        <v/>
      </c>
      <c r="O14" s="145" t="n">
        <f aca="false">H14-M14</f>
        <v>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4549.9</v>
      </c>
      <c r="G15" s="145" t="n">
        <v>361.5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-361.5</v>
      </c>
      <c r="M15" s="145" t="n">
        <f aca="false">VLOOKUP(C15,'תקציב  '!$B:$S,15,0)*1</f>
        <v>18253.9682539683</v>
      </c>
      <c r="N15" s="162" t="n">
        <f aca="false">IFERROR(H15/M15-1,"")</f>
        <v>-1</v>
      </c>
      <c r="O15" s="145" t="n">
        <f aca="false">H15-M15</f>
        <v>-18253.9682539683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1558851.886</v>
      </c>
      <c r="G16" s="172" t="n">
        <f aca="false">SUM(G3:G15)+G50</f>
        <v>1272332.02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-1272332.02</v>
      </c>
      <c r="M16" s="172" t="n">
        <f aca="false">SUM(M3:M15)+M50</f>
        <v>1777361.11111111</v>
      </c>
      <c r="N16" s="173" t="n">
        <f aca="false">IFERROR(H16/M16-1,"")</f>
        <v>-1</v>
      </c>
      <c r="O16" s="172" t="n">
        <f aca="false">SUM(O3:O15)+O50</f>
        <v>-1777361.11111111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95223.2699999995</v>
      </c>
      <c r="G17" s="145" t="n">
        <v>213224.459999998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-213224.459999998</v>
      </c>
      <c r="M17" s="145" t="n">
        <f aca="false">VLOOKUP(C17,'תקציב  '!$B:$S,15,0)*1</f>
        <v>1488884.74576271</v>
      </c>
      <c r="N17" s="162" t="n">
        <f aca="false">IFERROR(H17/M17-1,"")</f>
        <v>-1</v>
      </c>
      <c r="O17" s="145" t="n">
        <f aca="false">H17-M17</f>
        <v>-1488884.74576271</v>
      </c>
      <c r="Q17" s="147" t="n">
        <v>1300521.18644068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-1300521.18644068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3126.19</v>
      </c>
      <c r="G18" s="145" t="n">
        <v>1561.46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-1561.46</v>
      </c>
      <c r="M18" s="145" t="n">
        <f aca="false">VLOOKUP(C18,'תקציב  '!$B:$S,15,0)*1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1657201.346</v>
      </c>
      <c r="G19" s="172" t="n">
        <f aca="false">G16+G17+G18</f>
        <v>1487117.94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-1487117.94</v>
      </c>
      <c r="M19" s="172" t="n">
        <f aca="false">M16+M17+M18</f>
        <v>3268782.78520715</v>
      </c>
      <c r="N19" s="173" t="n">
        <f aca="false">IFERROR(H19/M19-1,"")</f>
        <v>-1</v>
      </c>
      <c r="O19" s="172" t="n">
        <f aca="false">O16+O17+O18</f>
        <v>-3268782.78520715</v>
      </c>
      <c r="Q19" s="172" t="n">
        <f aca="false">Q16+Q17+Q18</f>
        <v>2950521.18644068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-2950521.18644068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190607.48</v>
      </c>
      <c r="G20" s="145" t="n">
        <v>182118.44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-182118.44</v>
      </c>
      <c r="M20" s="145" t="n">
        <f aca="false">VLOOKUP(C20,'תקציב  '!$B:$S,15,0)*1</f>
        <v>402156.5266125</v>
      </c>
      <c r="N20" s="162" t="n">
        <f aca="false">IFERROR(H20/M20-1,"")</f>
        <v>-1</v>
      </c>
      <c r="O20" s="145" t="n">
        <f aca="false">H20-M20</f>
        <v>-402156.5266125</v>
      </c>
      <c r="Q20" s="147" t="n">
        <v>297561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-297561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137974.18</v>
      </c>
      <c r="G21" s="145" t="n">
        <v>144741.73</v>
      </c>
      <c r="H21" s="145"/>
      <c r="I21" s="162" t="str">
        <f aca="false">IFERROR(H21/$H$19,"")</f>
        <v/>
      </c>
      <c r="J21" s="162" t="n">
        <f aca="false">IFERROR(H21/G21-1,"")</f>
        <v>-1</v>
      </c>
      <c r="K21" s="145" t="n">
        <f aca="false">H21-G21</f>
        <v>-144741.73</v>
      </c>
      <c r="M21" s="145" t="n">
        <f aca="false">VLOOKUP(C21,'תקציב  '!$B:$S,15,0)*1</f>
        <v>147000</v>
      </c>
      <c r="N21" s="162" t="n">
        <f aca="false">IFERROR(H21/M21-1,"")</f>
        <v>-1</v>
      </c>
      <c r="O21" s="145" t="n">
        <f aca="false">H21-M21</f>
        <v>-147000</v>
      </c>
      <c r="Q21" s="147" t="n">
        <v>150000</v>
      </c>
      <c r="R21" s="162" t="n">
        <f aca="false">IFERROR(H21/Q21-1,"-")</f>
        <v>-1</v>
      </c>
      <c r="S21" s="162" t="n">
        <f aca="false">IFERROR(H21/Q21,"-")</f>
        <v>0</v>
      </c>
      <c r="T21" s="145" t="n">
        <f aca="false">H21-Q21</f>
        <v>-150000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1400.99</v>
      </c>
      <c r="G22" s="145" t="n">
        <v>121.12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-121.12</v>
      </c>
      <c r="M22" s="145" t="n">
        <f aca="false">VLOOKUP(C22,'תקציב  '!$B:$S,15,0)*1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IFERROR(H22/Q22-1,"-")</f>
        <v>-</v>
      </c>
      <c r="S22" s="162" t="str">
        <f aca="false">IFERROR(H22/Q22,"-")</f>
        <v>-</v>
      </c>
      <c r="T22" s="145" t="n">
        <f aca="false">H22-Q22</f>
        <v>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80366.28</v>
      </c>
      <c r="G23" s="145" t="n">
        <v>0</v>
      </c>
      <c r="H23" s="145"/>
      <c r="I23" s="162" t="str">
        <f aca="false">IFERROR(H23/$H$19,"")</f>
        <v/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'!$B:$S,15,0)*1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IFERROR(H23/Q23-1,"-")</f>
        <v>-</v>
      </c>
      <c r="S23" s="162" t="str">
        <f aca="false">IFERROR(H23/Q23,"-")</f>
        <v>-</v>
      </c>
      <c r="T23" s="145" t="n">
        <f aca="false">H23-Q23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0</v>
      </c>
      <c r="H24" s="145"/>
      <c r="I24" s="162" t="str">
        <f aca="false">IFERROR(H24/$H$19,"")</f>
        <v/>
      </c>
      <c r="J24" s="162" t="str">
        <f aca="false">IFERROR(H24/G24-1,"")</f>
        <v/>
      </c>
      <c r="K24" s="145" t="n">
        <f aca="false">H24-G24</f>
        <v>0</v>
      </c>
      <c r="M24" s="145" t="n">
        <f aca="false">VLOOKUP(C24,'תקציב  '!$B:$S,15,0)*1</f>
        <v>0</v>
      </c>
      <c r="N24" s="162" t="str">
        <f aca="false">IFERROR(H24/M24-1,"")</f>
        <v/>
      </c>
      <c r="O24" s="145" t="n">
        <f aca="false">H24-M24</f>
        <v>0</v>
      </c>
      <c r="Q24" s="147" t="n">
        <v>0</v>
      </c>
      <c r="R24" s="162" t="str">
        <f aca="false">IFERROR(H24/Q24-1,"-")</f>
        <v>-</v>
      </c>
      <c r="S24" s="162" t="str">
        <f aca="false">IFERROR(H24/Q24,"-")</f>
        <v>-</v>
      </c>
      <c r="T24" s="145" t="n">
        <f aca="false">H24-Q24</f>
        <v>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'!$B:$S,15,0)*1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222074.04</v>
      </c>
      <c r="G26" s="145" t="n">
        <v>146752.62</v>
      </c>
      <c r="H26" s="145"/>
      <c r="I26" s="162" t="str">
        <f aca="false">IFERROR(H26/$H$19,"")</f>
        <v/>
      </c>
      <c r="J26" s="162" t="n">
        <f aca="false">IFERROR(H26/G26-1,"")</f>
        <v>-1</v>
      </c>
      <c r="K26" s="145" t="n">
        <f aca="false">H26-G26</f>
        <v>-146752.62</v>
      </c>
      <c r="M26" s="145" t="n">
        <f aca="false">VLOOKUP(C26,'תקציב  '!$B:$S,15,0)*1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IFERROR(H26/Q26-1,"-")</f>
        <v>-</v>
      </c>
      <c r="S26" s="162" t="str">
        <f aca="false">IFERROR(H26/Q26,"-")</f>
        <v>-</v>
      </c>
      <c r="T26" s="145" t="n">
        <f aca="false">H26-Q26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'!$B:$S,15,0)*1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IFERROR(H27/Q27-1,"-")</f>
        <v>-</v>
      </c>
      <c r="S27" s="162" t="str">
        <f aca="false">IFERROR(H27/Q27,"-")</f>
        <v>-</v>
      </c>
      <c r="T27" s="145" t="n">
        <f aca="false">H27-Q27</f>
        <v>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83394.96</v>
      </c>
      <c r="G28" s="145" t="n">
        <v>0</v>
      </c>
      <c r="H28" s="145"/>
      <c r="I28" s="162" t="str">
        <f aca="false">IFERROR(H28/$H$19,"")</f>
        <v/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'!$B:$S,15,0)*1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41441.91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-41441.91</v>
      </c>
      <c r="M29" s="145" t="n">
        <f aca="false">VLOOKUP(C29,'תקציב  '!$B:$S,15,0)*1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15000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-15000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0</v>
      </c>
      <c r="H30" s="145"/>
      <c r="I30" s="162" t="str">
        <f aca="false">IFERROR(H30/$H$19,"")</f>
        <v/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'!$B:$S,15,0)*1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</v>
      </c>
      <c r="H31" s="145"/>
      <c r="I31" s="162" t="str">
        <f aca="false">IFERROR(H31/$H$19,"")</f>
        <v/>
      </c>
      <c r="J31" s="162" t="str">
        <f aca="false">IFERROR(H31/G31-1,"")</f>
        <v/>
      </c>
      <c r="K31" s="145" t="n">
        <f aca="false">H31-G31</f>
        <v>0</v>
      </c>
      <c r="M31" s="145" t="n">
        <f aca="false">VLOOKUP(C31,'תקציב  '!$B:$S,15,0)*1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'!$B:$S,15,0)*1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'!$B:$S,15,0)*1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str">
        <f aca="false">IFERROR(H35/$H$19,"")</f>
        <v/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'!$B:$S,15,0)*1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25000</v>
      </c>
      <c r="R35" s="162" t="n">
        <f aca="false">IFERROR(H35/Q35-1,"-")</f>
        <v>-1</v>
      </c>
      <c r="S35" s="162" t="n">
        <f aca="false">IFERROR(H35/Q35,"-")</f>
        <v>0</v>
      </c>
      <c r="T35" s="145" t="n">
        <f aca="false">H35-Q35</f>
        <v>-25000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161576.19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'!$B:$S,15,0)*1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'!$B:$S,15,0)*1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877394.12</v>
      </c>
      <c r="G40" s="183" t="n">
        <f aca="false">SUM(G20:G39)+G51+G52</f>
        <v>515175.82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-515175.82</v>
      </c>
      <c r="M40" s="183" t="n">
        <f aca="false">SUM(M20:M39)+M51+M52</f>
        <v>593921.6026125</v>
      </c>
      <c r="N40" s="184" t="n">
        <f aca="false">IFERROR(H40/M40-1,"")</f>
        <v>-1</v>
      </c>
      <c r="O40" s="183" t="n">
        <f aca="false">SUM(O20:O39)+O51+O52</f>
        <v>-593921.6026125</v>
      </c>
      <c r="Q40" s="183" t="n">
        <f aca="false">SUM(Q20:Q39)+Q51+Q52</f>
        <v>487561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-487561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2534595.466</v>
      </c>
      <c r="G41" s="186" t="n">
        <f aca="false">G40+G19</f>
        <v>2002293.76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-2002293.76</v>
      </c>
      <c r="M41" s="186" t="n">
        <f aca="false">M40+M19</f>
        <v>3862704.38781966</v>
      </c>
      <c r="N41" s="134" t="n">
        <f aca="false">IFERROR(H41/M41-1,"")</f>
        <v>-1</v>
      </c>
      <c r="O41" s="186" t="n">
        <f aca="false">O40+O19</f>
        <v>-3862704.38781966</v>
      </c>
      <c r="Q41" s="186" t="n">
        <f aca="false">Q40+Q19</f>
        <v>3438082.18644068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-3438082.18644068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0.346167320098883</v>
      </c>
      <c r="G42" s="203" t="n">
        <f aca="false">G40/G41</f>
        <v>0.257292826003713</v>
      </c>
      <c r="H42" s="203"/>
      <c r="I42" s="204" t="str">
        <f aca="false">IFERROR(H42/$H$19,"")</f>
        <v/>
      </c>
      <c r="J42" s="204"/>
      <c r="K42" s="203"/>
      <c r="M42" s="203" t="n">
        <f aca="false">M41-'תקציב  '!P41*1</f>
        <v>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6" activeCellId="0" sqref="M16"/>
    </sheetView>
  </sheetViews>
  <sheetFormatPr defaultColWidth="8.625" defaultRowHeight="14.25" zeroHeight="false" outlineLevelRow="0" outlineLevelCol="0"/>
  <sheetData>
    <row r="1" customFormat="false" ht="15" hidden="false" customHeight="true" outlineLevel="0" collapsed="false">
      <c r="A1" s="95" t="s">
        <v>184</v>
      </c>
      <c r="AN1" s="207" t="s">
        <v>185</v>
      </c>
      <c r="AO1" s="207" t="s">
        <v>186</v>
      </c>
      <c r="AP1" s="207" t="s">
        <v>187</v>
      </c>
      <c r="AQ1" s="207" t="s">
        <v>188</v>
      </c>
      <c r="AR1" s="207" t="s">
        <v>189</v>
      </c>
      <c r="AS1" s="207" t="s">
        <v>190</v>
      </c>
    </row>
    <row r="2" customFormat="false" ht="15" hidden="false" customHeight="true" outlineLevel="0" collapsed="false">
      <c r="A2" s="95" t="s">
        <v>106</v>
      </c>
      <c r="B2" s="95" t="s">
        <v>107</v>
      </c>
      <c r="C2" s="207" t="s">
        <v>191</v>
      </c>
      <c r="D2" s="207" t="s">
        <v>192</v>
      </c>
      <c r="E2" s="207" t="s">
        <v>193</v>
      </c>
      <c r="F2" s="207" t="s">
        <v>194</v>
      </c>
      <c r="G2" s="207" t="s">
        <v>195</v>
      </c>
      <c r="H2" s="207" t="s">
        <v>196</v>
      </c>
      <c r="I2" s="207" t="s">
        <v>197</v>
      </c>
      <c r="J2" s="207" t="s">
        <v>198</v>
      </c>
      <c r="K2" s="207" t="s">
        <v>199</v>
      </c>
      <c r="L2" s="207" t="s">
        <v>200</v>
      </c>
      <c r="M2" s="207" t="s">
        <v>201</v>
      </c>
      <c r="N2" s="207" t="s">
        <v>202</v>
      </c>
      <c r="O2" s="207" t="s">
        <v>203</v>
      </c>
      <c r="P2" s="207" t="s">
        <v>204</v>
      </c>
      <c r="Q2" s="207" t="s">
        <v>205</v>
      </c>
      <c r="R2" s="207" t="s">
        <v>206</v>
      </c>
      <c r="S2" s="207" t="s">
        <v>207</v>
      </c>
      <c r="T2" s="207" t="s">
        <v>208</v>
      </c>
      <c r="U2" s="207" t="s">
        <v>209</v>
      </c>
      <c r="V2" s="207" t="s">
        <v>210</v>
      </c>
      <c r="W2" s="207" t="s">
        <v>211</v>
      </c>
      <c r="X2" s="207" t="s">
        <v>212</v>
      </c>
      <c r="Y2" s="207" t="s">
        <v>213</v>
      </c>
      <c r="Z2" s="207" t="s">
        <v>214</v>
      </c>
      <c r="AA2" s="207" t="s">
        <v>215</v>
      </c>
      <c r="AB2" s="207" t="s">
        <v>216</v>
      </c>
      <c r="AC2" s="207" t="s">
        <v>217</v>
      </c>
      <c r="AD2" s="207" t="s">
        <v>218</v>
      </c>
      <c r="AE2" s="207" t="s">
        <v>219</v>
      </c>
      <c r="AF2" s="207" t="s">
        <v>220</v>
      </c>
      <c r="AG2" s="207" t="s">
        <v>221</v>
      </c>
      <c r="AH2" s="207" t="s">
        <v>222</v>
      </c>
      <c r="AI2" s="207" t="s">
        <v>223</v>
      </c>
      <c r="AJ2" s="207" t="s">
        <v>224</v>
      </c>
      <c r="AK2" s="207" t="s">
        <v>225</v>
      </c>
      <c r="AL2" s="207" t="s">
        <v>226</v>
      </c>
      <c r="AN2" s="94" t="n">
        <v>1</v>
      </c>
      <c r="AO2" s="94" t="s">
        <v>4</v>
      </c>
      <c r="AP2" s="94" t="n">
        <v>19</v>
      </c>
      <c r="AQ2" s="94"/>
      <c r="AR2" s="94" t="n">
        <v>5</v>
      </c>
      <c r="AS2" s="94"/>
    </row>
    <row r="3" customFormat="false" ht="15" hidden="false" customHeight="true" outlineLevel="0" collapsed="false">
      <c r="A3" s="94" t="s">
        <v>227</v>
      </c>
      <c r="C3" s="94" t="n">
        <v>1</v>
      </c>
      <c r="D3" s="94" t="n">
        <v>2</v>
      </c>
      <c r="E3" s="94" t="n">
        <v>3</v>
      </c>
      <c r="F3" s="94" t="n">
        <v>4</v>
      </c>
      <c r="G3" s="94" t="n">
        <v>5</v>
      </c>
      <c r="H3" s="94" t="n">
        <v>6</v>
      </c>
      <c r="I3" s="94" t="n">
        <v>7</v>
      </c>
      <c r="J3" s="94" t="n">
        <v>8</v>
      </c>
      <c r="K3" s="94" t="n">
        <v>9</v>
      </c>
      <c r="L3" s="94" t="n">
        <v>10</v>
      </c>
      <c r="M3" s="94" t="n">
        <v>11</v>
      </c>
      <c r="N3" s="94" t="n">
        <v>12</v>
      </c>
      <c r="O3" s="94" t="n">
        <v>1</v>
      </c>
      <c r="P3" s="94" t="n">
        <v>2</v>
      </c>
      <c r="Q3" s="94" t="n">
        <v>3</v>
      </c>
      <c r="R3" s="94" t="n">
        <v>4</v>
      </c>
      <c r="S3" s="94" t="n">
        <v>5</v>
      </c>
      <c r="T3" s="94" t="n">
        <v>6</v>
      </c>
      <c r="U3" s="94" t="n">
        <v>7</v>
      </c>
      <c r="V3" s="94" t="n">
        <v>8</v>
      </c>
      <c r="W3" s="94" t="n">
        <v>9</v>
      </c>
      <c r="X3" s="94" t="n">
        <v>10</v>
      </c>
      <c r="Y3" s="94" t="n">
        <v>11</v>
      </c>
      <c r="Z3" s="94" t="n">
        <v>12</v>
      </c>
      <c r="AA3" s="94" t="n">
        <v>1</v>
      </c>
      <c r="AB3" s="94" t="n">
        <v>2</v>
      </c>
      <c r="AC3" s="94" t="n">
        <v>3</v>
      </c>
      <c r="AD3" s="94" t="n">
        <v>4</v>
      </c>
      <c r="AE3" s="94" t="n">
        <v>5</v>
      </c>
      <c r="AF3" s="94" t="n">
        <v>6</v>
      </c>
      <c r="AG3" s="94" t="n">
        <v>7</v>
      </c>
      <c r="AH3" s="94" t="n">
        <v>8</v>
      </c>
      <c r="AI3" s="94" t="n">
        <v>9</v>
      </c>
      <c r="AJ3" s="94" t="n">
        <v>10</v>
      </c>
      <c r="AK3" s="94" t="n">
        <v>11</v>
      </c>
      <c r="AL3" s="94" t="n">
        <v>12</v>
      </c>
      <c r="AN3" s="94" t="n">
        <v>2</v>
      </c>
      <c r="AO3" s="94" t="s">
        <v>5</v>
      </c>
      <c r="AP3" s="94" t="n">
        <v>21</v>
      </c>
      <c r="AQ3" s="94"/>
      <c r="AR3" s="94" t="n">
        <v>6</v>
      </c>
      <c r="AS3" s="94"/>
    </row>
    <row r="4" customFormat="false" ht="15" hidden="false" customHeight="true" outlineLevel="0" collapsed="false">
      <c r="A4" s="94" t="s">
        <v>228</v>
      </c>
      <c r="C4" s="94" t="n">
        <v>1</v>
      </c>
      <c r="D4" s="94" t="n">
        <v>1</v>
      </c>
      <c r="E4" s="94" t="n">
        <v>1</v>
      </c>
      <c r="F4" s="94" t="n">
        <v>2</v>
      </c>
      <c r="G4" s="94" t="n">
        <v>2</v>
      </c>
      <c r="H4" s="94" t="n">
        <v>2</v>
      </c>
      <c r="I4" s="94" t="n">
        <v>3</v>
      </c>
      <c r="J4" s="94" t="n">
        <v>3</v>
      </c>
      <c r="K4" s="94" t="n">
        <v>3</v>
      </c>
      <c r="L4" s="94" t="n">
        <v>4</v>
      </c>
      <c r="M4" s="94" t="n">
        <v>4</v>
      </c>
      <c r="N4" s="94" t="n">
        <v>4</v>
      </c>
      <c r="O4" s="94" t="n">
        <v>1</v>
      </c>
      <c r="P4" s="94" t="n">
        <v>1</v>
      </c>
      <c r="Q4" s="94" t="n">
        <v>1</v>
      </c>
      <c r="R4" s="94" t="n">
        <v>2</v>
      </c>
      <c r="S4" s="94" t="n">
        <v>2</v>
      </c>
      <c r="T4" s="94" t="n">
        <v>2</v>
      </c>
      <c r="U4" s="94" t="n">
        <v>3</v>
      </c>
      <c r="V4" s="94" t="n">
        <v>3</v>
      </c>
      <c r="W4" s="94" t="n">
        <v>3</v>
      </c>
      <c r="X4" s="94" t="n">
        <v>4</v>
      </c>
      <c r="Y4" s="94" t="n">
        <v>4</v>
      </c>
      <c r="Z4" s="94" t="n">
        <v>4</v>
      </c>
      <c r="AA4" s="94" t="n">
        <v>1</v>
      </c>
      <c r="AB4" s="94" t="n">
        <v>1</v>
      </c>
      <c r="AC4" s="94" t="n">
        <v>1</v>
      </c>
      <c r="AD4" s="94" t="n">
        <v>2</v>
      </c>
      <c r="AE4" s="94" t="n">
        <v>2</v>
      </c>
      <c r="AF4" s="94" t="n">
        <v>2</v>
      </c>
      <c r="AG4" s="94" t="n">
        <v>3</v>
      </c>
      <c r="AH4" s="94" t="n">
        <v>3</v>
      </c>
      <c r="AI4" s="94" t="n">
        <v>3</v>
      </c>
      <c r="AJ4" s="94" t="n">
        <v>4</v>
      </c>
      <c r="AK4" s="94" t="n">
        <v>4</v>
      </c>
      <c r="AL4" s="94" t="n">
        <v>4</v>
      </c>
      <c r="AN4" s="94" t="n">
        <v>3</v>
      </c>
      <c r="AO4" s="94" t="s">
        <v>6</v>
      </c>
      <c r="AP4" s="94" t="n">
        <v>22</v>
      </c>
      <c r="AQ4" s="94"/>
      <c r="AR4" s="94" t="n">
        <v>7</v>
      </c>
      <c r="AS4" s="94"/>
    </row>
    <row r="5" customFormat="false" ht="15" hidden="false" customHeight="true" outlineLevel="0" collapsed="false">
      <c r="A5" s="94" t="str">
        <f aca="false">'1'!C3</f>
        <v>סופר פארם לייף</v>
      </c>
      <c r="B5" s="94" t="s">
        <v>229</v>
      </c>
      <c r="C5" s="208" t="n">
        <v>-594.08</v>
      </c>
      <c r="D5" s="208" t="n">
        <v>347582.74</v>
      </c>
      <c r="E5" s="208" t="n">
        <v>0</v>
      </c>
      <c r="F5" s="208" t="n">
        <v>263037.5</v>
      </c>
      <c r="G5" s="208" t="n">
        <v>155618.13</v>
      </c>
      <c r="H5" s="208" t="n">
        <v>144633.67</v>
      </c>
      <c r="I5" s="208" t="n">
        <v>214594.9</v>
      </c>
      <c r="J5" s="208" t="n">
        <v>301190.6</v>
      </c>
      <c r="K5" s="208" t="n">
        <v>124776.4</v>
      </c>
      <c r="L5" s="208" t="n">
        <v>0</v>
      </c>
      <c r="M5" s="208" t="n">
        <v>183470.34</v>
      </c>
      <c r="N5" s="208" t="n">
        <v>318421.6</v>
      </c>
      <c r="O5" s="208" t="n">
        <v>58427.8</v>
      </c>
      <c r="P5" s="208" t="n">
        <v>233209.9</v>
      </c>
      <c r="Q5" s="208" t="n">
        <v>66608.1</v>
      </c>
      <c r="R5" s="208" t="n">
        <v>336937.6</v>
      </c>
      <c r="S5" s="208" t="n">
        <v>131634</v>
      </c>
      <c r="T5" s="208" t="n">
        <v>0</v>
      </c>
      <c r="U5" s="208" t="n">
        <v>83088</v>
      </c>
      <c r="V5" s="208" t="n">
        <v>243929.1</v>
      </c>
      <c r="W5" s="208" t="n">
        <v>157587.19</v>
      </c>
      <c r="X5" s="208" t="n">
        <v>33955.2</v>
      </c>
      <c r="Y5" s="208" t="n">
        <v>265660.9</v>
      </c>
      <c r="Z5" s="208" t="n">
        <v>97619.06</v>
      </c>
      <c r="AA5" s="208" t="n">
        <f aca="false">'1'!G3</f>
        <v>63104</v>
      </c>
      <c r="AB5" s="208" t="n">
        <f aca="false">'2'!G3</f>
        <v>364352.2</v>
      </c>
      <c r="AC5" s="208" t="n">
        <f aca="false">'3'!G3</f>
        <v>123280.14</v>
      </c>
      <c r="AD5" s="208" t="n">
        <f aca="false">'4'!G3</f>
        <v>124575.26</v>
      </c>
      <c r="AE5" s="208" t="n">
        <f aca="false">'5'!G3</f>
        <v>0</v>
      </c>
      <c r="AF5" s="208" t="n">
        <f aca="false">'6'!G3</f>
        <v>65131.7</v>
      </c>
      <c r="AG5" s="208" t="n">
        <f aca="false">'7'!H3</f>
        <v>73969</v>
      </c>
      <c r="AH5" s="208" t="n">
        <f aca="false">'8'!H3</f>
        <v>299421.55</v>
      </c>
      <c r="AI5" s="208" t="n">
        <f aca="false">'9'!H3</f>
        <v>193941.5</v>
      </c>
      <c r="AJ5" s="208" t="n">
        <f aca="false">'10'!H3</f>
        <v>20995.2</v>
      </c>
      <c r="AK5" s="208" t="n">
        <f aca="false">'11'!H3</f>
        <v>0</v>
      </c>
      <c r="AL5" s="208" t="n">
        <f aca="false">'12'!H3</f>
        <v>0</v>
      </c>
      <c r="AN5" s="94" t="n">
        <v>4</v>
      </c>
      <c r="AO5" s="94" t="s">
        <v>7</v>
      </c>
      <c r="AP5" s="94" t="n">
        <v>23</v>
      </c>
      <c r="AQ5" s="94"/>
      <c r="AR5" s="94" t="n">
        <v>8</v>
      </c>
      <c r="AS5" s="94"/>
    </row>
    <row r="6" customFormat="false" ht="15" hidden="false" customHeight="true" outlineLevel="0" collapsed="false">
      <c r="A6" s="94" t="str">
        <f aca="false">'1'!C4</f>
        <v>סופרפארם</v>
      </c>
      <c r="B6" s="94" t="s">
        <v>229</v>
      </c>
      <c r="C6" s="208" t="n">
        <v>452441.08</v>
      </c>
      <c r="D6" s="208" t="n">
        <v>422279.312</v>
      </c>
      <c r="E6" s="208" t="n">
        <v>442108.94</v>
      </c>
      <c r="F6" s="208" t="n">
        <v>473814.796</v>
      </c>
      <c r="G6" s="208" t="n">
        <v>560199.913</v>
      </c>
      <c r="H6" s="208" t="n">
        <v>429114.049</v>
      </c>
      <c r="I6" s="208" t="n">
        <v>502006.141</v>
      </c>
      <c r="J6" s="208" t="n">
        <v>429300.053</v>
      </c>
      <c r="K6" s="208" t="n">
        <v>514559.045</v>
      </c>
      <c r="L6" s="208" t="n">
        <v>403387.075</v>
      </c>
      <c r="M6" s="208" t="n">
        <v>399305.088</v>
      </c>
      <c r="N6" s="208" t="n">
        <v>453775.686</v>
      </c>
      <c r="O6" s="208" t="n">
        <v>670882.199700005</v>
      </c>
      <c r="P6" s="208" t="n">
        <v>406825.346200003</v>
      </c>
      <c r="Q6" s="208" t="n">
        <v>437918.572000002</v>
      </c>
      <c r="R6" s="208" t="n">
        <v>549545.830000007</v>
      </c>
      <c r="S6" s="208" t="n">
        <v>729180.694700011</v>
      </c>
      <c r="T6" s="208" t="n">
        <v>452295.980000005</v>
      </c>
      <c r="U6" s="208" t="n">
        <v>486312.520000005</v>
      </c>
      <c r="V6" s="208" t="n">
        <v>495074.58</v>
      </c>
      <c r="W6" s="208" t="n">
        <v>465794.42</v>
      </c>
      <c r="X6" s="208" t="n">
        <v>417469.78</v>
      </c>
      <c r="Y6" s="208" t="n">
        <v>507426.01</v>
      </c>
      <c r="Z6" s="208" t="n">
        <v>453051.69</v>
      </c>
      <c r="AA6" s="208" t="n">
        <f aca="false">'1'!G4</f>
        <v>423956.26</v>
      </c>
      <c r="AB6" s="208" t="n">
        <f aca="false">'2'!G4</f>
        <v>469684.033</v>
      </c>
      <c r="AC6" s="208" t="n">
        <f aca="false">'3'!G4</f>
        <v>418342.47</v>
      </c>
      <c r="AD6" s="208" t="n">
        <f aca="false">'4'!G4</f>
        <v>429718.198</v>
      </c>
      <c r="AE6" s="208" t="n">
        <f aca="false">'5'!G4</f>
        <v>498482.53</v>
      </c>
      <c r="AF6" s="208" t="n">
        <f aca="false">'6'!G4</f>
        <v>534754.402</v>
      </c>
      <c r="AG6" s="208" t="n">
        <f aca="false">'7'!H4</f>
        <v>453851.216</v>
      </c>
      <c r="AH6" s="208" t="n">
        <f aca="false">'8'!H4</f>
        <v>588822.689</v>
      </c>
      <c r="AI6" s="208" t="n">
        <f aca="false">'9'!H4</f>
        <v>507718.575</v>
      </c>
      <c r="AJ6" s="208" t="n">
        <f aca="false">'10'!H4</f>
        <v>0</v>
      </c>
      <c r="AK6" s="208" t="n">
        <f aca="false">'11'!H4</f>
        <v>0</v>
      </c>
      <c r="AL6" s="208" t="n">
        <f aca="false">'12'!H4</f>
        <v>0</v>
      </c>
      <c r="AN6" s="94" t="n">
        <v>5</v>
      </c>
      <c r="AO6" s="94" t="s">
        <v>8</v>
      </c>
      <c r="AP6" s="94" t="n">
        <v>24</v>
      </c>
      <c r="AQ6" s="94"/>
      <c r="AR6" s="94" t="n">
        <v>9</v>
      </c>
      <c r="AS6" s="94"/>
    </row>
    <row r="7" customFormat="false" ht="15" hidden="false" customHeight="true" outlineLevel="0" collapsed="false">
      <c r="A7" s="94" t="str">
        <f aca="false">'1'!C5</f>
        <v>BE</v>
      </c>
      <c r="B7" s="94" t="s">
        <v>229</v>
      </c>
      <c r="C7" s="208" t="n">
        <v>63301.42</v>
      </c>
      <c r="D7" s="208" t="n">
        <v>82457.193</v>
      </c>
      <c r="E7" s="208" t="n">
        <v>98496.489</v>
      </c>
      <c r="F7" s="208" t="n">
        <v>100846.291</v>
      </c>
      <c r="G7" s="208" t="n">
        <v>104005.538</v>
      </c>
      <c r="H7" s="208" t="n">
        <v>94683.953</v>
      </c>
      <c r="I7" s="208" t="n">
        <v>95719.442</v>
      </c>
      <c r="J7" s="208" t="n">
        <v>96254.067</v>
      </c>
      <c r="K7" s="208" t="n">
        <v>104489.476</v>
      </c>
      <c r="L7" s="208" t="n">
        <v>80742.389</v>
      </c>
      <c r="M7" s="208" t="n">
        <v>78931.671</v>
      </c>
      <c r="N7" s="208" t="n">
        <v>89875.877</v>
      </c>
      <c r="O7" s="208" t="n">
        <v>54489.89</v>
      </c>
      <c r="P7" s="208" t="n">
        <v>65962.26</v>
      </c>
      <c r="Q7" s="208" t="n">
        <v>58257.29</v>
      </c>
      <c r="R7" s="208" t="n">
        <v>75168</v>
      </c>
      <c r="S7" s="208" t="n">
        <v>80577.77</v>
      </c>
      <c r="T7" s="208" t="n">
        <v>87191.65</v>
      </c>
      <c r="U7" s="208" t="n">
        <v>59921.68</v>
      </c>
      <c r="V7" s="208" t="n">
        <v>73631.74</v>
      </c>
      <c r="W7" s="208" t="n">
        <v>64918.49</v>
      </c>
      <c r="X7" s="208" t="n">
        <v>61390.42</v>
      </c>
      <c r="Y7" s="208" t="n">
        <v>85930.39</v>
      </c>
      <c r="Z7" s="208" t="n">
        <v>61250.28</v>
      </c>
      <c r="AA7" s="208" t="n">
        <f aca="false">'1'!G5</f>
        <v>67635.75</v>
      </c>
      <c r="AB7" s="208" t="n">
        <f aca="false">'2'!G5</f>
        <v>68397.329</v>
      </c>
      <c r="AC7" s="208" t="n">
        <f aca="false">'3'!G5</f>
        <v>59847.151</v>
      </c>
      <c r="AD7" s="208" t="n">
        <f aca="false">'4'!G5</f>
        <v>83501.964</v>
      </c>
      <c r="AE7" s="208" t="n">
        <f aca="false">'5'!G5</f>
        <v>81328.338</v>
      </c>
      <c r="AF7" s="208" t="n">
        <f aca="false">'6'!G5</f>
        <v>76564.033</v>
      </c>
      <c r="AG7" s="208" t="n">
        <f aca="false">'7'!H5</f>
        <v>72470.216</v>
      </c>
      <c r="AH7" s="208" t="n">
        <f aca="false">'8'!H5</f>
        <v>70518.812</v>
      </c>
      <c r="AI7" s="208" t="n">
        <f aca="false">'9'!H5</f>
        <v>73475.311</v>
      </c>
      <c r="AJ7" s="208" t="n">
        <f aca="false">'10'!H5</f>
        <v>0</v>
      </c>
      <c r="AK7" s="208" t="n">
        <f aca="false">'11'!H5</f>
        <v>0</v>
      </c>
      <c r="AL7" s="208" t="n">
        <f aca="false">'12'!H5</f>
        <v>0</v>
      </c>
      <c r="AN7" s="94" t="n">
        <v>6</v>
      </c>
      <c r="AO7" s="94" t="s">
        <v>9</v>
      </c>
      <c r="AP7" s="94" t="n">
        <v>25</v>
      </c>
      <c r="AQ7" s="94"/>
      <c r="AR7" s="94" t="n">
        <v>10</v>
      </c>
      <c r="AS7" s="94"/>
    </row>
    <row r="8" customFormat="false" ht="15" hidden="false" customHeight="true" outlineLevel="0" collapsed="false">
      <c r="A8" s="94" t="str">
        <f aca="false">'1'!C6</f>
        <v>בתי מרקחת</v>
      </c>
      <c r="B8" s="94" t="s">
        <v>229</v>
      </c>
      <c r="C8" s="208" t="n">
        <v>164714.584</v>
      </c>
      <c r="D8" s="208" t="n">
        <v>163451.946</v>
      </c>
      <c r="E8" s="208" t="n">
        <v>155174.617</v>
      </c>
      <c r="F8" s="208" t="n">
        <v>132554.789</v>
      </c>
      <c r="G8" s="208" t="n">
        <v>211638.805</v>
      </c>
      <c r="H8" s="208" t="n">
        <v>174598.676</v>
      </c>
      <c r="I8" s="208" t="n">
        <v>157377.696</v>
      </c>
      <c r="J8" s="208" t="n">
        <v>112372.337</v>
      </c>
      <c r="K8" s="208" t="n">
        <v>141046.592</v>
      </c>
      <c r="L8" s="208" t="n">
        <v>128887.331</v>
      </c>
      <c r="M8" s="208" t="n">
        <v>144720.944</v>
      </c>
      <c r="N8" s="208" t="n">
        <v>149421.213</v>
      </c>
      <c r="O8" s="208" t="n">
        <v>136160.380299998</v>
      </c>
      <c r="P8" s="208" t="n">
        <v>133409.823800003</v>
      </c>
      <c r="Q8" s="208" t="n">
        <v>153012.03</v>
      </c>
      <c r="R8" s="208" t="n">
        <v>173213.55</v>
      </c>
      <c r="S8" s="208" t="n">
        <v>186515.155300001</v>
      </c>
      <c r="T8" s="208" t="n">
        <v>160476.44</v>
      </c>
      <c r="U8" s="208" t="n">
        <v>221525.16</v>
      </c>
      <c r="V8" s="208" t="n">
        <v>179847.32</v>
      </c>
      <c r="W8" s="208" t="n">
        <v>134403.73</v>
      </c>
      <c r="X8" s="208" t="n">
        <v>150616.42</v>
      </c>
      <c r="Y8" s="208" t="n">
        <v>167763.05</v>
      </c>
      <c r="Z8" s="208" t="n">
        <v>144058.52</v>
      </c>
      <c r="AA8" s="208" t="n">
        <f aca="false">'1'!G6</f>
        <v>192169.79</v>
      </c>
      <c r="AB8" s="208" t="n">
        <f aca="false">'2'!G6</f>
        <v>140722.24</v>
      </c>
      <c r="AC8" s="208" t="n">
        <f aca="false">'3'!G6</f>
        <v>122676.557</v>
      </c>
      <c r="AD8" s="208" t="n">
        <f aca="false">'4'!G6</f>
        <v>125615.726</v>
      </c>
      <c r="AE8" s="208" t="n">
        <f aca="false">'5'!G6</f>
        <v>148972.084</v>
      </c>
      <c r="AF8" s="208" t="n">
        <f aca="false">'6'!G6</f>
        <v>188367.581</v>
      </c>
      <c r="AG8" s="208" t="n">
        <f aca="false">'7'!H6</f>
        <v>152144.318</v>
      </c>
      <c r="AH8" s="208" t="n">
        <f aca="false">'8'!H6</f>
        <v>160218.084</v>
      </c>
      <c r="AI8" s="208" t="n">
        <f aca="false">'9'!H6</f>
        <v>182488.743</v>
      </c>
      <c r="AJ8" s="208" t="n">
        <f aca="false">'10'!H6</f>
        <v>0</v>
      </c>
      <c r="AK8" s="208" t="n">
        <f aca="false">'11'!H6</f>
        <v>0</v>
      </c>
      <c r="AL8" s="208" t="n">
        <f aca="false">'12'!H6</f>
        <v>0</v>
      </c>
      <c r="AN8" s="94" t="n">
        <v>7</v>
      </c>
      <c r="AO8" s="94" t="s">
        <v>10</v>
      </c>
      <c r="AP8" s="94" t="n">
        <v>26</v>
      </c>
      <c r="AQ8" s="94" t="n">
        <v>44</v>
      </c>
      <c r="AR8" s="94" t="n">
        <v>11</v>
      </c>
      <c r="AS8" s="94" t="n">
        <v>35</v>
      </c>
    </row>
    <row r="9" customFormat="false" ht="15" hidden="false" customHeight="true" outlineLevel="0" collapsed="false">
      <c r="A9" s="94" t="str">
        <f aca="false">'1'!C7</f>
        <v>כללית</v>
      </c>
      <c r="B9" s="94" t="s">
        <v>229</v>
      </c>
      <c r="C9" s="208" t="n">
        <v>414961</v>
      </c>
      <c r="D9" s="208" t="n">
        <v>385135</v>
      </c>
      <c r="E9" s="208" t="n">
        <v>389673.5</v>
      </c>
      <c r="F9" s="208" t="n">
        <v>244648</v>
      </c>
      <c r="G9" s="208" t="n">
        <v>327442</v>
      </c>
      <c r="H9" s="208" t="n">
        <v>315729.5</v>
      </c>
      <c r="I9" s="208" t="n">
        <v>326042</v>
      </c>
      <c r="J9" s="208" t="n">
        <v>416484</v>
      </c>
      <c r="K9" s="208" t="n">
        <v>309520.8</v>
      </c>
      <c r="L9" s="208" t="n">
        <v>291076</v>
      </c>
      <c r="M9" s="208" t="n">
        <v>319604.5</v>
      </c>
      <c r="N9" s="208" t="n">
        <v>378149.8</v>
      </c>
      <c r="O9" s="208" t="n">
        <v>326467.5</v>
      </c>
      <c r="P9" s="208" t="n">
        <v>371734.5</v>
      </c>
      <c r="Q9" s="208" t="n">
        <v>376182</v>
      </c>
      <c r="R9" s="208" t="n">
        <v>263457</v>
      </c>
      <c r="S9" s="208" t="n">
        <v>307503</v>
      </c>
      <c r="T9" s="208" t="n">
        <v>363201.5</v>
      </c>
      <c r="U9" s="208" t="n">
        <v>329541.7</v>
      </c>
      <c r="V9" s="208" t="n">
        <v>273604.4</v>
      </c>
      <c r="W9" s="208" t="n">
        <v>337200.15</v>
      </c>
      <c r="X9" s="208" t="n">
        <v>184903.8</v>
      </c>
      <c r="Y9" s="208" t="n">
        <v>308121.37</v>
      </c>
      <c r="Z9" s="208" t="n">
        <v>367699.5</v>
      </c>
      <c r="AA9" s="208" t="n">
        <f aca="false">'1'!G7</f>
        <v>320186.2</v>
      </c>
      <c r="AB9" s="208" t="n">
        <f aca="false">'2'!G7</f>
        <v>299047.35</v>
      </c>
      <c r="AC9" s="208" t="n">
        <f aca="false">'3'!G7</f>
        <v>244180.55</v>
      </c>
      <c r="AD9" s="208" t="n">
        <f aca="false">'4'!G7</f>
        <v>220778.2</v>
      </c>
      <c r="AE9" s="208" t="n">
        <f aca="false">'5'!G7</f>
        <v>318846.8</v>
      </c>
      <c r="AF9" s="208" t="n">
        <f aca="false">'6'!G7</f>
        <v>339371.75</v>
      </c>
      <c r="AG9" s="208" t="n">
        <f aca="false">'7'!H7</f>
        <v>392888.3</v>
      </c>
      <c r="AH9" s="208" t="n">
        <f aca="false">'8'!H7</f>
        <v>295436</v>
      </c>
      <c r="AI9" s="208" t="n">
        <f aca="false">'9'!H7</f>
        <v>296928.1</v>
      </c>
      <c r="AJ9" s="208" t="n">
        <f aca="false">'10'!H7</f>
        <v>0</v>
      </c>
      <c r="AK9" s="208" t="n">
        <f aca="false">'11'!H7</f>
        <v>0</v>
      </c>
      <c r="AL9" s="208" t="n">
        <f aca="false">'12'!H7</f>
        <v>0</v>
      </c>
      <c r="AN9" s="94" t="n">
        <v>8</v>
      </c>
      <c r="AO9" s="94" t="s">
        <v>11</v>
      </c>
      <c r="AP9" s="94" t="n">
        <v>27</v>
      </c>
      <c r="AQ9" s="94" t="n">
        <v>45</v>
      </c>
      <c r="AR9" s="94" t="n">
        <v>12</v>
      </c>
      <c r="AS9" s="94" t="n">
        <v>36</v>
      </c>
    </row>
    <row r="10" customFormat="false" ht="15" hidden="false" customHeight="true" outlineLevel="0" collapsed="false">
      <c r="A10" s="94" t="str">
        <f aca="false">'1'!C8</f>
        <v>מאוחדת</v>
      </c>
      <c r="B10" s="94" t="s">
        <v>229</v>
      </c>
      <c r="C10" s="208" t="n">
        <v>74817.97</v>
      </c>
      <c r="D10" s="208" t="n">
        <v>91523.03</v>
      </c>
      <c r="E10" s="208" t="n">
        <v>77394.37</v>
      </c>
      <c r="F10" s="208" t="n">
        <v>59971.53</v>
      </c>
      <c r="G10" s="208" t="n">
        <v>65998.04</v>
      </c>
      <c r="H10" s="208" t="n">
        <v>43688.56</v>
      </c>
      <c r="I10" s="208" t="n">
        <v>79041.44</v>
      </c>
      <c r="J10" s="208" t="n">
        <v>64245.4</v>
      </c>
      <c r="K10" s="208" t="n">
        <v>65554.73</v>
      </c>
      <c r="L10" s="208" t="n">
        <v>50225.36</v>
      </c>
      <c r="M10" s="208" t="n">
        <v>57000.57</v>
      </c>
      <c r="N10" s="208" t="n">
        <v>68517.25</v>
      </c>
      <c r="O10" s="208" t="n">
        <v>57834.64</v>
      </c>
      <c r="P10" s="208" t="n">
        <v>82146.14</v>
      </c>
      <c r="Q10" s="208" t="n">
        <v>74502.3</v>
      </c>
      <c r="R10" s="208" t="n">
        <v>62433.13</v>
      </c>
      <c r="S10" s="208" t="n">
        <v>88130.8</v>
      </c>
      <c r="T10" s="208" t="n">
        <v>62616.16</v>
      </c>
      <c r="U10" s="208" t="n">
        <v>95914.88</v>
      </c>
      <c r="V10" s="208" t="n">
        <v>81013.09</v>
      </c>
      <c r="W10" s="208" t="n">
        <v>89206.99</v>
      </c>
      <c r="X10" s="208" t="n">
        <v>70789.24</v>
      </c>
      <c r="Y10" s="208" t="n">
        <v>68004.57</v>
      </c>
      <c r="Z10" s="208" t="n">
        <v>60034.25</v>
      </c>
      <c r="AA10" s="208" t="n">
        <f aca="false">'1'!G8</f>
        <v>60425.14</v>
      </c>
      <c r="AB10" s="208" t="n">
        <f aca="false">'2'!G8</f>
        <v>59215.28</v>
      </c>
      <c r="AC10" s="208" t="n">
        <f aca="false">'3'!G8</f>
        <v>55389.04</v>
      </c>
      <c r="AD10" s="208" t="n">
        <f aca="false">'4'!G8</f>
        <v>50971.08</v>
      </c>
      <c r="AE10" s="208" t="n">
        <f aca="false">'5'!G8</f>
        <v>47091.772</v>
      </c>
      <c r="AF10" s="208" t="n">
        <f aca="false">'6'!G8</f>
        <v>70005.299</v>
      </c>
      <c r="AG10" s="208" t="n">
        <f aca="false">'7'!H8</f>
        <v>49165.266</v>
      </c>
      <c r="AH10" s="208" t="n">
        <f aca="false">'8'!H8</f>
        <v>73310.601</v>
      </c>
      <c r="AI10" s="208" t="n">
        <f aca="false">'9'!H8</f>
        <v>55452.215</v>
      </c>
      <c r="AJ10" s="208" t="n">
        <f aca="false">'10'!H8</f>
        <v>0</v>
      </c>
      <c r="AK10" s="208" t="n">
        <f aca="false">'11'!H8</f>
        <v>0</v>
      </c>
      <c r="AL10" s="208" t="n">
        <f aca="false">'12'!H8</f>
        <v>0</v>
      </c>
      <c r="AN10" s="94" t="n">
        <v>9</v>
      </c>
      <c r="AO10" s="94" t="s">
        <v>12</v>
      </c>
      <c r="AP10" s="94" t="n">
        <v>28</v>
      </c>
      <c r="AQ10" s="94" t="n">
        <v>46</v>
      </c>
      <c r="AR10" s="94" t="n">
        <v>13</v>
      </c>
      <c r="AS10" s="94" t="n">
        <v>37</v>
      </c>
    </row>
    <row r="11" customFormat="false" ht="15" hidden="false" customHeight="true" outlineLevel="0" collapsed="false">
      <c r="A11" s="94" t="str">
        <f aca="false">'1'!C50</f>
        <v>מכבי</v>
      </c>
      <c r="B11" s="94" t="s">
        <v>229</v>
      </c>
      <c r="C11" s="208" t="n">
        <v>0</v>
      </c>
      <c r="D11" s="208" t="n">
        <v>0</v>
      </c>
      <c r="E11" s="208" t="n">
        <v>0</v>
      </c>
      <c r="F11" s="208" t="n">
        <v>0</v>
      </c>
      <c r="G11" s="208" t="n">
        <v>0</v>
      </c>
      <c r="H11" s="208" t="n">
        <v>0</v>
      </c>
      <c r="I11" s="208" t="n">
        <v>0</v>
      </c>
      <c r="J11" s="208" t="n">
        <v>0</v>
      </c>
      <c r="K11" s="208" t="n">
        <v>0</v>
      </c>
      <c r="L11" s="208" t="n">
        <v>0</v>
      </c>
      <c r="M11" s="208" t="n">
        <v>0</v>
      </c>
      <c r="N11" s="208" t="n">
        <v>0</v>
      </c>
      <c r="O11" s="208" t="n">
        <v>0</v>
      </c>
      <c r="P11" s="208" t="n">
        <v>0</v>
      </c>
      <c r="Q11" s="208" t="n">
        <v>0</v>
      </c>
      <c r="R11" s="208" t="n">
        <v>0</v>
      </c>
      <c r="S11" s="208" t="n">
        <v>0</v>
      </c>
      <c r="T11" s="208" t="n">
        <v>0</v>
      </c>
      <c r="U11" s="208" t="n">
        <v>0</v>
      </c>
      <c r="V11" s="208" t="n">
        <v>0</v>
      </c>
      <c r="W11" s="208" t="n">
        <v>0</v>
      </c>
      <c r="X11" s="208" t="n">
        <v>0</v>
      </c>
      <c r="Y11" s="208" t="n">
        <v>0</v>
      </c>
      <c r="Z11" s="208" t="n">
        <v>0</v>
      </c>
      <c r="AA11" s="208" t="n">
        <f aca="false">'1'!G50</f>
        <v>0</v>
      </c>
      <c r="AB11" s="208" t="n">
        <f aca="false">'2'!G50</f>
        <v>0</v>
      </c>
      <c r="AC11" s="208" t="n">
        <f aca="false">'3'!G50</f>
        <v>0</v>
      </c>
      <c r="AD11" s="208" t="n">
        <f aca="false">'4'!G50</f>
        <v>0</v>
      </c>
      <c r="AE11" s="208" t="n">
        <f aca="false">'5'!G50</f>
        <v>0</v>
      </c>
      <c r="AF11" s="208" t="n">
        <f aca="false">'6'!G50</f>
        <v>0</v>
      </c>
      <c r="AG11" s="208" t="n">
        <f aca="false">'7'!H50</f>
        <v>0</v>
      </c>
      <c r="AH11" s="208" t="n">
        <f aca="false">'8'!H50</f>
        <v>0</v>
      </c>
      <c r="AI11" s="208" t="n">
        <f aca="false">'9'!H50</f>
        <v>0</v>
      </c>
      <c r="AJ11" s="208" t="n">
        <f aca="false">'10'!H50</f>
        <v>0</v>
      </c>
      <c r="AK11" s="208" t="n">
        <f aca="false">'11'!H50</f>
        <v>0</v>
      </c>
      <c r="AL11" s="208" t="n">
        <f aca="false">'12'!H50</f>
        <v>0</v>
      </c>
      <c r="AN11" s="94" t="n">
        <v>10</v>
      </c>
      <c r="AO11" s="94" t="s">
        <v>13</v>
      </c>
      <c r="AP11" s="94" t="n">
        <v>29</v>
      </c>
      <c r="AQ11" s="94" t="n">
        <v>47</v>
      </c>
      <c r="AR11" s="94" t="n">
        <v>14</v>
      </c>
      <c r="AS11" s="94" t="n">
        <v>38</v>
      </c>
    </row>
    <row r="12" customFormat="false" ht="15" hidden="false" customHeight="true" outlineLevel="0" collapsed="false">
      <c r="A12" s="94" t="str">
        <f aca="false">'1'!C9</f>
        <v>מכוני אורטופדיה</v>
      </c>
      <c r="B12" s="94" t="s">
        <v>229</v>
      </c>
      <c r="C12" s="208" t="n">
        <v>91890.1</v>
      </c>
      <c r="D12" s="208" t="n">
        <v>85829.2</v>
      </c>
      <c r="E12" s="208" t="n">
        <v>87247.96</v>
      </c>
      <c r="F12" s="208" t="n">
        <v>69580.43</v>
      </c>
      <c r="G12" s="208" t="n">
        <v>99310.41</v>
      </c>
      <c r="H12" s="208" t="n">
        <v>77555.62</v>
      </c>
      <c r="I12" s="208" t="n">
        <v>76209.32</v>
      </c>
      <c r="J12" s="208" t="n">
        <v>62739.61</v>
      </c>
      <c r="K12" s="208" t="n">
        <v>65856.52</v>
      </c>
      <c r="L12" s="208" t="n">
        <v>56916.24</v>
      </c>
      <c r="M12" s="208" t="n">
        <v>62213.38</v>
      </c>
      <c r="N12" s="208" t="n">
        <v>65670.46</v>
      </c>
      <c r="O12" s="208" t="n">
        <v>72633.3</v>
      </c>
      <c r="P12" s="208" t="n">
        <v>46378.11</v>
      </c>
      <c r="Q12" s="208" t="n">
        <v>65531.82</v>
      </c>
      <c r="R12" s="208" t="n">
        <v>74555.12</v>
      </c>
      <c r="S12" s="208" t="n">
        <v>94846.85</v>
      </c>
      <c r="T12" s="208" t="n">
        <v>63999.64</v>
      </c>
      <c r="U12" s="208" t="n">
        <v>81305.01</v>
      </c>
      <c r="V12" s="208" t="n">
        <v>61998.83</v>
      </c>
      <c r="W12" s="208" t="n">
        <v>69988.58</v>
      </c>
      <c r="X12" s="208" t="n">
        <v>57765.28</v>
      </c>
      <c r="Y12" s="208" t="n">
        <v>96453.83</v>
      </c>
      <c r="Z12" s="208" t="n">
        <v>69362.57</v>
      </c>
      <c r="AA12" s="208" t="n">
        <f aca="false">'1'!G9</f>
        <v>86618.03</v>
      </c>
      <c r="AB12" s="208" t="n">
        <f aca="false">'2'!G9</f>
        <v>81282.23</v>
      </c>
      <c r="AC12" s="208" t="n">
        <f aca="false">'3'!G9</f>
        <v>48951.14</v>
      </c>
      <c r="AD12" s="208" t="n">
        <f aca="false">'4'!G9</f>
        <v>88526.04</v>
      </c>
      <c r="AE12" s="208" t="n">
        <f aca="false">'5'!G9</f>
        <v>102176.91</v>
      </c>
      <c r="AF12" s="208" t="n">
        <f aca="false">'6'!G9</f>
        <v>67723.22</v>
      </c>
      <c r="AG12" s="208" t="n">
        <f aca="false">'7'!H9</f>
        <v>65635.87</v>
      </c>
      <c r="AH12" s="208" t="n">
        <f aca="false">'8'!H9</f>
        <v>76847.55</v>
      </c>
      <c r="AI12" s="208" t="n">
        <f aca="false">'9'!H9</f>
        <v>60353.17</v>
      </c>
      <c r="AJ12" s="208" t="n">
        <f aca="false">'10'!H9</f>
        <v>0</v>
      </c>
      <c r="AK12" s="208" t="n">
        <f aca="false">'11'!H9</f>
        <v>0</v>
      </c>
      <c r="AL12" s="208" t="n">
        <f aca="false">'12'!H9</f>
        <v>0</v>
      </c>
      <c r="AN12" s="94" t="n">
        <v>11</v>
      </c>
      <c r="AO12" s="94" t="s">
        <v>14</v>
      </c>
      <c r="AP12" s="94" t="n">
        <v>30</v>
      </c>
      <c r="AQ12" s="94" t="n">
        <v>48</v>
      </c>
      <c r="AR12" s="94" t="n">
        <v>15</v>
      </c>
      <c r="AS12" s="94" t="n">
        <v>39</v>
      </c>
    </row>
    <row r="13" customFormat="false" ht="15" hidden="false" customHeight="true" outlineLevel="0" collapsed="false">
      <c r="A13" s="94" t="str">
        <f aca="false">'1'!C10</f>
        <v>לקוחות מפעל</v>
      </c>
      <c r="B13" s="94" t="s">
        <v>229</v>
      </c>
      <c r="C13" s="208" t="n">
        <v>15878.93</v>
      </c>
      <c r="D13" s="208" t="n">
        <v>11131.68</v>
      </c>
      <c r="E13" s="208" t="n">
        <v>21528.06</v>
      </c>
      <c r="F13" s="208" t="n">
        <v>14571.76</v>
      </c>
      <c r="G13" s="208" t="n">
        <v>16034.44</v>
      </c>
      <c r="H13" s="208" t="n">
        <v>13321.91</v>
      </c>
      <c r="I13" s="208" t="n">
        <v>27532.1</v>
      </c>
      <c r="J13" s="208" t="n">
        <v>18126.58</v>
      </c>
      <c r="K13" s="208" t="n">
        <v>10468.76</v>
      </c>
      <c r="L13" s="208" t="n">
        <v>11253.22</v>
      </c>
      <c r="M13" s="208" t="n">
        <v>10956.17</v>
      </c>
      <c r="N13" s="208" t="n">
        <v>16400.06</v>
      </c>
      <c r="O13" s="208" t="n">
        <v>16402.68</v>
      </c>
      <c r="P13" s="208" t="n">
        <v>17589.94</v>
      </c>
      <c r="Q13" s="208" t="n">
        <v>21300.79</v>
      </c>
      <c r="R13" s="208" t="n">
        <v>15201.7</v>
      </c>
      <c r="S13" s="208" t="n">
        <v>15870.65</v>
      </c>
      <c r="T13" s="208" t="n">
        <v>9192.17</v>
      </c>
      <c r="U13" s="208" t="n">
        <v>10971.32</v>
      </c>
      <c r="V13" s="208" t="n">
        <v>12420.51</v>
      </c>
      <c r="W13" s="208" t="n">
        <v>17490.72</v>
      </c>
      <c r="X13" s="208" t="n">
        <v>9579</v>
      </c>
      <c r="Y13" s="208" t="n">
        <v>28016.53</v>
      </c>
      <c r="Z13" s="208" t="n">
        <v>11214.5</v>
      </c>
      <c r="AA13" s="208" t="n">
        <f aca="false">'1'!G10</f>
        <v>18073.66</v>
      </c>
      <c r="AB13" s="208" t="n">
        <f aca="false">'2'!G10</f>
        <v>11368.09</v>
      </c>
      <c r="AC13" s="208" t="n">
        <f aca="false">'3'!G10</f>
        <v>6765.24</v>
      </c>
      <c r="AD13" s="208" t="n">
        <f aca="false">'4'!G10</f>
        <v>11923.54</v>
      </c>
      <c r="AE13" s="208" t="n">
        <f aca="false">'5'!G10</f>
        <v>6343.11</v>
      </c>
      <c r="AF13" s="208" t="n">
        <f aca="false">'6'!G10</f>
        <v>6761.44</v>
      </c>
      <c r="AG13" s="208" t="n">
        <f aca="false">'7'!H10</f>
        <v>5105.8</v>
      </c>
      <c r="AH13" s="208" t="n">
        <f aca="false">'8'!H10</f>
        <v>4321.85</v>
      </c>
      <c r="AI13" s="208" t="n">
        <f aca="false">'9'!H10</f>
        <v>8627.76</v>
      </c>
      <c r="AJ13" s="208" t="n">
        <f aca="false">'10'!H10</f>
        <v>0</v>
      </c>
      <c r="AK13" s="208" t="n">
        <f aca="false">'11'!H10</f>
        <v>0</v>
      </c>
      <c r="AL13" s="208" t="n">
        <f aca="false">'12'!H10</f>
        <v>0</v>
      </c>
      <c r="AN13" s="94" t="n">
        <v>12</v>
      </c>
      <c r="AO13" s="94" t="s">
        <v>15</v>
      </c>
      <c r="AP13" s="94" t="n">
        <v>31</v>
      </c>
      <c r="AQ13" s="94" t="n">
        <v>49</v>
      </c>
      <c r="AR13" s="94" t="n">
        <v>16</v>
      </c>
      <c r="AS13" s="94" t="n">
        <v>40</v>
      </c>
    </row>
    <row r="14" customFormat="false" ht="15" hidden="false" customHeight="true" outlineLevel="0" collapsed="false">
      <c r="A14" s="94" t="str">
        <f aca="false">'1'!C11</f>
        <v>חנויות פרטיות</v>
      </c>
      <c r="B14" s="94" t="s">
        <v>229</v>
      </c>
      <c r="C14" s="208" t="n">
        <v>5667.68</v>
      </c>
      <c r="D14" s="208" t="n">
        <v>0</v>
      </c>
      <c r="E14" s="208" t="n">
        <v>3573.08</v>
      </c>
      <c r="F14" s="208" t="n">
        <v>11309.68</v>
      </c>
      <c r="G14" s="208" t="n">
        <v>1188.66</v>
      </c>
      <c r="H14" s="208" t="n">
        <v>11738.24</v>
      </c>
      <c r="I14" s="208" t="n">
        <v>8417.71</v>
      </c>
      <c r="J14" s="208" t="n">
        <v>8063.63</v>
      </c>
      <c r="K14" s="208" t="n">
        <v>3066.38</v>
      </c>
      <c r="L14" s="208" t="n">
        <v>-1766.36</v>
      </c>
      <c r="M14" s="208" t="n">
        <v>30231.73</v>
      </c>
      <c r="N14" s="208" t="n">
        <v>10713.92</v>
      </c>
      <c r="O14" s="208" t="n">
        <v>6025.5</v>
      </c>
      <c r="P14" s="208" t="n">
        <v>4045.81</v>
      </c>
      <c r="Q14" s="208" t="n">
        <v>11352.51</v>
      </c>
      <c r="R14" s="208" t="n">
        <v>4054.42</v>
      </c>
      <c r="S14" s="208" t="n">
        <v>5871.12</v>
      </c>
      <c r="T14" s="208" t="n">
        <v>4288.26</v>
      </c>
      <c r="U14" s="208" t="n">
        <v>4990.47</v>
      </c>
      <c r="V14" s="208" t="n">
        <v>1459.42</v>
      </c>
      <c r="W14" s="208" t="n">
        <v>4228.87</v>
      </c>
      <c r="X14" s="208" t="n">
        <v>3274.69</v>
      </c>
      <c r="Y14" s="208" t="n">
        <v>1902.07</v>
      </c>
      <c r="Z14" s="208" t="n">
        <v>5866.58</v>
      </c>
      <c r="AA14" s="208" t="n">
        <f aca="false">'1'!G11</f>
        <v>5894.68</v>
      </c>
      <c r="AB14" s="208" t="n">
        <f aca="false">'2'!G11</f>
        <v>3319.04</v>
      </c>
      <c r="AC14" s="208" t="n">
        <f aca="false">'3'!G11</f>
        <v>3196.2</v>
      </c>
      <c r="AD14" s="208" t="n">
        <f aca="false">'4'!G11</f>
        <v>4956.22</v>
      </c>
      <c r="AE14" s="208" t="n">
        <f aca="false">'5'!G11</f>
        <v>7664.69</v>
      </c>
      <c r="AF14" s="208" t="n">
        <f aca="false">'6'!G11</f>
        <v>8984.58</v>
      </c>
      <c r="AG14" s="208" t="n">
        <f aca="false">'7'!H11</f>
        <v>3863.17</v>
      </c>
      <c r="AH14" s="208" t="n">
        <f aca="false">'8'!H11</f>
        <v>2043.68</v>
      </c>
      <c r="AI14" s="208" t="n">
        <f aca="false">'9'!H11</f>
        <v>5091.7</v>
      </c>
      <c r="AJ14" s="208" t="n">
        <f aca="false">'10'!H11</f>
        <v>0</v>
      </c>
      <c r="AK14" s="208" t="n">
        <f aca="false">'11'!H11</f>
        <v>0</v>
      </c>
      <c r="AL14" s="208" t="n">
        <f aca="false">'12'!H11</f>
        <v>0</v>
      </c>
    </row>
    <row r="15" customFormat="false" ht="15" hidden="false" customHeight="true" outlineLevel="0" collapsed="false">
      <c r="A15" s="94" t="str">
        <f aca="false">'1'!C12</f>
        <v>מכוני פדיקור</v>
      </c>
      <c r="B15" s="94" t="s">
        <v>229</v>
      </c>
      <c r="C15" s="208" t="n">
        <v>0</v>
      </c>
      <c r="D15" s="208" t="n">
        <v>0</v>
      </c>
      <c r="E15" s="208" t="n">
        <v>0</v>
      </c>
      <c r="F15" s="208" t="n">
        <v>850.4</v>
      </c>
      <c r="G15" s="208" t="n">
        <v>0</v>
      </c>
      <c r="H15" s="208" t="n">
        <v>0</v>
      </c>
      <c r="I15" s="208" t="n">
        <v>679.3</v>
      </c>
      <c r="J15" s="208" t="n">
        <v>0</v>
      </c>
      <c r="K15" s="208" t="n">
        <v>850.4</v>
      </c>
      <c r="L15" s="208" t="n">
        <v>0</v>
      </c>
      <c r="M15" s="208" t="n">
        <v>0</v>
      </c>
      <c r="N15" s="208" t="n">
        <v>850.4</v>
      </c>
      <c r="O15" s="208" t="n">
        <v>1162.85</v>
      </c>
      <c r="P15" s="208" t="n">
        <v>569.45</v>
      </c>
      <c r="Q15" s="208" t="n">
        <v>0</v>
      </c>
      <c r="R15" s="208" t="n">
        <v>0</v>
      </c>
      <c r="S15" s="208" t="n">
        <v>0</v>
      </c>
      <c r="T15" s="208" t="n">
        <v>1244.84</v>
      </c>
      <c r="U15" s="208" t="n">
        <v>0</v>
      </c>
      <c r="V15" s="208" t="n">
        <v>0</v>
      </c>
      <c r="W15" s="208" t="n">
        <v>0</v>
      </c>
      <c r="X15" s="208" t="n">
        <v>669.74</v>
      </c>
      <c r="Y15" s="208" t="n">
        <v>498.8</v>
      </c>
      <c r="Z15" s="208" t="n">
        <v>0</v>
      </c>
      <c r="AA15" s="208" t="n">
        <f aca="false">'1'!G12</f>
        <v>810.6</v>
      </c>
      <c r="AB15" s="208" t="n">
        <f aca="false">'2'!G12</f>
        <v>0</v>
      </c>
      <c r="AC15" s="208" t="n">
        <f aca="false">'3'!G12</f>
        <v>1106.56</v>
      </c>
      <c r="AD15" s="208" t="n">
        <f aca="false">'4'!G12</f>
        <v>0</v>
      </c>
      <c r="AE15" s="208" t="n">
        <f aca="false">'5'!G12</f>
        <v>0</v>
      </c>
      <c r="AF15" s="208" t="n">
        <f aca="false">'6'!G12</f>
        <v>1658.99</v>
      </c>
      <c r="AG15" s="208" t="n">
        <f aca="false">'7'!H12</f>
        <v>0</v>
      </c>
      <c r="AH15" s="208" t="n">
        <f aca="false">'8'!H12</f>
        <v>728.87</v>
      </c>
      <c r="AI15" s="208" t="n">
        <f aca="false">'9'!H12</f>
        <v>0</v>
      </c>
      <c r="AJ15" s="208" t="n">
        <f aca="false">'10'!H12</f>
        <v>0</v>
      </c>
      <c r="AK15" s="208" t="n">
        <f aca="false">'11'!H12</f>
        <v>0</v>
      </c>
      <c r="AL15" s="208" t="n">
        <f aca="false">'12'!H12</f>
        <v>0</v>
      </c>
      <c r="AN15" s="94" t="s">
        <v>230</v>
      </c>
    </row>
    <row r="16" customFormat="false" ht="15" hidden="false" customHeight="true" outlineLevel="0" collapsed="false">
      <c r="A16" s="94" t="str">
        <f aca="false">'1'!C13</f>
        <v>חנויות נעליים</v>
      </c>
      <c r="B16" s="94" t="s">
        <v>229</v>
      </c>
      <c r="C16" s="208" t="n">
        <v>0</v>
      </c>
      <c r="D16" s="208" t="n">
        <v>0</v>
      </c>
      <c r="E16" s="208" t="n">
        <v>0</v>
      </c>
      <c r="F16" s="208" t="n">
        <v>0</v>
      </c>
      <c r="G16" s="208" t="n">
        <v>1597.46</v>
      </c>
      <c r="H16" s="208" t="n">
        <v>0</v>
      </c>
      <c r="I16" s="208" t="n">
        <v>0</v>
      </c>
      <c r="J16" s="208" t="n">
        <v>0</v>
      </c>
      <c r="K16" s="208" t="n">
        <v>0</v>
      </c>
      <c r="L16" s="208" t="n">
        <v>0</v>
      </c>
      <c r="M16" s="208" t="n">
        <v>0</v>
      </c>
      <c r="N16" s="208" t="n">
        <v>-14.28</v>
      </c>
      <c r="O16" s="208" t="n">
        <v>0</v>
      </c>
      <c r="P16" s="208" t="n">
        <v>0</v>
      </c>
      <c r="Q16" s="208" t="n">
        <v>0</v>
      </c>
      <c r="R16" s="208" t="n">
        <v>0</v>
      </c>
      <c r="S16" s="208" t="n">
        <v>0</v>
      </c>
      <c r="T16" s="208" t="n">
        <v>0</v>
      </c>
      <c r="U16" s="208" t="n">
        <v>0</v>
      </c>
      <c r="V16" s="208" t="n">
        <v>0</v>
      </c>
      <c r="W16" s="208" t="n">
        <v>0</v>
      </c>
      <c r="X16" s="208" t="n">
        <v>514.2</v>
      </c>
      <c r="Y16" s="208" t="n">
        <v>0</v>
      </c>
      <c r="Z16" s="208" t="n">
        <v>0</v>
      </c>
      <c r="AA16" s="208" t="n">
        <f aca="false">'1'!G13</f>
        <v>0</v>
      </c>
      <c r="AB16" s="208" t="n">
        <f aca="false">'2'!G13</f>
        <v>0</v>
      </c>
      <c r="AC16" s="208" t="n">
        <f aca="false">'3'!G13</f>
        <v>0</v>
      </c>
      <c r="AD16" s="208" t="n">
        <f aca="false">'4'!G13</f>
        <v>0</v>
      </c>
      <c r="AE16" s="208" t="n">
        <f aca="false">'5'!G13</f>
        <v>1896.82</v>
      </c>
      <c r="AF16" s="208" t="n">
        <f aca="false">'6'!G13</f>
        <v>0</v>
      </c>
      <c r="AG16" s="208" t="n">
        <f aca="false">'7'!H13</f>
        <v>0</v>
      </c>
      <c r="AH16" s="208" t="n">
        <f aca="false">'8'!H13</f>
        <v>0</v>
      </c>
      <c r="AI16" s="208" t="n">
        <f aca="false">'9'!H13</f>
        <v>0</v>
      </c>
      <c r="AJ16" s="208" t="n">
        <f aca="false">'10'!H13</f>
        <v>0</v>
      </c>
      <c r="AK16" s="208" t="n">
        <f aca="false">'11'!H13</f>
        <v>0</v>
      </c>
      <c r="AL16" s="208" t="n">
        <f aca="false">'12'!H13</f>
        <v>0</v>
      </c>
    </row>
    <row r="17" customFormat="false" ht="15" hidden="false" customHeight="true" outlineLevel="0" collapsed="false">
      <c r="A17" s="94" t="str">
        <f aca="false">'1'!C14</f>
        <v>בתי חולים ושרות</v>
      </c>
      <c r="B17" s="94" t="s">
        <v>229</v>
      </c>
      <c r="C17" s="208" t="n">
        <v>0</v>
      </c>
      <c r="D17" s="208" t="n">
        <v>0</v>
      </c>
      <c r="E17" s="208" t="n">
        <v>1275.21</v>
      </c>
      <c r="F17" s="208" t="n">
        <v>0</v>
      </c>
      <c r="G17" s="208" t="n">
        <v>0</v>
      </c>
      <c r="H17" s="208" t="n">
        <v>4579.64</v>
      </c>
      <c r="I17" s="208" t="n">
        <v>0</v>
      </c>
      <c r="J17" s="208" t="n">
        <v>0</v>
      </c>
      <c r="K17" s="208" t="n">
        <v>0</v>
      </c>
      <c r="L17" s="208" t="n">
        <v>507.08</v>
      </c>
      <c r="M17" s="208" t="n">
        <v>695.57</v>
      </c>
      <c r="N17" s="208" t="n">
        <v>2520</v>
      </c>
      <c r="O17" s="208" t="n">
        <v>0</v>
      </c>
      <c r="P17" s="208" t="n">
        <v>11067.51</v>
      </c>
      <c r="Q17" s="208" t="n">
        <v>0</v>
      </c>
      <c r="R17" s="208" t="n">
        <v>0</v>
      </c>
      <c r="S17" s="208" t="n">
        <v>0</v>
      </c>
      <c r="T17" s="208" t="n">
        <v>0</v>
      </c>
      <c r="U17" s="208" t="n">
        <v>651.15</v>
      </c>
      <c r="V17" s="208" t="n">
        <v>0</v>
      </c>
      <c r="W17" s="208" t="n">
        <v>0</v>
      </c>
      <c r="X17" s="208" t="n">
        <v>0</v>
      </c>
      <c r="Y17" s="208" t="n">
        <v>0</v>
      </c>
      <c r="Z17" s="208" t="n">
        <v>1813.57</v>
      </c>
      <c r="AA17" s="208" t="n">
        <f aca="false">'1'!G14</f>
        <v>2523.6</v>
      </c>
      <c r="AB17" s="208" t="n">
        <f aca="false">'2'!G14</f>
        <v>947.38</v>
      </c>
      <c r="AC17" s="208" t="n">
        <f aca="false">'3'!G14</f>
        <v>0</v>
      </c>
      <c r="AD17" s="208" t="n">
        <f aca="false">'4'!G14</f>
        <v>847.74</v>
      </c>
      <c r="AE17" s="208" t="n">
        <f aca="false">'5'!G14</f>
        <v>3430</v>
      </c>
      <c r="AF17" s="208" t="n">
        <f aca="false">'6'!G14</f>
        <v>0</v>
      </c>
      <c r="AG17" s="208" t="n">
        <f aca="false">'7'!H14</f>
        <v>478.2</v>
      </c>
      <c r="AH17" s="208" t="n">
        <f aca="false">'8'!H14</f>
        <v>0</v>
      </c>
      <c r="AI17" s="208" t="n">
        <f aca="false">'9'!H14</f>
        <v>6726.56</v>
      </c>
      <c r="AJ17" s="208" t="n">
        <f aca="false">'10'!H14</f>
        <v>0</v>
      </c>
      <c r="AK17" s="208" t="n">
        <f aca="false">'11'!H14</f>
        <v>0</v>
      </c>
      <c r="AL17" s="208" t="n">
        <f aca="false">'12'!H14</f>
        <v>0</v>
      </c>
    </row>
    <row r="18" customFormat="false" ht="15" hidden="false" customHeight="true" outlineLevel="0" collapsed="false">
      <c r="A18" s="94" t="str">
        <f aca="false">'1'!C15</f>
        <v>מכוני פיזיותרפיה</v>
      </c>
      <c r="B18" s="94" t="s">
        <v>229</v>
      </c>
      <c r="C18" s="208" t="n">
        <v>4135.49</v>
      </c>
      <c r="D18" s="208" t="n">
        <v>8592.99</v>
      </c>
      <c r="E18" s="208" t="n">
        <v>7451.5</v>
      </c>
      <c r="F18" s="208" t="n">
        <v>3314.43</v>
      </c>
      <c r="G18" s="208" t="n">
        <v>3187.34</v>
      </c>
      <c r="H18" s="208" t="n">
        <v>5235.63</v>
      </c>
      <c r="I18" s="208" t="n">
        <v>16671.18</v>
      </c>
      <c r="J18" s="208" t="n">
        <v>6797.75</v>
      </c>
      <c r="K18" s="208" t="n">
        <v>5902.85</v>
      </c>
      <c r="L18" s="208" t="n">
        <v>2059.32</v>
      </c>
      <c r="M18" s="208" t="n">
        <v>5017.43</v>
      </c>
      <c r="N18" s="208" t="n">
        <v>4549.9</v>
      </c>
      <c r="O18" s="208" t="n">
        <v>15213.91</v>
      </c>
      <c r="P18" s="208" t="n">
        <v>12501.56</v>
      </c>
      <c r="Q18" s="208" t="n">
        <v>2138.43</v>
      </c>
      <c r="R18" s="208" t="n">
        <v>5898.37</v>
      </c>
      <c r="S18" s="208" t="n">
        <v>707.660000000001</v>
      </c>
      <c r="T18" s="208" t="n">
        <v>17697.58</v>
      </c>
      <c r="U18" s="208" t="n">
        <v>7828.72</v>
      </c>
      <c r="V18" s="208" t="n">
        <v>5704.97</v>
      </c>
      <c r="W18" s="208" t="n">
        <v>9679.47</v>
      </c>
      <c r="X18" s="208" t="n">
        <v>4038.81</v>
      </c>
      <c r="Y18" s="208" t="n">
        <v>12930.62</v>
      </c>
      <c r="Z18" s="208" t="n">
        <v>361.5</v>
      </c>
      <c r="AA18" s="208" t="n">
        <f aca="false">'1'!G15</f>
        <v>11467.92</v>
      </c>
      <c r="AB18" s="208" t="n">
        <f aca="false">'2'!G15</f>
        <v>15269.72</v>
      </c>
      <c r="AC18" s="208" t="n">
        <f aca="false">'3'!G15</f>
        <v>6672.87</v>
      </c>
      <c r="AD18" s="208" t="n">
        <f aca="false">'4'!G15</f>
        <v>33906.96</v>
      </c>
      <c r="AE18" s="208" t="n">
        <f aca="false">'5'!G15</f>
        <v>6150.22</v>
      </c>
      <c r="AF18" s="208" t="n">
        <f aca="false">'6'!G15</f>
        <v>15643.41</v>
      </c>
      <c r="AG18" s="208" t="n">
        <f aca="false">'7'!H15</f>
        <v>10025.73</v>
      </c>
      <c r="AH18" s="208" t="n">
        <f aca="false">'8'!H15</f>
        <v>10118.69</v>
      </c>
      <c r="AI18" s="208" t="n">
        <f aca="false">'9'!H15</f>
        <v>9421.74</v>
      </c>
      <c r="AJ18" s="208" t="n">
        <f aca="false">'10'!H15</f>
        <v>0</v>
      </c>
      <c r="AK18" s="208" t="n">
        <f aca="false">'11'!H15</f>
        <v>0</v>
      </c>
      <c r="AL18" s="208" t="n">
        <f aca="false">'12'!H15</f>
        <v>0</v>
      </c>
    </row>
    <row r="19" customFormat="false" ht="15" hidden="false" customHeight="true" outlineLevel="0" collapsed="false">
      <c r="A19" s="94" t="str">
        <f aca="false">'1'!C17</f>
        <v>לקוחות אינטרנט</v>
      </c>
      <c r="B19" s="94" t="s">
        <v>229</v>
      </c>
      <c r="C19" s="208" t="n">
        <v>42663.04</v>
      </c>
      <c r="D19" s="208" t="n">
        <v>40630.42</v>
      </c>
      <c r="E19" s="208" t="n">
        <v>45122.89</v>
      </c>
      <c r="F19" s="208" t="n">
        <v>43476.43</v>
      </c>
      <c r="G19" s="208" t="n">
        <v>49304.7</v>
      </c>
      <c r="H19" s="208" t="n">
        <v>52569.54</v>
      </c>
      <c r="I19" s="208" t="n">
        <v>56033.8100000001</v>
      </c>
      <c r="J19" s="208" t="n">
        <v>43626.89</v>
      </c>
      <c r="K19" s="208" t="n">
        <v>56193.1900000001</v>
      </c>
      <c r="L19" s="208" t="n">
        <v>71675.5700000002</v>
      </c>
      <c r="M19" s="208" t="n">
        <v>87038.7499999997</v>
      </c>
      <c r="N19" s="208" t="n">
        <v>95223.2699999995</v>
      </c>
      <c r="O19" s="208" t="n">
        <v>92988.1699999996</v>
      </c>
      <c r="P19" s="208" t="n">
        <v>97231.1799999998</v>
      </c>
      <c r="Q19" s="208" t="n">
        <v>98819.24</v>
      </c>
      <c r="R19" s="208" t="n">
        <v>96447.3100000002</v>
      </c>
      <c r="S19" s="208" t="n">
        <v>99302.9500000002</v>
      </c>
      <c r="T19" s="208" t="n">
        <v>128892.76</v>
      </c>
      <c r="U19" s="208" t="n">
        <v>163496.619999998</v>
      </c>
      <c r="V19" s="208" t="n">
        <v>136844.33</v>
      </c>
      <c r="W19" s="208" t="n">
        <v>143120.649999998</v>
      </c>
      <c r="X19" s="208" t="n">
        <v>136200.54</v>
      </c>
      <c r="Y19" s="208" t="n">
        <v>249690.080000002</v>
      </c>
      <c r="Z19" s="208" t="n">
        <v>213224.459999998</v>
      </c>
      <c r="AA19" s="208" t="n">
        <f aca="false">'1'!G17</f>
        <v>212354.119999999</v>
      </c>
      <c r="AB19" s="208" t="n">
        <f aca="false">'2'!G17</f>
        <v>236431.199999999</v>
      </c>
      <c r="AC19" s="208" t="n">
        <f aca="false">'3'!G17</f>
        <v>409497.070000013</v>
      </c>
      <c r="AD19" s="208" t="n">
        <f aca="false">'4'!G17</f>
        <v>544858.410000022</v>
      </c>
      <c r="AE19" s="208" t="n">
        <f aca="false">'5'!G17</f>
        <v>404699.340000001</v>
      </c>
      <c r="AF19" s="208" t="n">
        <f aca="false">'6'!G17</f>
        <v>423398.059999998</v>
      </c>
      <c r="AG19" s="208" t="n">
        <f aca="false">'7'!H17</f>
        <v>398018.329999997</v>
      </c>
      <c r="AH19" s="208" t="n">
        <f aca="false">'8'!H17</f>
        <v>391167.74</v>
      </c>
      <c r="AI19" s="208" t="n">
        <f aca="false">'9'!H17</f>
        <v>347579.04</v>
      </c>
      <c r="AJ19" s="208" t="n">
        <f aca="false">'10'!H17</f>
        <v>0</v>
      </c>
      <c r="AK19" s="208" t="n">
        <f aca="false">'11'!H17</f>
        <v>0</v>
      </c>
      <c r="AL19" s="208" t="n">
        <f aca="false">'12'!H17</f>
        <v>0</v>
      </c>
    </row>
    <row r="20" customFormat="false" ht="15" hidden="false" customHeight="true" outlineLevel="0" collapsed="false">
      <c r="A20" s="94" t="str">
        <f aca="false">'1'!C18</f>
        <v>סופר פארם מרקט פלייס</v>
      </c>
      <c r="B20" s="94" t="s">
        <v>229</v>
      </c>
      <c r="C20" s="208" t="n">
        <v>1654.88</v>
      </c>
      <c r="D20" s="208" t="n">
        <v>2455.66</v>
      </c>
      <c r="E20" s="208" t="n">
        <v>2233.52</v>
      </c>
      <c r="F20" s="208" t="n">
        <v>2046.43</v>
      </c>
      <c r="G20" s="208" t="n">
        <v>2364.29</v>
      </c>
      <c r="H20" s="208" t="n">
        <v>5374.81</v>
      </c>
      <c r="I20" s="208" t="n">
        <v>1788.03</v>
      </c>
      <c r="J20" s="208" t="n">
        <v>4027.72</v>
      </c>
      <c r="K20" s="208" t="n">
        <v>3358.59</v>
      </c>
      <c r="L20" s="208" t="n">
        <v>3795.33</v>
      </c>
      <c r="M20" s="208" t="n">
        <v>3533.44</v>
      </c>
      <c r="N20" s="208" t="n">
        <v>3126.19</v>
      </c>
      <c r="O20" s="208" t="n">
        <v>2032.3</v>
      </c>
      <c r="P20" s="208" t="n">
        <v>3188.82</v>
      </c>
      <c r="Q20" s="208" t="n">
        <v>3577.56</v>
      </c>
      <c r="R20" s="208" t="n">
        <v>2606.4</v>
      </c>
      <c r="S20" s="208" t="n">
        <v>1491.14</v>
      </c>
      <c r="T20" s="208" t="n">
        <v>4432.93</v>
      </c>
      <c r="U20" s="208" t="n">
        <v>1318.12</v>
      </c>
      <c r="V20" s="208" t="n">
        <v>2497.52</v>
      </c>
      <c r="W20" s="208" t="n">
        <v>1798.35</v>
      </c>
      <c r="X20" s="208" t="n">
        <v>1762.26</v>
      </c>
      <c r="Y20" s="208" t="n">
        <v>1058.88</v>
      </c>
      <c r="Z20" s="208" t="n">
        <v>1561.46</v>
      </c>
      <c r="AA20" s="208" t="n">
        <f aca="false">'1'!G18</f>
        <v>1274.4</v>
      </c>
      <c r="AB20" s="208" t="n">
        <f aca="false">'2'!G18</f>
        <v>1747</v>
      </c>
      <c r="AC20" s="208" t="n">
        <f aca="false">'3'!G18</f>
        <v>2065.63</v>
      </c>
      <c r="AD20" s="208" t="n">
        <f aca="false">'4'!G18</f>
        <v>1302.94</v>
      </c>
      <c r="AE20" s="208" t="n">
        <f aca="false">'5'!G18</f>
        <v>2347.76</v>
      </c>
      <c r="AF20" s="208" t="n">
        <f aca="false">'6'!G18</f>
        <v>1069.29</v>
      </c>
      <c r="AG20" s="208" t="n">
        <f aca="false">'7'!H18</f>
        <v>1741.74</v>
      </c>
      <c r="AH20" s="208" t="n">
        <f aca="false">'8'!H18</f>
        <v>1484.7</v>
      </c>
      <c r="AI20" s="208" t="n">
        <f aca="false">'9'!H18</f>
        <v>547.02</v>
      </c>
      <c r="AJ20" s="208" t="n">
        <f aca="false">'10'!H18</f>
        <v>0</v>
      </c>
      <c r="AK20" s="208" t="n">
        <f aca="false">'11'!H18</f>
        <v>0</v>
      </c>
      <c r="AL20" s="208" t="n">
        <f aca="false">'12'!H18</f>
        <v>0</v>
      </c>
    </row>
    <row r="21" customFormat="false" ht="15" hidden="false" customHeight="true" outlineLevel="0" collapsed="false">
      <c r="A21" s="94" t="str">
        <f aca="false">'1'!C20</f>
        <v>AMAZON</v>
      </c>
      <c r="B21" s="94" t="s">
        <v>231</v>
      </c>
      <c r="C21" s="208" t="n">
        <v>391520.95</v>
      </c>
      <c r="D21" s="208" t="n">
        <v>377981.61</v>
      </c>
      <c r="E21" s="208" t="n">
        <v>334336.04</v>
      </c>
      <c r="F21" s="208" t="n">
        <v>264520.55</v>
      </c>
      <c r="G21" s="208" t="n">
        <v>318316.8</v>
      </c>
      <c r="H21" s="208" t="n">
        <v>371311.12</v>
      </c>
      <c r="I21" s="208" t="n">
        <v>316462.25</v>
      </c>
      <c r="J21" s="208" t="n">
        <v>273201.5</v>
      </c>
      <c r="K21" s="208" t="n">
        <v>258929.86</v>
      </c>
      <c r="L21" s="208" t="n">
        <v>234970.3</v>
      </c>
      <c r="M21" s="208" t="n">
        <v>169336.07</v>
      </c>
      <c r="N21" s="208" t="n">
        <v>190607.48</v>
      </c>
      <c r="O21" s="208" t="n">
        <v>187395.64</v>
      </c>
      <c r="P21" s="208" t="n">
        <v>188313.47</v>
      </c>
      <c r="Q21" s="208" t="n">
        <v>239973.2</v>
      </c>
      <c r="R21" s="208" t="n">
        <v>238431.78</v>
      </c>
      <c r="S21" s="208" t="n">
        <v>252540.02</v>
      </c>
      <c r="T21" s="208" t="n">
        <v>68328.76</v>
      </c>
      <c r="U21" s="208" t="n">
        <v>353503.85</v>
      </c>
      <c r="V21" s="208" t="n">
        <v>252496.44</v>
      </c>
      <c r="W21" s="208" t="n">
        <v>247434.35</v>
      </c>
      <c r="X21" s="208" t="n">
        <v>223589.21</v>
      </c>
      <c r="Y21" s="208" t="n">
        <v>271266.06</v>
      </c>
      <c r="Z21" s="208" t="n">
        <v>182118.44</v>
      </c>
      <c r="AA21" s="208" t="n">
        <f aca="false">'1'!G20</f>
        <v>178026.69</v>
      </c>
      <c r="AB21" s="208" t="n">
        <f aca="false">'2'!G20</f>
        <v>194189.2</v>
      </c>
      <c r="AC21" s="208" t="n">
        <f aca="false">'3'!G20</f>
        <v>213959.66</v>
      </c>
      <c r="AD21" s="208" t="n">
        <f aca="false">'4'!G20</f>
        <v>214988.69</v>
      </c>
      <c r="AE21" s="208" t="n">
        <f aca="false">'5'!G20</f>
        <v>224163.96</v>
      </c>
      <c r="AF21" s="208" t="n">
        <f aca="false">'6'!G20</f>
        <v>229029.21</v>
      </c>
      <c r="AG21" s="208" t="n">
        <f aca="false">'7'!H20</f>
        <v>223994.55</v>
      </c>
      <c r="AH21" s="208" t="n">
        <f aca="false">'8'!H20</f>
        <v>202592.25</v>
      </c>
      <c r="AI21" s="208" t="n">
        <f aca="false">'9'!H20</f>
        <v>198718.53</v>
      </c>
      <c r="AJ21" s="208" t="n">
        <f aca="false">'10'!H20</f>
        <v>0</v>
      </c>
      <c r="AK21" s="208" t="n">
        <f aca="false">'11'!H20</f>
        <v>0</v>
      </c>
      <c r="AL21" s="208" t="n">
        <f aca="false">'12'!H20</f>
        <v>0</v>
      </c>
    </row>
    <row r="22" customFormat="false" ht="15" hidden="false" customHeight="true" outlineLevel="0" collapsed="false">
      <c r="A22" s="94" t="str">
        <f aca="false">'1'!C21</f>
        <v>SUPER PHARM POLAND</v>
      </c>
      <c r="B22" s="94" t="s">
        <v>231</v>
      </c>
      <c r="C22" s="208" t="n">
        <v>203.73</v>
      </c>
      <c r="D22" s="208" t="n">
        <v>255841.44</v>
      </c>
      <c r="E22" s="208" t="n">
        <v>0</v>
      </c>
      <c r="F22" s="208" t="n">
        <v>184350.47</v>
      </c>
      <c r="G22" s="208" t="n">
        <v>0</v>
      </c>
      <c r="H22" s="208" t="n">
        <v>0</v>
      </c>
      <c r="I22" s="208" t="n">
        <v>143527.77</v>
      </c>
      <c r="J22" s="208" t="n">
        <v>-2422.68</v>
      </c>
      <c r="K22" s="208" t="n">
        <v>159908.54</v>
      </c>
      <c r="L22" s="208" t="n">
        <v>0</v>
      </c>
      <c r="M22" s="208" t="n">
        <v>0</v>
      </c>
      <c r="N22" s="208" t="n">
        <v>137974.18</v>
      </c>
      <c r="O22" s="208" t="n">
        <v>0</v>
      </c>
      <c r="P22" s="208" t="n">
        <v>213082.56</v>
      </c>
      <c r="Q22" s="208" t="n">
        <v>0</v>
      </c>
      <c r="R22" s="208" t="n">
        <v>217182.24</v>
      </c>
      <c r="S22" s="208" t="n">
        <v>0</v>
      </c>
      <c r="T22" s="208" t="n">
        <v>0</v>
      </c>
      <c r="U22" s="208" t="n">
        <v>187405.66</v>
      </c>
      <c r="V22" s="208" t="n">
        <v>0</v>
      </c>
      <c r="W22" s="208" t="n">
        <v>0</v>
      </c>
      <c r="X22" s="208" t="n">
        <v>140125.45</v>
      </c>
      <c r="Y22" s="208" t="n">
        <v>0</v>
      </c>
      <c r="Z22" s="208" t="n">
        <v>144741.73</v>
      </c>
      <c r="AA22" s="208" t="n">
        <f aca="false">'1'!G21</f>
        <v>0</v>
      </c>
      <c r="AB22" s="208" t="n">
        <f aca="false">'2'!G21</f>
        <v>137198.2</v>
      </c>
      <c r="AC22" s="208" t="n">
        <f aca="false">'3'!G21</f>
        <v>0</v>
      </c>
      <c r="AD22" s="208" t="n">
        <f aca="false">'4'!G21</f>
        <v>0</v>
      </c>
      <c r="AE22" s="208" t="n">
        <f aca="false">'5'!G21</f>
        <v>204882.82</v>
      </c>
      <c r="AF22" s="208" t="n">
        <f aca="false">'6'!G21</f>
        <v>0</v>
      </c>
      <c r="AG22" s="208" t="n">
        <f aca="false">'7'!H21</f>
        <v>0</v>
      </c>
      <c r="AH22" s="208" t="n">
        <f aca="false">'8'!H21</f>
        <v>132101.57</v>
      </c>
      <c r="AI22" s="208" t="n">
        <f aca="false">'9'!H21</f>
        <v>0</v>
      </c>
      <c r="AJ22" s="208" t="n">
        <f aca="false">'10'!H21</f>
        <v>0</v>
      </c>
      <c r="AK22" s="208" t="n">
        <f aca="false">'11'!H21</f>
        <v>0</v>
      </c>
      <c r="AL22" s="208" t="n">
        <f aca="false">'12'!H21</f>
        <v>0</v>
      </c>
    </row>
    <row r="23" customFormat="false" ht="15" hidden="false" customHeight="true" outlineLevel="0" collapsed="false">
      <c r="A23" s="94" t="str">
        <f aca="false">'1'!C22</f>
        <v>ORTHO- PARTNER AG.</v>
      </c>
      <c r="B23" s="94" t="s">
        <v>231</v>
      </c>
      <c r="C23" s="208" t="n">
        <v>49158.59</v>
      </c>
      <c r="D23" s="208" t="n">
        <v>73976.74</v>
      </c>
      <c r="E23" s="208" t="n">
        <v>11470.17</v>
      </c>
      <c r="F23" s="208" t="n">
        <v>0</v>
      </c>
      <c r="G23" s="208" t="n">
        <v>169505.88</v>
      </c>
      <c r="H23" s="208" t="n">
        <v>14810.7</v>
      </c>
      <c r="I23" s="208" t="n">
        <v>61466.82</v>
      </c>
      <c r="J23" s="208" t="n">
        <v>16110.54</v>
      </c>
      <c r="K23" s="208" t="n">
        <v>16422.81</v>
      </c>
      <c r="L23" s="208" t="n">
        <v>92018.45</v>
      </c>
      <c r="M23" s="208" t="n">
        <v>127411.06</v>
      </c>
      <c r="N23" s="208" t="n">
        <v>1400.99</v>
      </c>
      <c r="O23" s="208" t="n">
        <v>18517.61</v>
      </c>
      <c r="P23" s="208" t="n">
        <v>35605.91</v>
      </c>
      <c r="Q23" s="208" t="n">
        <v>26449.51</v>
      </c>
      <c r="R23" s="208" t="n">
        <v>0</v>
      </c>
      <c r="S23" s="208" t="n">
        <v>1513.3</v>
      </c>
      <c r="T23" s="208" t="n">
        <v>0</v>
      </c>
      <c r="U23" s="208" t="n">
        <v>194396.85</v>
      </c>
      <c r="V23" s="208" t="n">
        <v>64506.58</v>
      </c>
      <c r="W23" s="208" t="n">
        <v>10281.02</v>
      </c>
      <c r="X23" s="208" t="n">
        <v>596.73</v>
      </c>
      <c r="Y23" s="208" t="n">
        <v>53932.22</v>
      </c>
      <c r="Z23" s="208" t="n">
        <v>121.12</v>
      </c>
      <c r="AA23" s="208" t="n">
        <f aca="false">'1'!G22</f>
        <v>124895.37</v>
      </c>
      <c r="AB23" s="208" t="n">
        <f aca="false">'2'!G22</f>
        <v>17835.42</v>
      </c>
      <c r="AC23" s="208" t="n">
        <f aca="false">'3'!G22</f>
        <v>6418.64</v>
      </c>
      <c r="AD23" s="208" t="n">
        <f aca="false">'4'!G22</f>
        <v>123835.02</v>
      </c>
      <c r="AE23" s="208" t="n">
        <f aca="false">'5'!G22</f>
        <v>5036.8</v>
      </c>
      <c r="AF23" s="208" t="n">
        <f aca="false">'6'!G22</f>
        <v>55255.27</v>
      </c>
      <c r="AG23" s="208" t="n">
        <f aca="false">'7'!H22</f>
        <v>0</v>
      </c>
      <c r="AH23" s="208" t="n">
        <f aca="false">'8'!H22</f>
        <v>10986.57</v>
      </c>
      <c r="AI23" s="208" t="n">
        <f aca="false">'9'!H22</f>
        <v>0</v>
      </c>
      <c r="AJ23" s="208" t="n">
        <f aca="false">'10'!H22</f>
        <v>0</v>
      </c>
      <c r="AK23" s="208" t="n">
        <f aca="false">'11'!H22</f>
        <v>0</v>
      </c>
      <c r="AL23" s="208" t="n">
        <f aca="false">'12'!H22</f>
        <v>0</v>
      </c>
    </row>
    <row r="24" customFormat="false" ht="15" hidden="false" customHeight="true" outlineLevel="0" collapsed="false">
      <c r="A24" s="94" t="str">
        <f aca="false">'1'!C23</f>
        <v>SANAFLEX ANATOMIC</v>
      </c>
      <c r="B24" s="94" t="s">
        <v>231</v>
      </c>
      <c r="C24" s="208" t="n">
        <v>68604.55</v>
      </c>
      <c r="D24" s="208" t="n">
        <v>0</v>
      </c>
      <c r="E24" s="208" t="n">
        <v>84607.51</v>
      </c>
      <c r="F24" s="208" t="n">
        <v>0</v>
      </c>
      <c r="G24" s="208" t="n">
        <v>0</v>
      </c>
      <c r="H24" s="208" t="n">
        <v>83128.56</v>
      </c>
      <c r="I24" s="208" t="n">
        <v>90587.54</v>
      </c>
      <c r="J24" s="208" t="n">
        <v>0</v>
      </c>
      <c r="K24" s="208" t="n">
        <v>-4343.69</v>
      </c>
      <c r="L24" s="208" t="n">
        <v>86858.25</v>
      </c>
      <c r="M24" s="208" t="n">
        <v>0</v>
      </c>
      <c r="N24" s="208" t="n">
        <v>80366.28</v>
      </c>
      <c r="O24" s="208" t="n">
        <v>0</v>
      </c>
      <c r="P24" s="208" t="n">
        <v>85563.25</v>
      </c>
      <c r="Q24" s="208" t="n">
        <v>0</v>
      </c>
      <c r="R24" s="208" t="n">
        <v>88706.82</v>
      </c>
      <c r="S24" s="208" t="n">
        <v>0</v>
      </c>
      <c r="T24" s="208" t="n">
        <v>0</v>
      </c>
      <c r="U24" s="208" t="n">
        <v>87907.48</v>
      </c>
      <c r="V24" s="208" t="n">
        <v>68497.3</v>
      </c>
      <c r="W24" s="208" t="n">
        <v>0</v>
      </c>
      <c r="X24" s="208" t="n">
        <v>0</v>
      </c>
      <c r="Y24" s="208" t="n">
        <v>83397.79</v>
      </c>
      <c r="Z24" s="208" t="n">
        <v>0</v>
      </c>
      <c r="AA24" s="208" t="n">
        <f aca="false">'1'!G23</f>
        <v>67158.97</v>
      </c>
      <c r="AB24" s="208" t="n">
        <f aca="false">'2'!G23</f>
        <v>0</v>
      </c>
      <c r="AC24" s="208" t="n">
        <f aca="false">'3'!G23</f>
        <v>0</v>
      </c>
      <c r="AD24" s="208" t="n">
        <f aca="false">'4'!G23</f>
        <v>92404.96</v>
      </c>
      <c r="AE24" s="208" t="n">
        <f aca="false">'5'!G23</f>
        <v>0</v>
      </c>
      <c r="AF24" s="208" t="n">
        <f aca="false">'6'!G23</f>
        <v>147489.2</v>
      </c>
      <c r="AG24" s="208" t="n">
        <f aca="false">'7'!H23</f>
        <v>0</v>
      </c>
      <c r="AH24" s="208" t="n">
        <f aca="false">'8'!H23</f>
        <v>0</v>
      </c>
      <c r="AI24" s="208" t="n">
        <f aca="false">'9'!H23</f>
        <v>51223.23</v>
      </c>
      <c r="AJ24" s="208" t="n">
        <f aca="false">'10'!H23</f>
        <v>0</v>
      </c>
      <c r="AK24" s="208" t="n">
        <f aca="false">'11'!H23</f>
        <v>0</v>
      </c>
      <c r="AL24" s="208" t="n">
        <f aca="false">'12'!H23</f>
        <v>0</v>
      </c>
    </row>
    <row r="25" customFormat="false" ht="15" hidden="false" customHeight="true" outlineLevel="0" collapsed="false">
      <c r="A25" s="94" t="str">
        <f aca="false">'1'!C24</f>
        <v>HEALTH CARE PROD. GMBH</v>
      </c>
      <c r="B25" s="94" t="s">
        <v>231</v>
      </c>
      <c r="C25" s="208" t="n">
        <v>15923.68</v>
      </c>
      <c r="D25" s="208" t="n">
        <v>0</v>
      </c>
      <c r="E25" s="208" t="n">
        <v>16377.13</v>
      </c>
      <c r="F25" s="208" t="n">
        <v>17556.44</v>
      </c>
      <c r="G25" s="208" t="n">
        <v>0</v>
      </c>
      <c r="H25" s="208" t="n">
        <v>14559.92</v>
      </c>
      <c r="I25" s="208" t="n">
        <v>16222.13</v>
      </c>
      <c r="J25" s="208" t="n">
        <v>19066.6</v>
      </c>
      <c r="K25" s="208" t="n">
        <v>11239.03</v>
      </c>
      <c r="L25" s="208" t="n">
        <v>0</v>
      </c>
      <c r="M25" s="208" t="n">
        <v>17813.97</v>
      </c>
      <c r="N25" s="208" t="n">
        <v>0</v>
      </c>
      <c r="O25" s="208" t="n">
        <v>0</v>
      </c>
      <c r="P25" s="208" t="n">
        <v>16335.18</v>
      </c>
      <c r="Q25" s="208" t="n">
        <v>13664.6</v>
      </c>
      <c r="R25" s="208" t="n">
        <v>11888.32</v>
      </c>
      <c r="S25" s="208" t="n">
        <v>0</v>
      </c>
      <c r="T25" s="208" t="n">
        <v>0</v>
      </c>
      <c r="U25" s="208" t="n">
        <v>30796.16</v>
      </c>
      <c r="V25" s="208" t="n">
        <v>18496.39</v>
      </c>
      <c r="W25" s="208" t="n">
        <v>0</v>
      </c>
      <c r="X25" s="208" t="n">
        <v>15474.02</v>
      </c>
      <c r="Y25" s="208" t="n">
        <v>15684.33</v>
      </c>
      <c r="Z25" s="208" t="n">
        <v>0</v>
      </c>
      <c r="AA25" s="208" t="n">
        <f aca="false">'1'!G24</f>
        <v>15774.92</v>
      </c>
      <c r="AB25" s="208" t="n">
        <f aca="false">'2'!G24</f>
        <v>0</v>
      </c>
      <c r="AC25" s="208" t="n">
        <f aca="false">'3'!G24</f>
        <v>29021.19</v>
      </c>
      <c r="AD25" s="208" t="n">
        <f aca="false">'4'!G24</f>
        <v>0</v>
      </c>
      <c r="AE25" s="208" t="n">
        <f aca="false">'5'!G24</f>
        <v>16087.48</v>
      </c>
      <c r="AF25" s="208" t="n">
        <f aca="false">'6'!G24</f>
        <v>15795</v>
      </c>
      <c r="AG25" s="208" t="n">
        <f aca="false">'7'!H24</f>
        <v>19451.36</v>
      </c>
      <c r="AH25" s="208" t="n">
        <f aca="false">'8'!H24</f>
        <v>0</v>
      </c>
      <c r="AI25" s="208" t="n">
        <f aca="false">'9'!H24</f>
        <v>15160.58</v>
      </c>
      <c r="AJ25" s="208" t="n">
        <f aca="false">'10'!H24</f>
        <v>0</v>
      </c>
      <c r="AK25" s="208" t="n">
        <f aca="false">'11'!H24</f>
        <v>0</v>
      </c>
      <c r="AL25" s="208" t="n">
        <f aca="false">'12'!H24</f>
        <v>0</v>
      </c>
    </row>
    <row r="26" customFormat="false" ht="15" hidden="false" customHeight="true" outlineLevel="0" collapsed="false">
      <c r="A26" s="94" t="str">
        <f aca="false">'1'!C25</f>
        <v>ORTHOMED  LTD</v>
      </c>
      <c r="B26" s="94" t="s">
        <v>231</v>
      </c>
      <c r="C26" s="208" t="n">
        <v>50777.76</v>
      </c>
      <c r="D26" s="208" t="n">
        <v>0</v>
      </c>
      <c r="E26" s="208" t="n">
        <v>0</v>
      </c>
      <c r="F26" s="208" t="n">
        <v>0</v>
      </c>
      <c r="G26" s="208" t="n">
        <v>0</v>
      </c>
      <c r="H26" s="208" t="n">
        <v>65362.29</v>
      </c>
      <c r="I26" s="208" t="n">
        <v>0</v>
      </c>
      <c r="J26" s="208" t="n">
        <v>0</v>
      </c>
      <c r="K26" s="208" t="n">
        <v>0</v>
      </c>
      <c r="L26" s="208" t="n">
        <v>0</v>
      </c>
      <c r="M26" s="208" t="n">
        <v>44572.45</v>
      </c>
      <c r="N26" s="208" t="n">
        <v>0</v>
      </c>
      <c r="O26" s="208" t="n">
        <v>0</v>
      </c>
      <c r="P26" s="208" t="n">
        <v>0</v>
      </c>
      <c r="Q26" s="208" t="n">
        <v>42132.93</v>
      </c>
      <c r="R26" s="208" t="n">
        <v>0</v>
      </c>
      <c r="S26" s="208" t="n">
        <v>10766.89</v>
      </c>
      <c r="T26" s="208" t="n">
        <v>0</v>
      </c>
      <c r="U26" s="208" t="n">
        <v>0</v>
      </c>
      <c r="V26" s="208" t="n">
        <v>0</v>
      </c>
      <c r="W26" s="208" t="n">
        <v>0</v>
      </c>
      <c r="X26" s="208" t="n">
        <v>0</v>
      </c>
      <c r="Y26" s="208" t="n">
        <v>0</v>
      </c>
      <c r="Z26" s="208" t="n">
        <v>0</v>
      </c>
      <c r="AA26" s="208" t="n">
        <f aca="false">'1'!G25</f>
        <v>0</v>
      </c>
      <c r="AB26" s="208" t="n">
        <f aca="false">'2'!G25</f>
        <v>0</v>
      </c>
      <c r="AC26" s="208" t="n">
        <f aca="false">'3'!G25</f>
        <v>0</v>
      </c>
      <c r="AD26" s="208" t="n">
        <f aca="false">'4'!G25</f>
        <v>0</v>
      </c>
      <c r="AE26" s="208" t="n">
        <f aca="false">'5'!G25</f>
        <v>0</v>
      </c>
      <c r="AF26" s="208" t="n">
        <f aca="false">'6'!G25</f>
        <v>0</v>
      </c>
      <c r="AG26" s="208" t="n">
        <f aca="false">'7'!H25</f>
        <v>0</v>
      </c>
      <c r="AH26" s="208" t="n">
        <f aca="false">'8'!H25</f>
        <v>0</v>
      </c>
      <c r="AI26" s="208" t="n">
        <f aca="false">'9'!H25</f>
        <v>0</v>
      </c>
      <c r="AJ26" s="208" t="n">
        <f aca="false">'10'!H25</f>
        <v>0</v>
      </c>
      <c r="AK26" s="208" t="n">
        <f aca="false">'11'!H25</f>
        <v>0</v>
      </c>
      <c r="AL26" s="208" t="n">
        <f aca="false">'12'!H25</f>
        <v>0</v>
      </c>
    </row>
    <row r="27" customFormat="false" ht="15" hidden="false" customHeight="true" outlineLevel="0" collapsed="false">
      <c r="A27" s="94" t="str">
        <f aca="false">'1'!C26</f>
        <v>SALUS</v>
      </c>
      <c r="B27" s="94" t="s">
        <v>231</v>
      </c>
      <c r="C27" s="208" t="n">
        <v>249206.12</v>
      </c>
      <c r="D27" s="208" t="n">
        <v>0</v>
      </c>
      <c r="E27" s="208" t="n">
        <v>0</v>
      </c>
      <c r="F27" s="208" t="n">
        <v>0</v>
      </c>
      <c r="G27" s="208" t="n">
        <v>0</v>
      </c>
      <c r="H27" s="208" t="n">
        <v>0</v>
      </c>
      <c r="I27" s="208" t="n">
        <v>0</v>
      </c>
      <c r="J27" s="208" t="n">
        <v>0</v>
      </c>
      <c r="K27" s="208" t="n">
        <v>0</v>
      </c>
      <c r="L27" s="208" t="n">
        <v>0</v>
      </c>
      <c r="M27" s="208" t="n">
        <v>0</v>
      </c>
      <c r="N27" s="208" t="n">
        <v>222074.04</v>
      </c>
      <c r="O27" s="208" t="n">
        <v>0</v>
      </c>
      <c r="P27" s="208" t="n">
        <v>0</v>
      </c>
      <c r="Q27" s="208" t="n">
        <v>0</v>
      </c>
      <c r="R27" s="208" t="n">
        <v>0</v>
      </c>
      <c r="S27" s="208" t="n">
        <v>172805.6</v>
      </c>
      <c r="T27" s="208" t="n">
        <v>0.33</v>
      </c>
      <c r="U27" s="208" t="n">
        <v>0</v>
      </c>
      <c r="V27" s="208" t="n">
        <v>0</v>
      </c>
      <c r="W27" s="208" t="n">
        <v>0</v>
      </c>
      <c r="X27" s="208" t="n">
        <v>0</v>
      </c>
      <c r="Y27" s="208" t="n">
        <v>0</v>
      </c>
      <c r="Z27" s="208" t="n">
        <v>146752.62</v>
      </c>
      <c r="AA27" s="208" t="n">
        <f aca="false">'1'!G26</f>
        <v>-1269.06</v>
      </c>
      <c r="AB27" s="208" t="n">
        <f aca="false">'2'!G26</f>
        <v>0</v>
      </c>
      <c r="AC27" s="208" t="n">
        <f aca="false">'3'!G26</f>
        <v>0</v>
      </c>
      <c r="AD27" s="208" t="n">
        <f aca="false">'4'!G26</f>
        <v>165356.86</v>
      </c>
      <c r="AE27" s="208" t="n">
        <f aca="false">'5'!G26</f>
        <v>-19940.33</v>
      </c>
      <c r="AF27" s="208" t="n">
        <f aca="false">'6'!G26</f>
        <v>0</v>
      </c>
      <c r="AG27" s="208" t="n">
        <f aca="false">'7'!H26</f>
        <v>221407.78</v>
      </c>
      <c r="AH27" s="208" t="n">
        <f aca="false">'8'!H26</f>
        <v>0</v>
      </c>
      <c r="AI27" s="208" t="n">
        <f aca="false">'9'!H26</f>
        <v>0</v>
      </c>
      <c r="AJ27" s="208" t="n">
        <f aca="false">'10'!H26</f>
        <v>0</v>
      </c>
      <c r="AK27" s="208" t="n">
        <f aca="false">'11'!H26</f>
        <v>0</v>
      </c>
      <c r="AL27" s="208" t="n">
        <f aca="false">'12'!H26</f>
        <v>0</v>
      </c>
    </row>
    <row r="28" customFormat="false" ht="15" hidden="false" customHeight="true" outlineLevel="0" collapsed="false">
      <c r="A28" s="94" t="str">
        <f aca="false">'1'!C27</f>
        <v>MAX KONNARIS LTD</v>
      </c>
      <c r="B28" s="94" t="s">
        <v>231</v>
      </c>
      <c r="C28" s="208" t="n">
        <v>0</v>
      </c>
      <c r="D28" s="208" t="n">
        <v>23907.35</v>
      </c>
      <c r="E28" s="208" t="n">
        <v>38588.13</v>
      </c>
      <c r="F28" s="208" t="n">
        <v>0</v>
      </c>
      <c r="G28" s="208" t="n">
        <v>-0.48</v>
      </c>
      <c r="H28" s="208" t="n">
        <v>37671.79</v>
      </c>
      <c r="I28" s="208" t="n">
        <v>609.99</v>
      </c>
      <c r="J28" s="208" t="n">
        <v>41467.05</v>
      </c>
      <c r="K28" s="208" t="n">
        <v>0</v>
      </c>
      <c r="L28" s="208" t="n">
        <v>20724.08</v>
      </c>
      <c r="M28" s="208" t="n">
        <v>0</v>
      </c>
      <c r="N28" s="208" t="n">
        <v>0</v>
      </c>
      <c r="O28" s="208" t="n">
        <v>0</v>
      </c>
      <c r="P28" s="208" t="n">
        <v>0</v>
      </c>
      <c r="Q28" s="208" t="n">
        <v>0</v>
      </c>
      <c r="R28" s="208" t="n">
        <v>35240.62</v>
      </c>
      <c r="S28" s="208" t="n">
        <v>0</v>
      </c>
      <c r="T28" s="208" t="n">
        <v>0</v>
      </c>
      <c r="U28" s="208" t="n">
        <v>31010.8</v>
      </c>
      <c r="V28" s="208" t="n">
        <v>0</v>
      </c>
      <c r="W28" s="208" t="n">
        <v>0</v>
      </c>
      <c r="X28" s="208" t="n">
        <v>20604.23</v>
      </c>
      <c r="Y28" s="208" t="n">
        <v>0</v>
      </c>
      <c r="Z28" s="208" t="n">
        <v>0</v>
      </c>
      <c r="AA28" s="208" t="n">
        <f aca="false">'1'!G27</f>
        <v>0</v>
      </c>
      <c r="AB28" s="208" t="n">
        <f aca="false">'2'!G27</f>
        <v>42152.31</v>
      </c>
      <c r="AC28" s="208" t="n">
        <f aca="false">'3'!G27</f>
        <v>0</v>
      </c>
      <c r="AD28" s="208" t="n">
        <f aca="false">'4'!G27</f>
        <v>0</v>
      </c>
      <c r="AE28" s="208" t="n">
        <f aca="false">'5'!G27</f>
        <v>18541.7</v>
      </c>
      <c r="AF28" s="208" t="n">
        <f aca="false">'6'!G27</f>
        <v>0</v>
      </c>
      <c r="AG28" s="208" t="n">
        <f aca="false">'7'!H27</f>
        <v>0</v>
      </c>
      <c r="AH28" s="208" t="n">
        <f aca="false">'8'!H27</f>
        <v>0</v>
      </c>
      <c r="AI28" s="208" t="n">
        <f aca="false">'9'!H27</f>
        <v>0</v>
      </c>
      <c r="AJ28" s="208" t="n">
        <f aca="false">'10'!H27</f>
        <v>0</v>
      </c>
      <c r="AK28" s="208" t="n">
        <f aca="false">'11'!H27</f>
        <v>0</v>
      </c>
      <c r="AL28" s="208" t="n">
        <f aca="false">'12'!H27</f>
        <v>0</v>
      </c>
    </row>
    <row r="29" customFormat="false" ht="15" hidden="false" customHeight="true" outlineLevel="0" collapsed="false">
      <c r="A29" s="94" t="str">
        <f aca="false">'1'!C28</f>
        <v>MEDIPAL COMPANY</v>
      </c>
      <c r="B29" s="94" t="s">
        <v>231</v>
      </c>
      <c r="C29" s="208" t="n">
        <v>0</v>
      </c>
      <c r="D29" s="208" t="n">
        <v>0</v>
      </c>
      <c r="E29" s="208" t="n">
        <v>171813.81</v>
      </c>
      <c r="F29" s="208" t="n">
        <v>0</v>
      </c>
      <c r="G29" s="208" t="n">
        <v>0</v>
      </c>
      <c r="H29" s="208" t="n">
        <v>0</v>
      </c>
      <c r="I29" s="208" t="n">
        <v>0</v>
      </c>
      <c r="J29" s="208" t="n">
        <v>0</v>
      </c>
      <c r="K29" s="208" t="n">
        <v>0</v>
      </c>
      <c r="L29" s="208" t="n">
        <v>0</v>
      </c>
      <c r="M29" s="208" t="n">
        <v>115405.87</v>
      </c>
      <c r="N29" s="208" t="n">
        <v>83394.96</v>
      </c>
      <c r="O29" s="208" t="n">
        <v>0</v>
      </c>
      <c r="P29" s="208" t="n">
        <v>0</v>
      </c>
      <c r="Q29" s="208" t="n">
        <v>0.22</v>
      </c>
      <c r="R29" s="208" t="n">
        <v>0</v>
      </c>
      <c r="S29" s="208" t="n">
        <v>0</v>
      </c>
      <c r="T29" s="208" t="n">
        <v>0</v>
      </c>
      <c r="U29" s="208" t="n">
        <v>0</v>
      </c>
      <c r="V29" s="208" t="n">
        <v>0</v>
      </c>
      <c r="W29" s="208" t="n">
        <v>0</v>
      </c>
      <c r="X29" s="208" t="n">
        <v>0</v>
      </c>
      <c r="Y29" s="208" t="n">
        <v>256771.88</v>
      </c>
      <c r="Z29" s="208" t="n">
        <v>0</v>
      </c>
      <c r="AA29" s="208" t="n">
        <f aca="false">'1'!G28</f>
        <v>0</v>
      </c>
      <c r="AB29" s="208" t="n">
        <f aca="false">'2'!G28</f>
        <v>0</v>
      </c>
      <c r="AC29" s="208" t="n">
        <f aca="false">'3'!G28</f>
        <v>0</v>
      </c>
      <c r="AD29" s="208" t="n">
        <f aca="false">'4'!G28</f>
        <v>0</v>
      </c>
      <c r="AE29" s="208" t="n">
        <f aca="false">'5'!G28</f>
        <v>0</v>
      </c>
      <c r="AF29" s="208" t="n">
        <f aca="false">'6'!G28</f>
        <v>0</v>
      </c>
      <c r="AG29" s="208" t="n">
        <f aca="false">'7'!H28</f>
        <v>0</v>
      </c>
      <c r="AH29" s="208" t="n">
        <f aca="false">'8'!H28</f>
        <v>0</v>
      </c>
      <c r="AI29" s="208" t="n">
        <f aca="false">'9'!H28</f>
        <v>0</v>
      </c>
      <c r="AJ29" s="208" t="n">
        <f aca="false">'10'!H28</f>
        <v>0</v>
      </c>
      <c r="AK29" s="208" t="n">
        <f aca="false">'11'!H28</f>
        <v>0</v>
      </c>
      <c r="AL29" s="208" t="n">
        <f aca="false">'12'!H28</f>
        <v>0</v>
      </c>
    </row>
    <row r="30" customFormat="false" ht="15" hidden="false" customHeight="true" outlineLevel="0" collapsed="false">
      <c r="A30" s="94" t="str">
        <f aca="false">'1'!C29</f>
        <v>ORTOPROFIL PROD. ROMANIA</v>
      </c>
      <c r="B30" s="94" t="s">
        <v>231</v>
      </c>
      <c r="C30" s="208" t="n">
        <v>0</v>
      </c>
      <c r="D30" s="208" t="n">
        <v>49906.61</v>
      </c>
      <c r="E30" s="208" t="n">
        <v>25514.68</v>
      </c>
      <c r="F30" s="208" t="n">
        <v>27828.48</v>
      </c>
      <c r="G30" s="208" t="n">
        <v>31259.76</v>
      </c>
      <c r="H30" s="208" t="n">
        <v>37331.12</v>
      </c>
      <c r="I30" s="208" t="n">
        <v>27604.14</v>
      </c>
      <c r="J30" s="208" t="n">
        <v>21966.81</v>
      </c>
      <c r="K30" s="208" t="n">
        <v>64828.58</v>
      </c>
      <c r="L30" s="208" t="n">
        <v>0</v>
      </c>
      <c r="M30" s="208" t="n">
        <v>62633.86</v>
      </c>
      <c r="N30" s="208" t="n">
        <v>0</v>
      </c>
      <c r="O30" s="208" t="n">
        <v>0</v>
      </c>
      <c r="P30" s="208" t="n">
        <v>49474.45</v>
      </c>
      <c r="Q30" s="208" t="n">
        <v>43871.72</v>
      </c>
      <c r="R30" s="208" t="n">
        <v>38170.88</v>
      </c>
      <c r="S30" s="208" t="n">
        <v>56732.32</v>
      </c>
      <c r="T30" s="208" t="n">
        <v>53.7</v>
      </c>
      <c r="U30" s="208" t="n">
        <v>56344.52</v>
      </c>
      <c r="V30" s="208" t="n">
        <v>26937.54</v>
      </c>
      <c r="W30" s="208" t="n">
        <v>27485.96</v>
      </c>
      <c r="X30" s="208" t="n">
        <v>36333.04</v>
      </c>
      <c r="Y30" s="208" t="n">
        <v>29107.59</v>
      </c>
      <c r="Z30" s="208" t="n">
        <v>41441.91</v>
      </c>
      <c r="AA30" s="208" t="n">
        <f aca="false">'1'!G29</f>
        <v>27429.74</v>
      </c>
      <c r="AB30" s="208" t="n">
        <f aca="false">'2'!G29</f>
        <v>24695.01</v>
      </c>
      <c r="AC30" s="208" t="n">
        <f aca="false">'3'!G29</f>
        <v>0</v>
      </c>
      <c r="AD30" s="208" t="n">
        <f aca="false">'4'!G29</f>
        <v>60931.15</v>
      </c>
      <c r="AE30" s="208" t="n">
        <f aca="false">'5'!G29</f>
        <v>33066.23</v>
      </c>
      <c r="AF30" s="208" t="n">
        <f aca="false">'6'!G29</f>
        <v>57084.96</v>
      </c>
      <c r="AG30" s="208" t="n">
        <f aca="false">'7'!H29</f>
        <v>41960.14</v>
      </c>
      <c r="AH30" s="208" t="n">
        <f aca="false">'8'!H29</f>
        <v>30237.69</v>
      </c>
      <c r="AI30" s="208" t="n">
        <f aca="false">'9'!H29</f>
        <v>25430.19</v>
      </c>
      <c r="AJ30" s="208" t="n">
        <f aca="false">'10'!H29</f>
        <v>0</v>
      </c>
      <c r="AK30" s="208" t="n">
        <f aca="false">'11'!H29</f>
        <v>0</v>
      </c>
      <c r="AL30" s="208" t="n">
        <f aca="false">'12'!H29</f>
        <v>0</v>
      </c>
    </row>
    <row r="31" customFormat="false" ht="15" hidden="false" customHeight="true" outlineLevel="0" collapsed="false">
      <c r="A31" s="94" t="str">
        <f aca="false">'1'!C30</f>
        <v>OY. EA. AB.</v>
      </c>
      <c r="B31" s="94" t="s">
        <v>231</v>
      </c>
      <c r="C31" s="208" t="n">
        <v>0</v>
      </c>
      <c r="D31" s="208" t="n">
        <v>0</v>
      </c>
      <c r="E31" s="208" t="n">
        <v>0</v>
      </c>
      <c r="F31" s="208" t="n">
        <v>49617.59</v>
      </c>
      <c r="G31" s="208" t="n">
        <v>0</v>
      </c>
      <c r="H31" s="208" t="n">
        <v>0</v>
      </c>
      <c r="I31" s="208" t="n">
        <v>0</v>
      </c>
      <c r="J31" s="208" t="n">
        <v>0</v>
      </c>
      <c r="K31" s="208" t="n">
        <v>54153.1</v>
      </c>
      <c r="L31" s="208" t="n">
        <v>3920.16</v>
      </c>
      <c r="M31" s="208" t="n">
        <v>0</v>
      </c>
      <c r="N31" s="208" t="n">
        <v>0</v>
      </c>
      <c r="O31" s="208" t="n">
        <v>0</v>
      </c>
      <c r="P31" s="208" t="n">
        <v>0</v>
      </c>
      <c r="Q31" s="208" t="n">
        <v>32010.18</v>
      </c>
      <c r="R31" s="208" t="n">
        <v>0</v>
      </c>
      <c r="S31" s="208" t="n">
        <v>0</v>
      </c>
      <c r="T31" s="208" t="n">
        <v>0</v>
      </c>
      <c r="U31" s="208" t="n">
        <v>0</v>
      </c>
      <c r="V31" s="208" t="n">
        <v>0</v>
      </c>
      <c r="W31" s="208" t="n">
        <v>0</v>
      </c>
      <c r="X31" s="208" t="n">
        <v>0</v>
      </c>
      <c r="Y31" s="208" t="n">
        <v>32544.41</v>
      </c>
      <c r="Z31" s="208" t="n">
        <v>0</v>
      </c>
      <c r="AA31" s="208" t="n">
        <f aca="false">'1'!G30</f>
        <v>0</v>
      </c>
      <c r="AB31" s="208" t="n">
        <f aca="false">'2'!G30</f>
        <v>0</v>
      </c>
      <c r="AC31" s="208" t="n">
        <f aca="false">'3'!G30</f>
        <v>0</v>
      </c>
      <c r="AD31" s="208" t="n">
        <f aca="false">'4'!G30</f>
        <v>0</v>
      </c>
      <c r="AE31" s="208" t="n">
        <f aca="false">'5'!G30</f>
        <v>43116.44</v>
      </c>
      <c r="AF31" s="208" t="n">
        <f aca="false">'6'!G30</f>
        <v>0</v>
      </c>
      <c r="AG31" s="208" t="n">
        <f aca="false">'7'!H30</f>
        <v>0</v>
      </c>
      <c r="AH31" s="208" t="n">
        <f aca="false">'8'!H30</f>
        <v>0</v>
      </c>
      <c r="AI31" s="208" t="n">
        <f aca="false">'9'!H30</f>
        <v>0</v>
      </c>
      <c r="AJ31" s="208" t="n">
        <f aca="false">'10'!H30</f>
        <v>0</v>
      </c>
      <c r="AK31" s="208" t="n">
        <f aca="false">'11'!H30</f>
        <v>0</v>
      </c>
      <c r="AL31" s="208" t="n">
        <f aca="false">'12'!H30</f>
        <v>0</v>
      </c>
    </row>
    <row r="32" customFormat="false" ht="15" hidden="false" customHeight="true" outlineLevel="0" collapsed="false">
      <c r="A32" s="94" t="str">
        <f aca="false">'1'!C31</f>
        <v>SEVEN GEAR</v>
      </c>
      <c r="B32" s="94" t="s">
        <v>231</v>
      </c>
      <c r="C32" s="208" t="n">
        <v>0</v>
      </c>
      <c r="D32" s="208" t="n">
        <v>0</v>
      </c>
      <c r="E32" s="208" t="n">
        <v>0</v>
      </c>
      <c r="F32" s="208" t="n">
        <v>20354.79</v>
      </c>
      <c r="G32" s="208" t="n">
        <v>0</v>
      </c>
      <c r="H32" s="208" t="n">
        <v>0</v>
      </c>
      <c r="I32" s="208" t="n">
        <v>0</v>
      </c>
      <c r="J32" s="208" t="n">
        <v>0</v>
      </c>
      <c r="K32" s="208" t="n">
        <v>20673.57</v>
      </c>
      <c r="L32" s="208" t="n">
        <v>0</v>
      </c>
      <c r="M32" s="208" t="n">
        <v>0</v>
      </c>
      <c r="N32" s="208" t="n">
        <v>0</v>
      </c>
      <c r="O32" s="208" t="n">
        <v>19897.57</v>
      </c>
      <c r="P32" s="208" t="n">
        <v>0</v>
      </c>
      <c r="Q32" s="208" t="n">
        <v>0</v>
      </c>
      <c r="R32" s="208" t="n">
        <v>0</v>
      </c>
      <c r="S32" s="208" t="n">
        <v>18835.73</v>
      </c>
      <c r="T32" s="208" t="n">
        <v>0</v>
      </c>
      <c r="U32" s="208" t="n">
        <v>0</v>
      </c>
      <c r="V32" s="208" t="n">
        <v>0</v>
      </c>
      <c r="W32" s="208" t="n">
        <v>0</v>
      </c>
      <c r="X32" s="208" t="n">
        <v>22174.82</v>
      </c>
      <c r="Y32" s="208" t="n">
        <v>0.08</v>
      </c>
      <c r="Z32" s="208" t="n">
        <v>0</v>
      </c>
      <c r="AA32" s="208" t="n">
        <f aca="false">'1'!G31</f>
        <v>0</v>
      </c>
      <c r="AB32" s="208" t="n">
        <f aca="false">'2'!G31</f>
        <v>0</v>
      </c>
      <c r="AC32" s="208" t="n">
        <f aca="false">'3'!G31</f>
        <v>0</v>
      </c>
      <c r="AD32" s="208" t="n">
        <f aca="false">'4'!G31</f>
        <v>17809.5</v>
      </c>
      <c r="AE32" s="208" t="n">
        <f aca="false">'5'!G31</f>
        <v>0</v>
      </c>
      <c r="AF32" s="208" t="n">
        <f aca="false">'6'!G31</f>
        <v>0</v>
      </c>
      <c r="AG32" s="208" t="n">
        <f aca="false">'7'!H31</f>
        <v>0</v>
      </c>
      <c r="AH32" s="208" t="n">
        <f aca="false">'8'!H31</f>
        <v>0</v>
      </c>
      <c r="AI32" s="208" t="n">
        <f aca="false">'9'!H31</f>
        <v>21590.63</v>
      </c>
      <c r="AJ32" s="208" t="n">
        <f aca="false">'10'!H31</f>
        <v>0</v>
      </c>
      <c r="AK32" s="208" t="n">
        <f aca="false">'11'!H31</f>
        <v>0</v>
      </c>
      <c r="AL32" s="208" t="n">
        <f aca="false">'12'!H31</f>
        <v>0</v>
      </c>
    </row>
    <row r="33" customFormat="false" ht="15" hidden="false" customHeight="true" outlineLevel="0" collapsed="false">
      <c r="A33" s="94" t="str">
        <f aca="false">'1'!C32</f>
        <v>PHARMAG LACHMAIR GES. MBH</v>
      </c>
      <c r="B33" s="94" t="s">
        <v>231</v>
      </c>
      <c r="C33" s="208" t="n">
        <v>0</v>
      </c>
      <c r="D33" s="208" t="n">
        <v>0</v>
      </c>
      <c r="E33" s="208" t="n">
        <v>0</v>
      </c>
      <c r="F33" s="208" t="n">
        <v>0</v>
      </c>
      <c r="G33" s="208" t="n">
        <v>0</v>
      </c>
      <c r="H33" s="208" t="n">
        <v>0</v>
      </c>
      <c r="I33" s="208" t="n">
        <v>0</v>
      </c>
      <c r="J33" s="208" t="n">
        <v>0</v>
      </c>
      <c r="K33" s="208" t="n">
        <v>31722.98</v>
      </c>
      <c r="L33" s="208" t="n">
        <v>0</v>
      </c>
      <c r="M33" s="208" t="n">
        <v>0</v>
      </c>
      <c r="N33" s="208" t="n">
        <v>0</v>
      </c>
      <c r="O33" s="208" t="n">
        <v>0</v>
      </c>
      <c r="P33" s="208" t="n">
        <v>0</v>
      </c>
      <c r="Q33" s="208" t="n">
        <v>16024.5</v>
      </c>
      <c r="R33" s="208" t="n">
        <v>0</v>
      </c>
      <c r="S33" s="208" t="n">
        <v>0</v>
      </c>
      <c r="T33" s="208" t="n">
        <v>0</v>
      </c>
      <c r="U33" s="208" t="n">
        <v>15559.58</v>
      </c>
      <c r="V33" s="208" t="n">
        <v>0</v>
      </c>
      <c r="W33" s="208" t="n">
        <v>50202.49</v>
      </c>
      <c r="X33" s="208" t="n">
        <v>0</v>
      </c>
      <c r="Y33" s="208" t="n">
        <v>0</v>
      </c>
      <c r="Z33" s="208" t="n">
        <v>0</v>
      </c>
      <c r="AA33" s="208" t="n">
        <f aca="false">'1'!G32</f>
        <v>0</v>
      </c>
      <c r="AB33" s="208" t="n">
        <f aca="false">'2'!G32</f>
        <v>0</v>
      </c>
      <c r="AC33" s="208" t="n">
        <f aca="false">'3'!G32</f>
        <v>0</v>
      </c>
      <c r="AD33" s="208" t="n">
        <f aca="false">'4'!G32</f>
        <v>0</v>
      </c>
      <c r="AE33" s="208" t="n">
        <f aca="false">'5'!G32</f>
        <v>0</v>
      </c>
      <c r="AF33" s="208" t="n">
        <f aca="false">'6'!G32</f>
        <v>0</v>
      </c>
      <c r="AG33" s="208" t="n">
        <f aca="false">'7'!H32</f>
        <v>0</v>
      </c>
      <c r="AH33" s="208" t="n">
        <f aca="false">'8'!H32</f>
        <v>10037.15</v>
      </c>
      <c r="AI33" s="208" t="n">
        <f aca="false">'9'!H32</f>
        <v>0</v>
      </c>
      <c r="AJ33" s="208" t="n">
        <f aca="false">'10'!H32</f>
        <v>0</v>
      </c>
      <c r="AK33" s="208" t="n">
        <f aca="false">'11'!H32</f>
        <v>0</v>
      </c>
      <c r="AL33" s="208" t="n">
        <f aca="false">'12'!H32</f>
        <v>0</v>
      </c>
    </row>
    <row r="34" customFormat="false" ht="15" hidden="false" customHeight="true" outlineLevel="0" collapsed="false">
      <c r="A34" s="94" t="str">
        <f aca="false">'1'!C33</f>
        <v>REMEDICARE B.V.</v>
      </c>
      <c r="B34" s="94" t="s">
        <v>231</v>
      </c>
      <c r="C34" s="208" t="n">
        <v>0</v>
      </c>
      <c r="D34" s="208" t="n">
        <v>0</v>
      </c>
      <c r="E34" s="208" t="n">
        <v>0</v>
      </c>
      <c r="F34" s="208" t="n">
        <v>0</v>
      </c>
      <c r="G34" s="208" t="n">
        <v>0</v>
      </c>
      <c r="H34" s="208" t="n">
        <v>0</v>
      </c>
      <c r="I34" s="208" t="n">
        <v>0</v>
      </c>
      <c r="J34" s="208" t="n">
        <v>0</v>
      </c>
      <c r="K34" s="208" t="n">
        <v>0</v>
      </c>
      <c r="L34" s="208" t="n">
        <v>0</v>
      </c>
      <c r="M34" s="208" t="n">
        <v>0</v>
      </c>
      <c r="N34" s="208" t="n">
        <v>0</v>
      </c>
      <c r="O34" s="208" t="n">
        <v>0</v>
      </c>
      <c r="P34" s="208" t="n">
        <v>0</v>
      </c>
      <c r="Q34" s="208" t="n">
        <v>0</v>
      </c>
      <c r="R34" s="208" t="n">
        <v>0</v>
      </c>
      <c r="S34" s="208" t="n">
        <v>0</v>
      </c>
      <c r="T34" s="208" t="n">
        <v>0</v>
      </c>
      <c r="U34" s="208" t="n">
        <v>0</v>
      </c>
      <c r="V34" s="208" t="n">
        <v>0</v>
      </c>
      <c r="W34" s="208" t="n">
        <v>0</v>
      </c>
      <c r="X34" s="208" t="n">
        <v>0</v>
      </c>
      <c r="Y34" s="208" t="n">
        <v>0</v>
      </c>
      <c r="Z34" s="208" t="n">
        <v>0</v>
      </c>
      <c r="AA34" s="208" t="n">
        <f aca="false">'1'!G33</f>
        <v>0</v>
      </c>
      <c r="AB34" s="208" t="n">
        <f aca="false">'2'!G33</f>
        <v>0</v>
      </c>
      <c r="AC34" s="208" t="n">
        <f aca="false">'3'!G33</f>
        <v>0</v>
      </c>
      <c r="AD34" s="208" t="n">
        <f aca="false">'4'!G33</f>
        <v>0</v>
      </c>
      <c r="AE34" s="208" t="n">
        <f aca="false">'5'!G33</f>
        <v>0</v>
      </c>
      <c r="AF34" s="208" t="n">
        <f aca="false">'6'!G33</f>
        <v>0</v>
      </c>
      <c r="AG34" s="208" t="n">
        <f aca="false">'7'!H33</f>
        <v>0</v>
      </c>
      <c r="AH34" s="208" t="n">
        <f aca="false">'8'!H33</f>
        <v>0</v>
      </c>
      <c r="AI34" s="208" t="n">
        <f aca="false">'9'!H33</f>
        <v>0</v>
      </c>
      <c r="AJ34" s="208" t="n">
        <f aca="false">'10'!H33</f>
        <v>0</v>
      </c>
      <c r="AK34" s="208" t="n">
        <f aca="false">'11'!H33</f>
        <v>0</v>
      </c>
      <c r="AL34" s="208" t="n">
        <f aca="false">'12'!H33</f>
        <v>0</v>
      </c>
    </row>
    <row r="35" customFormat="false" ht="15" hidden="false" customHeight="true" outlineLevel="0" collapsed="false">
      <c r="A35" s="94" t="str">
        <f aca="false">'1'!C34</f>
        <v>E.F.M.O.</v>
      </c>
      <c r="B35" s="94" t="s">
        <v>231</v>
      </c>
      <c r="C35" s="208" t="n">
        <v>20732.48</v>
      </c>
      <c r="D35" s="208" t="n">
        <v>19941.82</v>
      </c>
      <c r="E35" s="208" t="n">
        <v>-20732.48</v>
      </c>
      <c r="F35" s="208" t="n">
        <v>0</v>
      </c>
      <c r="G35" s="208" t="n">
        <v>0</v>
      </c>
      <c r="H35" s="208" t="n">
        <v>0</v>
      </c>
      <c r="I35" s="208" t="n">
        <v>13897.42</v>
      </c>
      <c r="J35" s="208" t="n">
        <v>0</v>
      </c>
      <c r="K35" s="208" t="n">
        <v>1987.54</v>
      </c>
      <c r="L35" s="208" t="n">
        <v>0</v>
      </c>
      <c r="M35" s="208" t="n">
        <v>0</v>
      </c>
      <c r="N35" s="208" t="n">
        <v>0</v>
      </c>
      <c r="O35" s="208" t="n">
        <v>19111.37</v>
      </c>
      <c r="P35" s="208" t="n">
        <v>1584.32</v>
      </c>
      <c r="Q35" s="208" t="n">
        <v>0</v>
      </c>
      <c r="R35" s="208" t="n">
        <v>0</v>
      </c>
      <c r="S35" s="208" t="n">
        <v>19017.88</v>
      </c>
      <c r="T35" s="208" t="n">
        <v>0</v>
      </c>
      <c r="U35" s="208" t="n">
        <v>0</v>
      </c>
      <c r="V35" s="208" t="n">
        <v>0</v>
      </c>
      <c r="W35" s="208" t="n">
        <v>0</v>
      </c>
      <c r="X35" s="208" t="n">
        <v>0</v>
      </c>
      <c r="Y35" s="208" t="n">
        <v>0</v>
      </c>
      <c r="Z35" s="208" t="n">
        <v>0</v>
      </c>
      <c r="AA35" s="208" t="n">
        <f aca="false">'1'!G34</f>
        <v>18792.66</v>
      </c>
      <c r="AB35" s="208" t="n">
        <f aca="false">'2'!G34</f>
        <v>0</v>
      </c>
      <c r="AC35" s="208" t="n">
        <f aca="false">'3'!G34</f>
        <v>0</v>
      </c>
      <c r="AD35" s="208" t="n">
        <f aca="false">'4'!G34</f>
        <v>0</v>
      </c>
      <c r="AE35" s="208" t="n">
        <f aca="false">'5'!G34</f>
        <v>0</v>
      </c>
      <c r="AF35" s="208" t="n">
        <f aca="false">'6'!G34</f>
        <v>0</v>
      </c>
      <c r="AG35" s="208" t="n">
        <f aca="false">'7'!H34</f>
        <v>0</v>
      </c>
      <c r="AH35" s="208" t="n">
        <f aca="false">'8'!H34</f>
        <v>18350.05</v>
      </c>
      <c r="AI35" s="208" t="n">
        <f aca="false">'9'!H34</f>
        <v>0</v>
      </c>
      <c r="AJ35" s="208" t="n">
        <f aca="false">'10'!H34</f>
        <v>0</v>
      </c>
      <c r="AK35" s="208" t="n">
        <f aca="false">'11'!H34</f>
        <v>0</v>
      </c>
      <c r="AL35" s="208" t="n">
        <f aca="false">'12'!H34</f>
        <v>0</v>
      </c>
    </row>
    <row r="36" customFormat="false" ht="15" hidden="false" customHeight="true" outlineLevel="0" collapsed="false">
      <c r="A36" s="94" t="str">
        <f aca="false">'1'!C35</f>
        <v>ALFRED GERA</v>
      </c>
      <c r="B36" s="94" t="s">
        <v>231</v>
      </c>
      <c r="C36" s="208" t="n">
        <v>0</v>
      </c>
      <c r="D36" s="208" t="n">
        <v>34034.18</v>
      </c>
      <c r="E36" s="208" t="n">
        <v>0</v>
      </c>
      <c r="F36" s="208" t="n">
        <v>0</v>
      </c>
      <c r="G36" s="208" t="n">
        <v>0</v>
      </c>
      <c r="H36" s="208" t="n">
        <v>0</v>
      </c>
      <c r="I36" s="208" t="n">
        <v>0</v>
      </c>
      <c r="J36" s="208" t="n">
        <v>25140.85</v>
      </c>
      <c r="K36" s="208" t="n">
        <v>0</v>
      </c>
      <c r="L36" s="208" t="n">
        <v>0</v>
      </c>
      <c r="M36" s="208" t="n">
        <v>0</v>
      </c>
      <c r="N36" s="208" t="n">
        <v>0</v>
      </c>
      <c r="O36" s="208" t="n">
        <v>0</v>
      </c>
      <c r="P36" s="208" t="n">
        <v>0</v>
      </c>
      <c r="Q36" s="208" t="n">
        <v>0</v>
      </c>
      <c r="R36" s="208" t="n">
        <v>0</v>
      </c>
      <c r="S36" s="208" t="n">
        <v>30531.53</v>
      </c>
      <c r="T36" s="208" t="n">
        <v>0</v>
      </c>
      <c r="U36" s="208" t="n">
        <v>0</v>
      </c>
      <c r="V36" s="208" t="n">
        <v>0</v>
      </c>
      <c r="W36" s="208" t="n">
        <v>0</v>
      </c>
      <c r="X36" s="208" t="n">
        <v>0</v>
      </c>
      <c r="Y36" s="208" t="n">
        <v>23331.65</v>
      </c>
      <c r="Z36" s="208" t="n">
        <v>0</v>
      </c>
      <c r="AA36" s="208" t="n">
        <f aca="false">'1'!G35</f>
        <v>0</v>
      </c>
      <c r="AB36" s="208" t="n">
        <f aca="false">'2'!G35</f>
        <v>0</v>
      </c>
      <c r="AC36" s="208" t="n">
        <f aca="false">'3'!G35</f>
        <v>0</v>
      </c>
      <c r="AD36" s="208" t="n">
        <f aca="false">'4'!G35</f>
        <v>0</v>
      </c>
      <c r="AE36" s="208" t="n">
        <f aca="false">'5'!G35</f>
        <v>0</v>
      </c>
      <c r="AF36" s="208" t="n">
        <f aca="false">'6'!G35</f>
        <v>0</v>
      </c>
      <c r="AG36" s="208" t="n">
        <f aca="false">'7'!H35</f>
        <v>0</v>
      </c>
      <c r="AH36" s="208" t="n">
        <f aca="false">'8'!H35</f>
        <v>26105.72</v>
      </c>
      <c r="AI36" s="208" t="n">
        <f aca="false">'9'!H35</f>
        <v>0</v>
      </c>
      <c r="AJ36" s="208" t="n">
        <f aca="false">'10'!H35</f>
        <v>0</v>
      </c>
      <c r="AK36" s="208" t="n">
        <f aca="false">'11'!H35</f>
        <v>0</v>
      </c>
      <c r="AL36" s="208" t="n">
        <f aca="false">'12'!H35</f>
        <v>0</v>
      </c>
    </row>
    <row r="37" customFormat="false" ht="15" hidden="false" customHeight="true" outlineLevel="0" collapsed="false">
      <c r="A37" s="94" t="str">
        <f aca="false">'1'!C36</f>
        <v>QUADRIFOGLIO MEDICAL</v>
      </c>
      <c r="B37" s="94" t="s">
        <v>231</v>
      </c>
      <c r="C37" s="208" t="n">
        <v>0</v>
      </c>
      <c r="D37" s="208" t="n">
        <v>0</v>
      </c>
      <c r="E37" s="208" t="n">
        <v>0</v>
      </c>
      <c r="F37" s="208" t="n">
        <v>41531.96</v>
      </c>
      <c r="G37" s="208" t="n">
        <v>0</v>
      </c>
      <c r="H37" s="208" t="n">
        <v>0</v>
      </c>
      <c r="I37" s="208" t="n">
        <v>0</v>
      </c>
      <c r="J37" s="208" t="n">
        <v>0</v>
      </c>
      <c r="K37" s="208" t="n">
        <v>0</v>
      </c>
      <c r="L37" s="208" t="n">
        <v>0</v>
      </c>
      <c r="M37" s="208" t="n">
        <v>0</v>
      </c>
      <c r="N37" s="208" t="n">
        <v>0</v>
      </c>
      <c r="O37" s="208" t="n">
        <v>0</v>
      </c>
      <c r="P37" s="208" t="n">
        <v>0</v>
      </c>
      <c r="Q37" s="208" t="n">
        <v>0</v>
      </c>
      <c r="R37" s="208" t="n">
        <v>0</v>
      </c>
      <c r="S37" s="208" t="n">
        <v>0</v>
      </c>
      <c r="T37" s="208" t="n">
        <v>0</v>
      </c>
      <c r="U37" s="208" t="n">
        <v>0</v>
      </c>
      <c r="V37" s="208" t="n">
        <v>0</v>
      </c>
      <c r="W37" s="208" t="n">
        <v>0</v>
      </c>
      <c r="X37" s="208" t="n">
        <v>0</v>
      </c>
      <c r="Y37" s="208" t="n">
        <v>0</v>
      </c>
      <c r="Z37" s="208" t="n">
        <v>0</v>
      </c>
      <c r="AA37" s="208" t="n">
        <f aca="false">'1'!G36</f>
        <v>0</v>
      </c>
      <c r="AB37" s="208" t="n">
        <f aca="false">'2'!G36</f>
        <v>0</v>
      </c>
      <c r="AC37" s="208" t="n">
        <f aca="false">'3'!G36</f>
        <v>0</v>
      </c>
      <c r="AD37" s="208" t="n">
        <f aca="false">'4'!G36</f>
        <v>0</v>
      </c>
      <c r="AE37" s="208" t="n">
        <f aca="false">'5'!G36</f>
        <v>0</v>
      </c>
      <c r="AF37" s="208" t="n">
        <f aca="false">'6'!G36</f>
        <v>0</v>
      </c>
      <c r="AG37" s="208" t="n">
        <f aca="false">'7'!H36</f>
        <v>0</v>
      </c>
      <c r="AH37" s="208" t="n">
        <f aca="false">'8'!H36</f>
        <v>0</v>
      </c>
      <c r="AI37" s="208" t="n">
        <f aca="false">'9'!H36</f>
        <v>0</v>
      </c>
      <c r="AJ37" s="208" t="n">
        <f aca="false">'10'!H36</f>
        <v>0</v>
      </c>
      <c r="AK37" s="208" t="n">
        <f aca="false">'11'!H36</f>
        <v>0</v>
      </c>
      <c r="AL37" s="208" t="n">
        <f aca="false">'12'!H36</f>
        <v>0</v>
      </c>
    </row>
    <row r="38" customFormat="false" ht="15" hidden="false" customHeight="true" outlineLevel="0" collapsed="false">
      <c r="A38" s="94" t="str">
        <f aca="false">'1'!C37</f>
        <v>YOUNG IN HEALTHCARE CO.,</v>
      </c>
      <c r="B38" s="94" t="s">
        <v>231</v>
      </c>
      <c r="C38" s="208" t="n">
        <v>0</v>
      </c>
      <c r="D38" s="208" t="n">
        <v>0</v>
      </c>
      <c r="E38" s="208" t="n">
        <v>0</v>
      </c>
      <c r="F38" s="208" t="n">
        <v>0</v>
      </c>
      <c r="G38" s="208" t="n">
        <v>0</v>
      </c>
      <c r="H38" s="208" t="n">
        <v>22310.96</v>
      </c>
      <c r="I38" s="208" t="n">
        <v>0</v>
      </c>
      <c r="J38" s="208" t="n">
        <v>0</v>
      </c>
      <c r="K38" s="208" t="n">
        <v>0</v>
      </c>
      <c r="L38" s="208" t="n">
        <v>0</v>
      </c>
      <c r="M38" s="208" t="n">
        <v>0</v>
      </c>
      <c r="N38" s="208" t="n">
        <v>0</v>
      </c>
      <c r="O38" s="208" t="n">
        <v>0</v>
      </c>
      <c r="P38" s="208" t="n">
        <v>0</v>
      </c>
      <c r="Q38" s="208" t="n">
        <v>0</v>
      </c>
      <c r="R38" s="208" t="n">
        <v>0</v>
      </c>
      <c r="S38" s="208" t="n">
        <v>0</v>
      </c>
      <c r="T38" s="208" t="n">
        <v>0</v>
      </c>
      <c r="U38" s="208" t="n">
        <v>0</v>
      </c>
      <c r="V38" s="208" t="n">
        <v>0</v>
      </c>
      <c r="W38" s="208" t="n">
        <v>0</v>
      </c>
      <c r="X38" s="208" t="n">
        <v>0</v>
      </c>
      <c r="Y38" s="208" t="n">
        <v>0</v>
      </c>
      <c r="Z38" s="208" t="n">
        <v>0</v>
      </c>
      <c r="AA38" s="208" t="n">
        <f aca="false">'1'!G37</f>
        <v>0</v>
      </c>
      <c r="AB38" s="208" t="n">
        <f aca="false">'2'!G37</f>
        <v>0</v>
      </c>
      <c r="AC38" s="208" t="n">
        <f aca="false">'3'!G37</f>
        <v>0</v>
      </c>
      <c r="AD38" s="208" t="n">
        <f aca="false">'4'!G37</f>
        <v>0</v>
      </c>
      <c r="AE38" s="208" t="n">
        <f aca="false">'5'!G37</f>
        <v>0</v>
      </c>
      <c r="AF38" s="208" t="n">
        <f aca="false">'6'!G37</f>
        <v>0</v>
      </c>
      <c r="AG38" s="208" t="n">
        <f aca="false">'7'!H37</f>
        <v>0</v>
      </c>
      <c r="AH38" s="208" t="n">
        <f aca="false">'8'!H37</f>
        <v>0</v>
      </c>
      <c r="AI38" s="208" t="n">
        <f aca="false">'9'!H37</f>
        <v>0</v>
      </c>
      <c r="AJ38" s="208" t="n">
        <f aca="false">'10'!H37</f>
        <v>0</v>
      </c>
      <c r="AK38" s="208" t="n">
        <f aca="false">'11'!H37</f>
        <v>0</v>
      </c>
      <c r="AL38" s="208" t="n">
        <f aca="false">'12'!H37</f>
        <v>0</v>
      </c>
    </row>
    <row r="39" customFormat="false" ht="15" hidden="false" customHeight="true" outlineLevel="0" collapsed="false">
      <c r="A39" s="94" t="str">
        <f aca="false">'1'!C38</f>
        <v>HANS</v>
      </c>
      <c r="B39" s="94" t="s">
        <v>231</v>
      </c>
      <c r="C39" s="208" t="n">
        <v>0</v>
      </c>
      <c r="D39" s="208" t="n">
        <v>0</v>
      </c>
      <c r="E39" s="208" t="n">
        <v>0</v>
      </c>
      <c r="F39" s="208" t="n">
        <v>0</v>
      </c>
      <c r="G39" s="208" t="n">
        <v>0</v>
      </c>
      <c r="H39" s="208" t="n">
        <v>0</v>
      </c>
      <c r="I39" s="208" t="n">
        <v>0</v>
      </c>
      <c r="J39" s="208" t="n">
        <v>0</v>
      </c>
      <c r="K39" s="208" t="n">
        <v>-1.37</v>
      </c>
      <c r="L39" s="208" t="n">
        <v>0</v>
      </c>
      <c r="M39" s="208" t="n">
        <v>0</v>
      </c>
      <c r="N39" s="208" t="n">
        <v>161576.19</v>
      </c>
      <c r="O39" s="208" t="n">
        <v>0</v>
      </c>
      <c r="P39" s="208" t="n">
        <v>0</v>
      </c>
      <c r="Q39" s="208" t="n">
        <v>0</v>
      </c>
      <c r="R39" s="208" t="n">
        <v>0</v>
      </c>
      <c r="S39" s="208" t="n">
        <v>248.59</v>
      </c>
      <c r="T39" s="208" t="n">
        <v>0</v>
      </c>
      <c r="U39" s="208" t="n">
        <v>0</v>
      </c>
      <c r="V39" s="208" t="n">
        <v>0</v>
      </c>
      <c r="W39" s="208" t="n">
        <v>0</v>
      </c>
      <c r="X39" s="208" t="n">
        <v>0</v>
      </c>
      <c r="Y39" s="208" t="n">
        <v>0</v>
      </c>
      <c r="Z39" s="208" t="n">
        <v>0</v>
      </c>
      <c r="AA39" s="208" t="n">
        <f aca="false">'1'!G38</f>
        <v>0</v>
      </c>
      <c r="AB39" s="208" t="n">
        <f aca="false">'2'!G38</f>
        <v>0</v>
      </c>
      <c r="AC39" s="208" t="n">
        <f aca="false">'3'!G38</f>
        <v>0</v>
      </c>
      <c r="AD39" s="208" t="n">
        <f aca="false">'4'!G38</f>
        <v>0</v>
      </c>
      <c r="AE39" s="208" t="n">
        <f aca="false">'5'!G38</f>
        <v>0</v>
      </c>
      <c r="AF39" s="208" t="n">
        <f aca="false">'6'!G38</f>
        <v>0</v>
      </c>
      <c r="AG39" s="208" t="n">
        <f aca="false">'7'!H38</f>
        <v>0</v>
      </c>
      <c r="AH39" s="208" t="n">
        <f aca="false">'8'!H38</f>
        <v>0</v>
      </c>
      <c r="AI39" s="208" t="n">
        <f aca="false">'9'!H38</f>
        <v>0</v>
      </c>
      <c r="AJ39" s="208" t="n">
        <f aca="false">'10'!H38</f>
        <v>0</v>
      </c>
      <c r="AK39" s="208" t="n">
        <f aca="false">'11'!H38</f>
        <v>0</v>
      </c>
      <c r="AL39" s="208" t="n">
        <f aca="false">'12'!H38</f>
        <v>0</v>
      </c>
    </row>
    <row r="40" customFormat="false" ht="15" hidden="false" customHeight="true" outlineLevel="0" collapsed="false">
      <c r="A40" s="94" t="str">
        <f aca="false">'1'!C39</f>
        <v>NEW DISTRIBUTORS</v>
      </c>
      <c r="B40" s="94" t="s">
        <v>231</v>
      </c>
      <c r="C40" s="208" t="n">
        <v>0</v>
      </c>
      <c r="D40" s="208" t="n">
        <v>0</v>
      </c>
      <c r="E40" s="208" t="n">
        <v>0</v>
      </c>
      <c r="F40" s="208" t="n">
        <v>0</v>
      </c>
      <c r="G40" s="208" t="n">
        <v>0</v>
      </c>
      <c r="H40" s="208" t="n">
        <v>0</v>
      </c>
      <c r="I40" s="208" t="n">
        <v>0</v>
      </c>
      <c r="J40" s="208" t="n">
        <v>0</v>
      </c>
      <c r="K40" s="208" t="n">
        <v>0</v>
      </c>
      <c r="L40" s="208" t="n">
        <v>0</v>
      </c>
      <c r="M40" s="208" t="n">
        <v>0</v>
      </c>
      <c r="N40" s="208" t="n">
        <v>0</v>
      </c>
      <c r="O40" s="208" t="n">
        <v>0</v>
      </c>
      <c r="P40" s="208" t="n">
        <v>0</v>
      </c>
      <c r="Q40" s="208" t="n">
        <v>0</v>
      </c>
      <c r="R40" s="208" t="n">
        <v>0</v>
      </c>
      <c r="S40" s="208" t="n">
        <v>0</v>
      </c>
      <c r="T40" s="208" t="n">
        <v>0</v>
      </c>
      <c r="U40" s="208" t="n">
        <v>0</v>
      </c>
      <c r="V40" s="208" t="n">
        <v>0</v>
      </c>
      <c r="W40" s="208" t="n">
        <v>0</v>
      </c>
      <c r="X40" s="208" t="n">
        <v>0</v>
      </c>
      <c r="Y40" s="208" t="n">
        <v>0</v>
      </c>
      <c r="Z40" s="208" t="n">
        <v>0</v>
      </c>
      <c r="AA40" s="208" t="n">
        <f aca="false">'1'!G39</f>
        <v>0</v>
      </c>
      <c r="AB40" s="208" t="n">
        <f aca="false">'2'!G39</f>
        <v>0</v>
      </c>
      <c r="AC40" s="208" t="n">
        <f aca="false">'3'!G39</f>
        <v>0</v>
      </c>
      <c r="AD40" s="208" t="n">
        <f aca="false">'4'!G39</f>
        <v>0</v>
      </c>
      <c r="AE40" s="208" t="n">
        <f aca="false">'5'!G39</f>
        <v>0</v>
      </c>
      <c r="AF40" s="208" t="n">
        <f aca="false">'6'!G39</f>
        <v>0</v>
      </c>
      <c r="AG40" s="208" t="n">
        <f aca="false">'7'!H39</f>
        <v>0</v>
      </c>
      <c r="AH40" s="208" t="n">
        <f aca="false">'8'!H39</f>
        <v>0</v>
      </c>
      <c r="AI40" s="208" t="n">
        <f aca="false">'9'!H39</f>
        <v>0</v>
      </c>
      <c r="AJ40" s="208" t="n">
        <f aca="false">'10'!H39</f>
        <v>0</v>
      </c>
      <c r="AK40" s="208" t="n">
        <f aca="false">'11'!H39</f>
        <v>0</v>
      </c>
      <c r="AL40" s="208" t="n">
        <f aca="false">'12'!H39</f>
        <v>0</v>
      </c>
    </row>
    <row r="41" customFormat="false" ht="15" hidden="false" customHeight="true" outlineLevel="0" collapsed="false">
      <c r="A41" s="94" t="str">
        <f aca="false">'1'!C51</f>
        <v>BAKU</v>
      </c>
      <c r="B41" s="94" t="s">
        <v>231</v>
      </c>
      <c r="C41" s="208" t="n">
        <v>0</v>
      </c>
      <c r="D41" s="208" t="n">
        <v>0</v>
      </c>
      <c r="E41" s="208" t="n">
        <v>0</v>
      </c>
      <c r="F41" s="208" t="n">
        <v>0</v>
      </c>
      <c r="G41" s="208" t="n">
        <v>0</v>
      </c>
      <c r="H41" s="208" t="n">
        <v>0</v>
      </c>
      <c r="I41" s="208" t="n">
        <v>0</v>
      </c>
      <c r="J41" s="208" t="n">
        <v>0</v>
      </c>
      <c r="K41" s="208" t="n">
        <v>0</v>
      </c>
      <c r="L41" s="208" t="n">
        <v>0</v>
      </c>
      <c r="M41" s="208" t="n">
        <v>0</v>
      </c>
      <c r="N41" s="208" t="n">
        <v>0</v>
      </c>
      <c r="O41" s="208" t="n">
        <v>0</v>
      </c>
      <c r="P41" s="208" t="n">
        <v>0</v>
      </c>
      <c r="Q41" s="208" t="n">
        <v>0</v>
      </c>
      <c r="R41" s="208" t="n">
        <v>0</v>
      </c>
      <c r="S41" s="208" t="n">
        <v>0</v>
      </c>
      <c r="T41" s="208" t="n">
        <v>0</v>
      </c>
      <c r="U41" s="208" t="n">
        <v>0</v>
      </c>
      <c r="V41" s="208" t="n">
        <v>0</v>
      </c>
      <c r="W41" s="208" t="n">
        <v>0</v>
      </c>
      <c r="X41" s="208" t="n">
        <v>0</v>
      </c>
      <c r="Y41" s="208" t="n">
        <v>0</v>
      </c>
      <c r="Z41" s="208" t="n">
        <v>0</v>
      </c>
      <c r="AA41" s="208" t="n">
        <f aca="false">'1'!G51</f>
        <v>0</v>
      </c>
      <c r="AB41" s="208" t="n">
        <f aca="false">'2'!G51</f>
        <v>0</v>
      </c>
      <c r="AC41" s="208" t="n">
        <f aca="false">'3'!G51</f>
        <v>0</v>
      </c>
      <c r="AD41" s="208" t="n">
        <f aca="false">'4'!G51</f>
        <v>0</v>
      </c>
      <c r="AE41" s="208" t="n">
        <f aca="false">'5'!G51</f>
        <v>0</v>
      </c>
      <c r="AF41" s="208" t="n">
        <f aca="false">'6'!G51</f>
        <v>0</v>
      </c>
      <c r="AG41" s="208" t="n">
        <f aca="false">'7'!H51</f>
        <v>0</v>
      </c>
      <c r="AH41" s="208" t="n">
        <f aca="false">'8'!H51</f>
        <v>0</v>
      </c>
      <c r="AI41" s="208" t="n">
        <f aca="false">'9'!H51</f>
        <v>0</v>
      </c>
      <c r="AJ41" s="208" t="n">
        <f aca="false">'10'!H51</f>
        <v>0</v>
      </c>
      <c r="AK41" s="208" t="n">
        <f aca="false">'11'!H51</f>
        <v>0</v>
      </c>
      <c r="AL41" s="208" t="n">
        <f aca="false">'12'!H51</f>
        <v>0</v>
      </c>
    </row>
    <row r="42" customFormat="false" ht="15" hidden="false" customHeight="true" outlineLevel="0" collapsed="false">
      <c r="A42" s="94" t="str">
        <f aca="false">'1'!C52</f>
        <v>MEXICO</v>
      </c>
      <c r="B42" s="94" t="s">
        <v>231</v>
      </c>
      <c r="C42" s="208" t="n">
        <v>0</v>
      </c>
      <c r="D42" s="208" t="n">
        <v>0</v>
      </c>
      <c r="E42" s="208" t="n">
        <v>0</v>
      </c>
      <c r="F42" s="208" t="n">
        <v>0</v>
      </c>
      <c r="G42" s="208" t="n">
        <v>0</v>
      </c>
      <c r="H42" s="208" t="n">
        <v>0</v>
      </c>
      <c r="I42" s="208" t="n">
        <v>0</v>
      </c>
      <c r="J42" s="208" t="n">
        <v>0</v>
      </c>
      <c r="K42" s="208" t="n">
        <v>0</v>
      </c>
      <c r="L42" s="208" t="n">
        <v>0</v>
      </c>
      <c r="M42" s="208" t="n">
        <v>0</v>
      </c>
      <c r="N42" s="208" t="n">
        <v>0</v>
      </c>
      <c r="O42" s="208" t="n">
        <v>0</v>
      </c>
      <c r="P42" s="208" t="n">
        <v>0</v>
      </c>
      <c r="Q42" s="208" t="n">
        <v>0</v>
      </c>
      <c r="R42" s="208" t="n">
        <v>0</v>
      </c>
      <c r="S42" s="208" t="n">
        <v>0</v>
      </c>
      <c r="T42" s="208" t="n">
        <v>0</v>
      </c>
      <c r="U42" s="208" t="n">
        <v>0</v>
      </c>
      <c r="V42" s="208" t="n">
        <v>0</v>
      </c>
      <c r="W42" s="208" t="n">
        <v>0</v>
      </c>
      <c r="X42" s="208" t="n">
        <v>0</v>
      </c>
      <c r="Y42" s="208" t="n">
        <v>0</v>
      </c>
      <c r="Z42" s="208" t="n">
        <v>0</v>
      </c>
      <c r="AA42" s="208" t="n">
        <f aca="false">'1'!G52</f>
        <v>0</v>
      </c>
      <c r="AB42" s="208" t="n">
        <f aca="false">'2'!G52</f>
        <v>0</v>
      </c>
      <c r="AC42" s="208" t="n">
        <f aca="false">'3'!G52</f>
        <v>0</v>
      </c>
      <c r="AD42" s="208" t="n">
        <f aca="false">'4'!G52</f>
        <v>0</v>
      </c>
      <c r="AE42" s="208" t="n">
        <f aca="false">'5'!G52</f>
        <v>0</v>
      </c>
      <c r="AF42" s="208" t="n">
        <f aca="false">'6'!G52</f>
        <v>0</v>
      </c>
      <c r="AG42" s="208" t="n">
        <f aca="false">'7'!H52</f>
        <v>0</v>
      </c>
      <c r="AH42" s="208" t="n">
        <f aca="false">'8'!H52</f>
        <v>0</v>
      </c>
      <c r="AI42" s="208" t="n">
        <f aca="false">'9'!H52</f>
        <v>0</v>
      </c>
      <c r="AJ42" s="208" t="n">
        <f aca="false">'10'!H52</f>
        <v>0</v>
      </c>
      <c r="AK42" s="208" t="n">
        <f aca="false">'11'!H52</f>
        <v>0</v>
      </c>
      <c r="AL42" s="208" t="n">
        <f aca="false">'12'!H52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2022-03-30T16:49:06Z</dcterms:created>
  <dc:creator>Isa</dc:creator>
  <dc:description/>
  <dc:language>en-US</dc:language>
  <cp:lastModifiedBy>Eyal Sadot</cp:lastModifiedBy>
  <cp:lastPrinted>2024-01-31T11:32:33Z</cp:lastPrinted>
  <dcterms:modified xsi:type="dcterms:W3CDTF">2026-10-04T05:51:02Z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