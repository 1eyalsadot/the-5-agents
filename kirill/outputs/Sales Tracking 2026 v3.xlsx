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3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drawings/vmlDrawing13.vml" ContentType="application/vnd.openxmlformats-officedocument.vmlDrawing"/>
  <Override PartName="/xl/comments12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comments1.xml" ContentType="application/vnd.openxmlformats-officedocument.spreadsheetml.comments+xml"/>
  <Override PartName="/xl/comments11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תקציב  " sheetId="1" state="visible" r:id="rId3"/>
    <sheet name="מצטבר - בחירה" sheetId="2" state="visible" r:id="rId4"/>
    <sheet name="רבעונים" sheetId="3" state="visible" r:id="rId5"/>
    <sheet name="1" sheetId="4" state="visible" r:id="rId6"/>
    <sheet name="2" sheetId="5" state="visible" r:id="rId7"/>
    <sheet name="3" sheetId="6" state="visible" r:id="rId8"/>
    <sheet name="4" sheetId="7" state="visible" r:id="rId9"/>
    <sheet name="5" sheetId="8" state="visible" r:id="rId10"/>
    <sheet name="6" sheetId="9" state="visible" r:id="rId11"/>
    <sheet name="7" sheetId="10" state="visible" r:id="rId12"/>
    <sheet name="8" sheetId="11" state="visible" r:id="rId13"/>
    <sheet name="9" sheetId="12" state="visible" r:id="rId14"/>
    <sheet name="10" sheetId="13" state="visible" r:id="rId15"/>
    <sheet name="11" sheetId="14" state="visible" r:id="rId16"/>
    <sheet name="12" sheetId="15" state="visible" r:id="rId17"/>
    <sheet name="נתונים_שטוחים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=E15/$Q15</t>
        </r>
      </text>
    </comment>
    <comment ref="E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=E37/$Q37</t>
        </r>
      </text>
    </comment>
    <comment ref="F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=F15/$Q15</t>
        </r>
      </text>
    </comment>
    <comment ref="F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=F37/$Q37</t>
        </r>
      </text>
    </comment>
    <comment ref="G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=G15/$Q15</t>
        </r>
      </text>
    </comment>
    <comment ref="G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=G37/$Q37</t>
        </r>
      </text>
    </comment>
    <comment ref="H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=H15/$Q15</t>
        </r>
      </text>
    </comment>
    <comment ref="H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=H37/$Q37</t>
        </r>
      </text>
    </comment>
    <comment ref="I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=I15/$Q15</t>
        </r>
      </text>
    </comment>
    <comment ref="I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=I37/$Q37</t>
        </r>
      </text>
    </comment>
    <comment ref="J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=J15/$Q15</t>
        </r>
      </text>
    </comment>
    <comment ref="J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=J37/$Q37</t>
        </r>
      </text>
    </comment>
    <comment ref="K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=K15/$Q15</t>
        </r>
      </text>
    </comment>
    <comment ref="K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=K37/$Q37</t>
        </r>
      </text>
    </comment>
    <comment ref="L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=L15/$Q15</t>
        </r>
      </text>
    </comment>
    <comment ref="L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=L37/$Q37</t>
        </r>
      </text>
    </comment>
    <comment ref="M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=M15/$Q15</t>
        </r>
      </text>
    </comment>
    <comment ref="M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=M37/$Q37</t>
        </r>
      </text>
    </comment>
    <comment ref="N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=N15/$Q15</t>
        </r>
      </text>
    </comment>
    <comment ref="N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=N37/$Q37</t>
        </r>
      </text>
    </comment>
    <comment ref="O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=O15/$Q15</t>
        </r>
      </text>
    </comment>
    <comment ref="O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=O37/$Q37</t>
        </r>
      </text>
    </comment>
    <comment ref="P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=P15/$Q15</t>
        </r>
      </text>
    </comment>
    <comment ref="P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=P37/$Q37</t>
        </r>
      </text>
    </comment>
    <comment ref="Q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=SUM(E53:P53)</t>
        </r>
      </text>
    </comment>
    <comment ref="Q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=SUM(E74:P74)</t>
        </r>
      </text>
    </comment>
    <comment ref="AG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=_xlfn.XLOOKUP(A16,'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=_xlfn.XLOOKUP(A19,'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I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=[1]אמזון!$M$29</t>
        </r>
      </text>
    </comment>
    <comment ref="AI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J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=[1]אמזון!$M$30</t>
        </r>
      </text>
    </comment>
    <comment ref="AJ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K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=[1]אמזון!$M$31</t>
        </r>
      </text>
    </comment>
    <comment ref="AK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L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=[1]אמזון!$M$32</t>
        </r>
      </text>
    </comment>
    <comment ref="AL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M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=[1]אמזון!$M$33</t>
        </r>
      </text>
    </comment>
    <comment ref="AM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N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=[1]אמזון!$M$34</t>
        </r>
      </text>
    </comment>
    <comment ref="AN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=G21/F21-1</t>
        </r>
      </text>
    </comment>
    <comment ref="H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=G23/F23-1</t>
        </r>
      </text>
    </comment>
    <comment ref="H2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=G24/F24-1</t>
        </r>
      </text>
    </comment>
    <comment ref="H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=G25/F25-1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2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=G29/F29-1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=G21/J21-1</t>
        </r>
      </text>
    </comment>
    <comment ref="K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=G25/J25-1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=G27/J27-1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=G25/F25-1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=G31/F31-1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=G13/J13-1</t>
        </r>
      </text>
    </comment>
    <comment ref="K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=G23/J23-1</t>
        </r>
      </text>
    </comment>
    <comment ref="K2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=G24/J24-1</t>
        </r>
      </text>
    </comment>
    <comment ref="K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=G25/J25-1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=G34/J34-1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=G12/F12-1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=G21/F21-1</t>
        </r>
      </text>
    </comment>
    <comment ref="H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=G23/F23-1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=G31/F31-1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=G34/F34-1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=G13/J13-1</t>
        </r>
      </text>
    </comment>
    <comment ref="K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=G21/J21-1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=G27/J27-1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=G34/J34-1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=G12/F12-1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=G22/F22-1</t>
        </r>
      </text>
    </comment>
    <comment ref="H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=G25/F25-1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=G31/F31-1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=G34/F34-1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=G21/J21-1</t>
        </r>
      </text>
    </comment>
    <comment ref="K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=G23/J23-1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=G34/J34-1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3" authorId="0">
      <text>
        <r>
          <rPr>
            <sz val="10"/>
            <rFont val="Arial"/>
            <family val="2"/>
          </rPr>
          <t xml:space="preserve">Isa:
</t>
        </r>
        <r>
          <rPr>
            <sz val="10"/>
            <rFont val="FreeSans"/>
            <family val="2"/>
          </rPr>
          <t xml:space="preserve">חנויות ספורט</t>
        </r>
      </text>
    </commen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=G12/F12-1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=G21/F21-1</t>
        </r>
      </text>
    </comment>
    <comment ref="H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=G23/F23-1</t>
        </r>
      </text>
    </comment>
    <comment ref="H2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=G24/F24-1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=G13/J13-1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=G27/J27-1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=G3/F3-1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=G21/F21-1</t>
        </r>
      </text>
    </comment>
    <comment ref="H2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=G22/F22-1</t>
        </r>
      </text>
    </comment>
    <comment ref="H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=G23/F23-1</t>
        </r>
      </text>
    </comment>
    <comment ref="H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=G25/F25-1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=G31/F31-1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=G34/F34-1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=G13/J13-1</t>
        </r>
      </text>
    </comment>
    <comment ref="K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=G21/J21-1</t>
        </r>
      </text>
    </comment>
    <comment ref="K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=G23/J23-1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=G34/J34-1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R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R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R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Q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W4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=H42-V42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Q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W4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=H42-V42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Q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W4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=H42-V42</t>
        </r>
      </text>
    </comment>
  </commentList>
</comments>
</file>

<file path=xl/sharedStrings.xml><?xml version="1.0" encoding="utf-8"?>
<sst xmlns="http://schemas.openxmlformats.org/spreadsheetml/2006/main" count="2345" uniqueCount="232">
  <si>
    <t xml:space="preserve">Actual </t>
  </si>
  <si>
    <t xml:space="preserve">מטרה </t>
  </si>
  <si>
    <t xml:space="preserve">#</t>
  </si>
  <si>
    <t xml:space="preserve">ארץ</t>
  </si>
  <si>
    <t xml:space="preserve">ינואר</t>
  </si>
  <si>
    <t xml:space="preserve">פברואר</t>
  </si>
  <si>
    <t xml:space="preserve">מרץ</t>
  </si>
  <si>
    <t xml:space="preserve">אפריל</t>
  </si>
  <si>
    <t xml:space="preserve">מאי</t>
  </si>
  <si>
    <t xml:space="preserve">יוני</t>
  </si>
  <si>
    <t xml:space="preserve">יולי</t>
  </si>
  <si>
    <t xml:space="preserve">אוגוסט</t>
  </si>
  <si>
    <t xml:space="preserve">ספטמבר</t>
  </si>
  <si>
    <t xml:space="preserve">אוקטובר</t>
  </si>
  <si>
    <t xml:space="preserve">נובמבר</t>
  </si>
  <si>
    <t xml:space="preserve">דצמבר</t>
  </si>
  <si>
    <t xml:space="preserve">שנתי</t>
  </si>
  <si>
    <t xml:space="preserve">מצטבר ינואר  </t>
  </si>
  <si>
    <t xml:space="preserve">מצטבר פברואר</t>
  </si>
  <si>
    <t xml:space="preserve">מצטבר מרץ</t>
  </si>
  <si>
    <t xml:space="preserve">מצטבר אפריל</t>
  </si>
  <si>
    <t xml:space="preserve">מצטבר מאי</t>
  </si>
  <si>
    <t xml:space="preserve">מצטבר יוני</t>
  </si>
  <si>
    <t xml:space="preserve">מצטבר יולי</t>
  </si>
  <si>
    <t xml:space="preserve">מצטבר אוגוסט</t>
  </si>
  <si>
    <t xml:space="preserve">מצטבר ספטמבר</t>
  </si>
  <si>
    <t xml:space="preserve">מצטבר אוקטובר</t>
  </si>
  <si>
    <t xml:space="preserve">מצטבר נובמבר</t>
  </si>
  <si>
    <t xml:space="preserve">מצטבר דצמבר</t>
  </si>
  <si>
    <t xml:space="preserve">H1</t>
  </si>
  <si>
    <t xml:space="preserve">H2</t>
  </si>
  <si>
    <t xml:space="preserve">סופר פארם לייף</t>
  </si>
  <si>
    <t xml:space="preserve">ISRAEL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</si>
  <si>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</si>
  <si>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</si>
  <si>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</si>
  <si>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</si>
  <si>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</si>
  <si>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</si>
  <si>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</si>
  <si>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</si>
  <si>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</si>
  <si>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ספורט</t>
  </si>
  <si>
    <t xml:space="preserve">בתי חולים ושרות</t>
  </si>
  <si>
    <t xml:space="preserve">מכוני פיזיותרפיה</t>
  </si>
  <si>
    <t xml:space="preserve">לקוחות אינטרנט</t>
  </si>
  <si>
    <t xml:space="preserve">סופר פארם מרקט פלייס</t>
  </si>
  <si>
    <t xml:space="preserve">חנויות נעליים</t>
  </si>
  <si>
    <t xml:space="preserve">סה"כ ישראל</t>
  </si>
  <si>
    <t xml:space="preserve">Total - 301 - Amazon</t>
  </si>
  <si>
    <t xml:space="preserve">AMAZON</t>
  </si>
  <si>
    <t xml:space="preserve">USA</t>
  </si>
  <si>
    <t xml:space="preserve">Total - 202 - Super-Pharm POLAND</t>
  </si>
  <si>
    <t xml:space="preserve">SUPER PHARM POLAND</t>
  </si>
  <si>
    <t xml:space="preserve">POLAND</t>
  </si>
  <si>
    <t xml:space="preserve">Total - 203 - Ortho- Partner ag SWITZERLAND</t>
  </si>
  <si>
    <t xml:space="preserve">ORTHO- PARTNER AG.</t>
  </si>
  <si>
    <t xml:space="preserve">SWITZERLAND</t>
  </si>
  <si>
    <t xml:space="preserve">Total - 204 - Sanaflex Anatomic GREECE</t>
  </si>
  <si>
    <t xml:space="preserve">SANAFLEX ANATOMIC</t>
  </si>
  <si>
    <t xml:space="preserve">GREECE</t>
  </si>
  <si>
    <t xml:space="preserve">Total - 205 - Health Care Prod. Gmbh GERMANY</t>
  </si>
  <si>
    <t xml:space="preserve">HEALTH CARE PROD. GMBH</t>
  </si>
  <si>
    <t xml:space="preserve">GERMANY</t>
  </si>
  <si>
    <t xml:space="preserve">Total - 206 - Orthomed  Ltd BULGARIA</t>
  </si>
  <si>
    <t xml:space="preserve">ORTHOMED  LTD</t>
  </si>
  <si>
    <t xml:space="preserve">BULGARIA</t>
  </si>
  <si>
    <t xml:space="preserve">Total - 207 - Salus HUNGARY</t>
  </si>
  <si>
    <t xml:space="preserve">SALUS</t>
  </si>
  <si>
    <t xml:space="preserve">HUNGARY</t>
  </si>
  <si>
    <t xml:space="preserve">Total - 216 - Max Konnaris CYPRUS</t>
  </si>
  <si>
    <t xml:space="preserve">MAX KONNARIS LTD</t>
  </si>
  <si>
    <t xml:space="preserve">CYPRUS</t>
  </si>
  <si>
    <t xml:space="preserve">Total - 208 - Medipal Company NABLUS</t>
  </si>
  <si>
    <t xml:space="preserve">MEDIPAL COMPANY</t>
  </si>
  <si>
    <t xml:space="preserve">NABLUS</t>
  </si>
  <si>
    <t xml:space="preserve">Total - 209 - Ortoprofil Prod ROMANIA</t>
  </si>
  <si>
    <t xml:space="preserve">ORTOPROFIL PROD. ROMANIA</t>
  </si>
  <si>
    <t xml:space="preserve">ROMANIA</t>
  </si>
  <si>
    <t xml:space="preserve">Total - 210 - Oy. Ea. Ab. FINLAND</t>
  </si>
  <si>
    <t xml:space="preserve">OY. EA. AB.</t>
  </si>
  <si>
    <t xml:space="preserve">FINLAND</t>
  </si>
  <si>
    <t xml:space="preserve">Total - 201- Seven Gear FINLAND oy</t>
  </si>
  <si>
    <t xml:space="preserve">SEVEN GEAR</t>
  </si>
  <si>
    <t xml:space="preserve">211 - Pharmag Lachmair Ges. Mbh AUSTRIA</t>
  </si>
  <si>
    <t xml:space="preserve">PHARMAG LACHMAIR GES. MBH</t>
  </si>
  <si>
    <t xml:space="preserve">AUSTRIA</t>
  </si>
  <si>
    <t xml:space="preserve">Total - 213 - E.f.m.o. SPAIN</t>
  </si>
  <si>
    <t xml:space="preserve">E.F.M.O.</t>
  </si>
  <si>
    <t xml:space="preserve">SPAIN</t>
  </si>
  <si>
    <t xml:space="preserve">Total - 214 - Alfred Gera&amp; Sons Ltd. MALTA</t>
  </si>
  <si>
    <t xml:space="preserve">ALFRED GERA</t>
  </si>
  <si>
    <t xml:space="preserve">MALTA</t>
  </si>
  <si>
    <t xml:space="preserve">YOUNG IN HEALTHCARE CO.,</t>
  </si>
  <si>
    <t xml:space="preserve">200 - ROW : 217 - N3W FOODS USA</t>
  </si>
  <si>
    <t xml:space="preserve">HANS</t>
  </si>
  <si>
    <t xml:space="preserve">New Distributors</t>
  </si>
  <si>
    <t xml:space="preserve">NEW DISTRIBUTORS</t>
  </si>
  <si>
    <t xml:space="preserve">סה"כ חו"ל</t>
  </si>
  <si>
    <t xml:space="preserve">סה"כ </t>
  </si>
  <si>
    <t xml:space="preserve">בתי מרקחת כמיפל</t>
  </si>
  <si>
    <t xml:space="preserve">ביצוע מצטבר לפי חודשים </t>
  </si>
  <si>
    <t xml:space="preserve">בחר חודש (מצטבר מינואר עד החודש שנבחר, כולל):</t>
  </si>
  <si>
    <t xml:space="preserve">(מספר חודש נבחר:)</t>
  </si>
  <si>
    <t xml:space="preserve">תאריך חישוב:</t>
  </si>
  <si>
    <t xml:space="preserve">מספר</t>
  </si>
  <si>
    <t xml:space="preserve">קטגוריה</t>
  </si>
  <si>
    <t xml:space="preserve">קבוצה</t>
  </si>
  <si>
    <t xml:space="preserve">% מול 2025</t>
  </si>
  <si>
    <t xml:space="preserve">₪ מול 2025</t>
  </si>
  <si>
    <t xml:space="preserve">תקציב </t>
  </si>
  <si>
    <t xml:space="preserve">% מול תקציב</t>
  </si>
  <si>
    <t xml:space="preserve">₪ מול תקציב</t>
  </si>
  <si>
    <t xml:space="preserve">% מול מטרה</t>
  </si>
  <si>
    <t xml:space="preserve">₪ מול מטרה</t>
  </si>
  <si>
    <t xml:space="preserve">סה"כ ישראל ללא אונליין</t>
  </si>
  <si>
    <t xml:space="preserve">סה"כ מכירות</t>
  </si>
  <si>
    <t xml:space="preserve">אחוז מכירות חו"ל מסה"כ מכירות</t>
  </si>
  <si>
    <t xml:space="preserve">ביצוע מצטבר לפי רבעונים  </t>
  </si>
  <si>
    <t xml:space="preserve">בחר רבעון:</t>
  </si>
  <si>
    <t xml:space="preserve">Q4</t>
  </si>
  <si>
    <t xml:space="preserve">(מספר רבעון:)</t>
  </si>
  <si>
    <t xml:space="preserve">2024 (רבעון)</t>
  </si>
  <si>
    <t xml:space="preserve">2025 (רבעון)</t>
  </si>
  <si>
    <t xml:space="preserve">2026 (רבעון)</t>
  </si>
  <si>
    <t xml:space="preserve">תקציב (רבעון)</t>
  </si>
  <si>
    <t xml:space="preserve">מטרה (רבעון)</t>
  </si>
  <si>
    <t xml:space="preserve">דוח מכירות ינואר 2026</t>
  </si>
  <si>
    <t xml:space="preserve">אחוז מול 2025</t>
  </si>
  <si>
    <t xml:space="preserve">כספי מול 2025  </t>
  </si>
  <si>
    <t xml:space="preserve">תקציב</t>
  </si>
  <si>
    <t xml:space="preserve">111 - Superpharm Life</t>
  </si>
  <si>
    <t xml:space="preserve">112 - Kupat Holim Clalit</t>
  </si>
  <si>
    <t xml:space="preserve">113 - Kupat Holim Meuhedet</t>
  </si>
  <si>
    <t xml:space="preserve">102 - Orthopedic institutes</t>
  </si>
  <si>
    <t xml:space="preserve">101 - Factory customers</t>
  </si>
  <si>
    <t xml:space="preserve">109 - Private Shops</t>
  </si>
  <si>
    <t xml:space="preserve">105 - Pedicure Salons</t>
  </si>
  <si>
    <t xml:space="preserve">104 - Sports Shop</t>
  </si>
  <si>
    <t xml:space="preserve">106 - Hospitals</t>
  </si>
  <si>
    <t xml:space="preserve">103 - Physiotherapy institutes</t>
  </si>
  <si>
    <t xml:space="preserve">114 - IL online</t>
  </si>
  <si>
    <t xml:space="preserve">115-SuperPharm Online</t>
  </si>
  <si>
    <t xml:space="preserve">301 - Amazon</t>
  </si>
  <si>
    <t xml:space="preserve">202 - Super-Pharm POLAND</t>
  </si>
  <si>
    <t xml:space="preserve">203 - Ortho- Partner ag SWITZERLAND</t>
  </si>
  <si>
    <t xml:space="preserve">204 - Sanaflex Anatomic GREECE</t>
  </si>
  <si>
    <t xml:space="preserve">205 - Health Care Prod. Gmbh GERMANY</t>
  </si>
  <si>
    <t xml:space="preserve">206 - Orthomed  Ltd BULGARIA</t>
  </si>
  <si>
    <t xml:space="preserve">207 - Salus HUNGARY</t>
  </si>
  <si>
    <t xml:space="preserve">216 - Max Konnaris CYPRUS</t>
  </si>
  <si>
    <t xml:space="preserve">208 - Medipal Company NABLUS</t>
  </si>
  <si>
    <t xml:space="preserve">209 - Ortoprofil Prod ROMANIA</t>
  </si>
  <si>
    <t xml:space="preserve">210 - Oy. Ea. Ab. FINLAND</t>
  </si>
  <si>
    <t xml:space="preserve">201- Seven Gear FINLAND oy</t>
  </si>
  <si>
    <t xml:space="preserve">REMEDICARE B.V.</t>
  </si>
  <si>
    <t xml:space="preserve">HOLLAND</t>
  </si>
  <si>
    <t xml:space="preserve">213 - E.f.m.o. SPAIN</t>
  </si>
  <si>
    <t xml:space="preserve">214 - Alfred Gera&amp; Sons Ltd. MALTA</t>
  </si>
  <si>
    <t xml:space="preserve">212 - Quadrifoglio Medical ROMANIA</t>
  </si>
  <si>
    <t xml:space="preserve">QUADRIFOGLIO MEDICAL</t>
  </si>
  <si>
    <t xml:space="preserve">215 - Young In Healthcare Co. SOUTH KOREA</t>
  </si>
  <si>
    <t xml:space="preserve">KOREA</t>
  </si>
  <si>
    <t xml:space="preserve">סה"כ מכירות </t>
  </si>
  <si>
    <t xml:space="preserve">מכבי</t>
  </si>
  <si>
    <t xml:space="preserve">BAKU</t>
  </si>
  <si>
    <t xml:space="preserve">AZERBAIJAN</t>
  </si>
  <si>
    <t xml:space="preserve">MEXICO</t>
  </si>
  <si>
    <t xml:space="preserve">דוח מכירות פברואר 2026</t>
  </si>
  <si>
    <t xml:space="preserve">דוח מכירות מרץ 2026</t>
  </si>
  <si>
    <t xml:space="preserve">דוח מכירות אפריל 2026</t>
  </si>
  <si>
    <t xml:space="preserve">דוח מכירות מאי 2026</t>
  </si>
  <si>
    <t xml:space="preserve">דוח מכירות יוני 2026</t>
  </si>
  <si>
    <t xml:space="preserve">דוח מכירות יולי 2026</t>
  </si>
  <si>
    <t xml:space="preserve">SOB</t>
  </si>
  <si>
    <t xml:space="preserve">% ביצוע </t>
  </si>
  <si>
    <t xml:space="preserve">כספי מול תקציב </t>
  </si>
  <si>
    <t xml:space="preserve">% מול מטרה </t>
  </si>
  <si>
    <t xml:space="preserve">כספי מול מטרה </t>
  </si>
  <si>
    <t xml:space="preserve">דוח מכירות אוגוסט 2026</t>
  </si>
  <si>
    <t xml:space="preserve">דוח מכירות ספטמבר 2026</t>
  </si>
  <si>
    <t xml:space="preserve">דוח מכירות אוקטובר 2026</t>
  </si>
  <si>
    <t xml:space="preserve">דוח מכירות נובמבר 2026</t>
  </si>
  <si>
    <t xml:space="preserve">דוח מכירות דצמבר 2026</t>
  </si>
  <si>
    <t xml:space="preserve">טבלת עזר שטוחה (מוסתר) - בסיס לגיליונות 'מצטבר - בחירה' ו'רבעונים'. אל תמחק/תשנה ידנית.</t>
  </si>
  <si>
    <t xml:space="preserve">חודש #</t>
  </si>
  <si>
    <t xml:space="preserve">שם חודש</t>
  </si>
  <si>
    <t xml:space="preserve">עמודת תקציב מצטבר</t>
  </si>
  <si>
    <t xml:space="preserve">עמודת יעד מצטבר</t>
  </si>
  <si>
    <t xml:space="preserve">עמודת תקציב חודשי</t>
  </si>
  <si>
    <t xml:space="preserve">עמודת יעד חודשי</t>
  </si>
  <si>
    <t xml:space="preserve">ינואר-2024</t>
  </si>
  <si>
    <t xml:space="preserve">פברואר-2024</t>
  </si>
  <si>
    <t xml:space="preserve">מרץ-2024</t>
  </si>
  <si>
    <t xml:space="preserve">אפריל-2024</t>
  </si>
  <si>
    <t xml:space="preserve">מאי-2024</t>
  </si>
  <si>
    <t xml:space="preserve">יוני-2024</t>
  </si>
  <si>
    <t xml:space="preserve">יולי-2024</t>
  </si>
  <si>
    <t xml:space="preserve">אוגוסט-2024</t>
  </si>
  <si>
    <t xml:space="preserve">ספטמבר-2024</t>
  </si>
  <si>
    <t xml:space="preserve">אוקטובר-2024</t>
  </si>
  <si>
    <t xml:space="preserve">נובמבר-2024</t>
  </si>
  <si>
    <t xml:space="preserve">דצמבר-2024</t>
  </si>
  <si>
    <t xml:space="preserve">ינואר-2025</t>
  </si>
  <si>
    <t xml:space="preserve">פברואר-2025</t>
  </si>
  <si>
    <t xml:space="preserve">מרץ-2025</t>
  </si>
  <si>
    <t xml:space="preserve">אפריל-2025</t>
  </si>
  <si>
    <t xml:space="preserve">מאי-2025</t>
  </si>
  <si>
    <t xml:space="preserve">יוני-2025</t>
  </si>
  <si>
    <t xml:space="preserve">יולי-2025</t>
  </si>
  <si>
    <t xml:space="preserve">אוגוסט-2025</t>
  </si>
  <si>
    <t xml:space="preserve">ספטמבר-2025</t>
  </si>
  <si>
    <t xml:space="preserve">אוקטובר-2025</t>
  </si>
  <si>
    <t xml:space="preserve">נובמבר-2025</t>
  </si>
  <si>
    <t xml:space="preserve">דצמבר-2025</t>
  </si>
  <si>
    <t xml:space="preserve">ינואר-2026</t>
  </si>
  <si>
    <t xml:space="preserve">פברואר-2026</t>
  </si>
  <si>
    <t xml:space="preserve">מרץ-2026</t>
  </si>
  <si>
    <t xml:space="preserve">אפריל-2026</t>
  </si>
  <si>
    <t xml:space="preserve">מאי-2026</t>
  </si>
  <si>
    <t xml:space="preserve">יוני-2026</t>
  </si>
  <si>
    <t xml:space="preserve">יולי-2026</t>
  </si>
  <si>
    <t xml:space="preserve">אוגוסט-2026</t>
  </si>
  <si>
    <t xml:space="preserve">ספטמבר-2026</t>
  </si>
  <si>
    <t xml:space="preserve">אוקטובר-2026</t>
  </si>
  <si>
    <t xml:space="preserve">נובמבר-2026</t>
  </si>
  <si>
    <t xml:space="preserve">דצמבר-2026</t>
  </si>
  <si>
    <t xml:space="preserve">אינדקס חודש (לשימוש SUMIFS מצטבר)</t>
  </si>
  <si>
    <t xml:space="preserve">אינדקס רבעון (לשימוש SUMIFS רבעוני)</t>
  </si>
  <si>
    <t xml:space="preserve">ישראל</t>
  </si>
  <si>
    <t xml:space="preserve">הערה: עמודות 'מצטבר' מבוססות על המבנה הקבוע של גיליון 'תקציב' (שורת כותרות 4): S=19,U-AE=21..31 (מצטבר ינואר..דצמבר); AR-AW=44..49 (יעד מצטבר יולי..דצמבר, קיים רק מיולי). עמודות 'חודשי' הן E..P=5..16 (תקציב חודשי) ו-AI..AN=35..40 (יעד חודשי, קיים רק יולי-דצמבר). מאומת ידנית מול מבנה הקובץ המקורי בתאריך 01/10/2026.</t>
  </si>
  <si>
    <t xml:space="preserve">יצוא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</si>
</sst>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 * #,##0_ ;_ * \-#,##0_ ;_ * \-??_ ;_ @_ "/>
    <numFmt numFmtId="167" formatCode="0"/>
    <numFmt numFmtId="168" formatCode="0%"/>
    <numFmt numFmtId="169" formatCode="dd/mm/yy"/>
    <numFmt numFmtId="170" formatCode="0.0%"/>
    <numFmt numFmtId="171" formatCode="0.0000"/>
  </numFmts>
  <fonts count="24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rgb="FFFF0000"/>
      <name val="Arial"/>
      <family val="2"/>
      <charset val="177"/>
    </font>
    <font>
      <b val="true"/>
      <sz val="8"/>
      <color rgb="FF000000"/>
      <name val="Arial"/>
      <family val="2"/>
      <charset val="1"/>
    </font>
    <font>
      <sz val="10"/>
      <name val="Arial"/>
      <family val="2"/>
    </font>
    <font>
      <sz val="10"/>
      <name val="FreeSans"/>
      <family val="2"/>
    </font>
    <font>
      <sz val="10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sz val="8"/>
      <color rgb="FFFF0000"/>
      <name val="Arial"/>
      <family val="2"/>
      <charset val="177"/>
    </font>
    <font>
      <b val="true"/>
      <sz val="10"/>
      <color rgb="FFFF0000"/>
      <name val="Arial"/>
      <family val="2"/>
      <charset val="1"/>
    </font>
    <font>
      <sz val="10"/>
      <color theme="1"/>
      <name val="Arial"/>
      <family val="2"/>
      <charset val="177"/>
    </font>
    <font>
      <b val="true"/>
      <sz val="9"/>
      <color theme="1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color theme="1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theme="2" tint="-0.1"/>
        <bgColor rgb="FFCCCCCC"/>
      </patternFill>
    </fill>
    <fill>
      <patternFill patternType="solid">
        <fgColor theme="5" tint="0.7998"/>
        <bgColor rgb="FFFCE4D6"/>
      </patternFill>
    </fill>
    <fill>
      <patternFill patternType="solid">
        <fgColor theme="0" tint="-0.05"/>
        <bgColor rgb="FFE7E6E6"/>
      </patternFill>
    </fill>
    <fill>
      <patternFill patternType="solid">
        <fgColor rgb="FFFFFF00"/>
        <bgColor rgb="FFFFD966"/>
      </patternFill>
    </fill>
    <fill>
      <patternFill patternType="solid">
        <fgColor theme="0"/>
        <bgColor rgb="FFF2F2F2"/>
      </patternFill>
    </fill>
    <fill>
      <patternFill patternType="solid">
        <fgColor rgb="FF92D050"/>
        <bgColor rgb="FFC5E0B4"/>
      </patternFill>
    </fill>
    <fill>
      <patternFill patternType="solid">
        <fgColor rgb="FFFFC000"/>
        <bgColor rgb="FFFFD966"/>
      </patternFill>
    </fill>
    <fill>
      <patternFill patternType="solid">
        <fgColor theme="2"/>
        <bgColor rgb="FFDAE3F3"/>
      </patternFill>
    </fill>
    <fill>
      <patternFill patternType="solid">
        <fgColor rgb="FF4472C4"/>
        <bgColor rgb="FF666699"/>
      </patternFill>
    </fill>
    <fill>
      <patternFill patternType="solid">
        <fgColor rgb="FFFCE4D6"/>
        <bgColor rgb="FFFBE5D6"/>
      </patternFill>
    </fill>
    <fill>
      <patternFill patternType="solid">
        <fgColor rgb="FFC6E0B4"/>
        <bgColor rgb="FFC5E0B4"/>
      </patternFill>
    </fill>
    <fill>
      <patternFill patternType="solid">
        <fgColor theme="0" tint="-0.25"/>
        <bgColor rgb="FFCCCCCC"/>
      </patternFill>
    </fill>
    <fill>
      <patternFill patternType="solid">
        <fgColor theme="9" tint="0.5998"/>
        <bgColor rgb="FFC6E0B4"/>
      </patternFill>
    </fill>
    <fill>
      <patternFill patternType="solid">
        <fgColor theme="5" tint="0.5998"/>
        <bgColor rgb="FFFFE699"/>
      </patternFill>
    </fill>
    <fill>
      <patternFill patternType="solid">
        <fgColor theme="4" tint="0.5998"/>
        <bgColor rgb="FFBFBFBF"/>
      </patternFill>
    </fill>
    <fill>
      <patternFill patternType="solid">
        <fgColor theme="7" tint="0.3998"/>
        <bgColor rgb="FFFFE699"/>
      </patternFill>
    </fill>
    <fill>
      <patternFill patternType="solid">
        <fgColor theme="4" tint="0.7998"/>
        <bgColor rgb="FFD9E1F2"/>
      </patternFill>
    </fill>
    <fill>
      <patternFill patternType="solid">
        <fgColor theme="7" tint="0.5998"/>
        <bgColor rgb="FFFFF2CC"/>
      </patternFill>
    </fill>
    <fill>
      <patternFill patternType="solid">
        <fgColor theme="7" tint="0.7998"/>
        <bgColor rgb="FFFBE5D6"/>
      </patternFill>
    </fill>
    <fill>
      <patternFill patternType="solid">
        <fgColor rgb="FFD9E1F2"/>
        <bgColor rgb="FFDAE3F3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dashed">
        <color rgb="FFCCCCCC"/>
      </top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8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10" borderId="3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10" borderId="3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14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11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1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11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11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12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2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12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12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3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3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4" fontId="8" fillId="4" borderId="3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6" fontId="1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1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8" borderId="2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6" fontId="8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4" fontId="22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2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7" fillId="0" borderId="2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7" fontId="17" fillId="19" borderId="2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7" fillId="19" borderId="2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6" fontId="17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1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Comma 2 2 2" xfId="22"/>
    <cellStyle name="Comma 2 3" xfId="23"/>
    <cellStyle name="Comma 3" xfId="24"/>
    <cellStyle name="Comma 3 2" xfId="25"/>
    <cellStyle name="Comma 4" xfId="26"/>
    <cellStyle name="Normal 2" xfId="27"/>
    <cellStyle name="Normal 3" xfId="28"/>
    <cellStyle name="Normal 4" xfId="2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E1F2"/>
      <rgbColor rgb="FF993366"/>
      <rgbColor rgb="FFFFF2CC"/>
      <rgbColor rgb="FFDAE3F3"/>
      <rgbColor rgb="FF660066"/>
      <rgbColor rgb="FFFBE5D6"/>
      <rgbColor rgb="FF0066CC"/>
      <rgbColor rgb="FFB4C7E7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CCCCCC"/>
      <rgbColor rgb="FFFCE4D6"/>
      <rgbColor rgb="FFD0CECE"/>
      <rgbColor rgb="FFF8CBAD"/>
      <rgbColor rgb="FF4472C4"/>
      <rgbColor rgb="FF33CCCC"/>
      <rgbColor rgb="FF92D050"/>
      <rgbColor rgb="FFFFC000"/>
      <rgbColor rgb="FFE7E6E6"/>
      <rgbColor rgb="FFFF6600"/>
      <rgbColor rgb="FF666699"/>
      <rgbColor rgb="FFC5E0B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של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78"/>
  <sheetViews>
    <sheetView showFormulas="false" showGridLines="true" showRowColHeaders="true" showZeros="true" rightToLeft="true" tabSelected="true" showOutlineSymbols="true" defaultGridColor="true" view="normal" topLeftCell="A1" colorId="64" zoomScale="70" zoomScaleNormal="7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I21" activeCellId="0" sqref="I2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3.62"/>
    <col collapsed="false" customWidth="true" hidden="false" outlineLevel="0" max="2" min="2" style="1" width="37.25"/>
    <col collapsed="false" customWidth="true" hidden="false" outlineLevel="0" max="3" min="3" style="1" width="27"/>
    <col collapsed="false" customWidth="true" hidden="false" outlineLevel="0" max="4" min="4" style="2" width="8.5"/>
    <col collapsed="false" customWidth="true" hidden="false" outlineLevel="0" max="13" min="5" style="3" width="9.75"/>
    <col collapsed="false" customWidth="true" hidden="false" outlineLevel="0" max="14" min="14" style="4" width="9.75"/>
    <col collapsed="false" customWidth="true" hidden="false" outlineLevel="0" max="16" min="15" style="3" width="9.75"/>
    <col collapsed="false" customWidth="true" hidden="false" outlineLevel="0" max="17" min="17" style="4" width="11.75"/>
    <col collapsed="false" customWidth="true" hidden="true" outlineLevel="0" max="18" min="18" style="5" width="9.75"/>
    <col collapsed="false" customWidth="true" hidden="false" outlineLevel="0" max="19" min="19" style="5" width="9.75"/>
    <col collapsed="false" customWidth="true" hidden="true" outlineLevel="0" max="20" min="20" style="1" width="10.5"/>
    <col collapsed="false" customWidth="true" hidden="false" outlineLevel="0" max="21" min="21" style="5" width="12.12"/>
    <col collapsed="false" customWidth="true" hidden="false" outlineLevel="0" max="22" min="22" style="5" width="9.87"/>
    <col collapsed="false" customWidth="true" hidden="false" outlineLevel="0" max="23" min="23" style="5" width="11.12"/>
    <col collapsed="false" customWidth="true" hidden="false" outlineLevel="0" max="26" min="24" style="5" width="10.88"/>
    <col collapsed="false" customWidth="true" hidden="false" outlineLevel="0" max="27" min="27" style="5" width="11.75"/>
    <col collapsed="false" customWidth="true" hidden="false" outlineLevel="0" max="28" min="28" style="5" width="13.12"/>
    <col collapsed="false" customWidth="true" hidden="false" outlineLevel="0" max="29" min="29" style="5" width="12.88"/>
    <col collapsed="false" customWidth="true" hidden="false" outlineLevel="0" max="30" min="30" style="5" width="12.12"/>
    <col collapsed="false" customWidth="true" hidden="false" outlineLevel="0" max="31" min="31" style="5" width="11.75"/>
    <col collapsed="false" customWidth="true" hidden="false" outlineLevel="0" max="33" min="33" style="5" width="11.75"/>
    <col collapsed="false" customWidth="true" hidden="false" outlineLevel="0" max="37" min="35" style="1" width="9.87"/>
    <col collapsed="false" customWidth="true" hidden="false" outlineLevel="0" max="42" min="38" style="1" width="10.88"/>
    <col collapsed="false" customWidth="true" hidden="false" outlineLevel="0" max="44" min="44" style="1" width="10.88"/>
    <col collapsed="false" customWidth="true" hidden="false" outlineLevel="0" max="45" min="45" style="1" width="11"/>
    <col collapsed="false" customWidth="true" hidden="false" outlineLevel="0" max="46" min="46" style="1" width="12.5"/>
    <col collapsed="false" customWidth="true" hidden="false" outlineLevel="0" max="47" min="47" style="1" width="11.75"/>
    <col collapsed="false" customWidth="true" hidden="false" outlineLevel="0" max="48" min="48" style="1" width="10.75"/>
    <col collapsed="false" customWidth="true" hidden="false" outlineLevel="0" max="49" min="49" style="1" width="12.12"/>
  </cols>
  <sheetData>
    <row r="1" customFormat="false" ht="14.25" hidden="true" customHeight="true" outlineLevel="0" collapsed="false">
      <c r="E1" s="3" t="n">
        <v>2</v>
      </c>
      <c r="F1" s="3" t="n">
        <f aca="false">+E1+1</f>
        <v>3</v>
      </c>
      <c r="G1" s="3" t="n">
        <f aca="false">+F1+1</f>
        <v>4</v>
      </c>
      <c r="H1" s="3" t="n">
        <f aca="false">+G1+1</f>
        <v>5</v>
      </c>
      <c r="I1" s="3" t="n">
        <f aca="false">+H1+1</f>
        <v>6</v>
      </c>
      <c r="J1" s="3" t="n">
        <f aca="false">+I1+1</f>
        <v>7</v>
      </c>
      <c r="K1" s="3" t="n">
        <f aca="false">+J1+1</f>
        <v>8</v>
      </c>
      <c r="L1" s="3" t="n">
        <f aca="false">+K1+1</f>
        <v>9</v>
      </c>
      <c r="M1" s="3" t="n">
        <f aca="false">+L1+1</f>
        <v>10</v>
      </c>
      <c r="N1" s="3" t="n">
        <f aca="false">+M1+1</f>
        <v>11</v>
      </c>
      <c r="O1" s="3" t="n">
        <f aca="false">+N1+1</f>
        <v>12</v>
      </c>
      <c r="P1" s="3" t="n">
        <f aca="false">+O1+1</f>
        <v>13</v>
      </c>
    </row>
    <row r="2" customFormat="false" ht="15.75" hidden="true" customHeight="true" outlineLevel="0" collapsed="false">
      <c r="B2" s="6"/>
      <c r="C2" s="7"/>
      <c r="D2" s="7"/>
      <c r="E2" s="4" t="n">
        <v>3</v>
      </c>
      <c r="F2" s="4" t="n">
        <f aca="false">E2+3</f>
        <v>6</v>
      </c>
      <c r="G2" s="4" t="n">
        <f aca="false">F2+3</f>
        <v>9</v>
      </c>
      <c r="H2" s="4" t="n">
        <f aca="false">G2+3</f>
        <v>12</v>
      </c>
      <c r="I2" s="4" t="n">
        <f aca="false">H2+3</f>
        <v>15</v>
      </c>
      <c r="J2" s="4" t="n">
        <f aca="false">I2+3</f>
        <v>18</v>
      </c>
      <c r="K2" s="4" t="n">
        <f aca="false">J2+3</f>
        <v>21</v>
      </c>
      <c r="L2" s="4" t="n">
        <f aca="false">K2+3</f>
        <v>24</v>
      </c>
      <c r="M2" s="4" t="n">
        <f aca="false">L2+3</f>
        <v>27</v>
      </c>
      <c r="N2" s="4" t="n">
        <f aca="false">M2+3</f>
        <v>30</v>
      </c>
      <c r="O2" s="4" t="n">
        <f aca="false">N2+3</f>
        <v>33</v>
      </c>
      <c r="P2" s="4" t="n">
        <f aca="false">O2+3</f>
        <v>36</v>
      </c>
    </row>
    <row r="3" customFormat="false" ht="16.5" hidden="false" customHeight="true" outlineLevel="0" collapsed="false">
      <c r="B3" s="6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G3" s="5" t="s">
        <v>0</v>
      </c>
      <c r="AI3" s="9" t="s">
        <v>1</v>
      </c>
    </row>
    <row r="4" customFormat="false" ht="14.25" hidden="false" customHeight="true" outlineLevel="0" collapsed="false">
      <c r="A4" s="10" t="s">
        <v>2</v>
      </c>
      <c r="B4" s="10"/>
      <c r="C4" s="10"/>
      <c r="D4" s="10" t="s">
        <v>3</v>
      </c>
      <c r="E4" s="10" t="s">
        <v>4</v>
      </c>
      <c r="F4" s="10" t="s">
        <v>5</v>
      </c>
      <c r="G4" s="10" t="s">
        <v>6</v>
      </c>
      <c r="H4" s="11" t="s">
        <v>7</v>
      </c>
      <c r="I4" s="11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1" t="s">
        <v>13</v>
      </c>
      <c r="O4" s="10" t="s">
        <v>14</v>
      </c>
      <c r="P4" s="12" t="s">
        <v>15</v>
      </c>
      <c r="Q4" s="13" t="s">
        <v>16</v>
      </c>
      <c r="S4" s="14" t="s">
        <v>17</v>
      </c>
      <c r="T4" s="15"/>
      <c r="U4" s="14" t="s">
        <v>18</v>
      </c>
      <c r="V4" s="14" t="s">
        <v>19</v>
      </c>
      <c r="W4" s="14" t="s">
        <v>20</v>
      </c>
      <c r="X4" s="14" t="s">
        <v>21</v>
      </c>
      <c r="Y4" s="14" t="s">
        <v>22</v>
      </c>
      <c r="Z4" s="14" t="s">
        <v>23</v>
      </c>
      <c r="AA4" s="14" t="s">
        <v>24</v>
      </c>
      <c r="AB4" s="14" t="s">
        <v>25</v>
      </c>
      <c r="AC4" s="14" t="s">
        <v>26</v>
      </c>
      <c r="AD4" s="14" t="s">
        <v>27</v>
      </c>
      <c r="AE4" s="14" t="s">
        <v>28</v>
      </c>
      <c r="AG4" s="16" t="s">
        <v>29</v>
      </c>
      <c r="AI4" s="9" t="s">
        <v>10</v>
      </c>
      <c r="AJ4" s="9" t="s">
        <v>11</v>
      </c>
      <c r="AK4" s="9" t="s">
        <v>12</v>
      </c>
      <c r="AL4" s="17" t="s">
        <v>13</v>
      </c>
      <c r="AM4" s="9" t="s">
        <v>14</v>
      </c>
      <c r="AN4" s="18" t="s">
        <v>15</v>
      </c>
      <c r="AO4" s="19" t="s">
        <v>30</v>
      </c>
      <c r="AP4" s="20" t="s">
        <v>16</v>
      </c>
      <c r="AR4" s="21" t="s">
        <v>23</v>
      </c>
      <c r="AS4" s="22" t="s">
        <v>24</v>
      </c>
      <c r="AT4" s="22" t="s">
        <v>25</v>
      </c>
      <c r="AU4" s="22" t="s">
        <v>26</v>
      </c>
      <c r="AV4" s="22" t="s">
        <v>27</v>
      </c>
      <c r="AW4" s="23" t="s">
        <v>28</v>
      </c>
    </row>
    <row r="5" customFormat="false" ht="15" hidden="false" customHeight="true" outlineLevel="0" collapsed="false">
      <c r="A5" s="24" t="n">
        <v>5</v>
      </c>
      <c r="B5" s="24" t="s">
        <v>31</v>
      </c>
      <c r="C5" s="25" t="s">
        <v>31</v>
      </c>
      <c r="D5" s="26" t="s">
        <v>32</v>
      </c>
      <c r="E5" s="27" t="n">
        <v>176666.666666667</v>
      </c>
      <c r="F5" s="27" t="n">
        <v>168253.968253968</v>
      </c>
      <c r="G5" s="27" t="n">
        <v>193492.063492064</v>
      </c>
      <c r="H5" s="27" t="n">
        <v>173015.873015873</v>
      </c>
      <c r="I5" s="27" t="n">
        <v>188253.968253968</v>
      </c>
      <c r="J5" s="27" t="n">
        <v>235079.365079365</v>
      </c>
      <c r="K5" s="27" t="n">
        <v>235079.365079365</v>
      </c>
      <c r="L5" s="27" t="n">
        <v>235079.365079365</v>
      </c>
      <c r="M5" s="27" t="n">
        <v>209841.26984127</v>
      </c>
      <c r="N5" s="27" t="n">
        <v>226666.666666667</v>
      </c>
      <c r="O5" s="27" t="n">
        <v>235079.365079365</v>
      </c>
      <c r="P5" s="27" t="n">
        <v>243492.063492064</v>
      </c>
      <c r="Q5" s="28" t="n">
        <f aca="false">SUM(E5:P5)</f>
        <v>2520000</v>
      </c>
      <c r="S5" s="29" t="n">
        <f aca="false">SUM(E5:E5)</f>
        <v>176666.666666667</v>
      </c>
      <c r="U5" s="29" t="n">
        <f aca="false">SUM($E5:F5)</f>
        <v>344920.634920635</v>
      </c>
      <c r="V5" s="29" t="n">
        <f aca="false">SUM($E5:G5)</f>
        <v>538412.698412699</v>
      </c>
      <c r="W5" s="29" t="n">
        <f aca="false">SUM($E5:H5)</f>
        <v>711428.571428572</v>
      </c>
      <c r="X5" s="29" t="n">
        <f aca="false">SUM($E5:I5)</f>
        <v>899682.53968254</v>
      </c>
      <c r="Y5" s="29" t="n">
        <f aca="false">SUM($E5:J5)</f>
        <v>1134761.90476191</v>
      </c>
      <c r="Z5" s="29" t="n">
        <f aca="false">SUM($E5:K5)</f>
        <v>1369841.26984127</v>
      </c>
      <c r="AA5" s="29" t="n">
        <f aca="false">SUM($E5:L5)</f>
        <v>1604920.63492064</v>
      </c>
      <c r="AB5" s="29" t="n">
        <f aca="false">SUM($E5:M5)</f>
        <v>1814761.90476191</v>
      </c>
      <c r="AC5" s="29" t="n">
        <f aca="false">SUM($E5:N5)</f>
        <v>2041428.57142857</v>
      </c>
      <c r="AD5" s="29" t="n">
        <f aca="false">SUM($E5:O5)</f>
        <v>2276507.93650794</v>
      </c>
      <c r="AE5" s="29" t="n">
        <f aca="false">SUM($E5:P5)</f>
        <v>2520000</v>
      </c>
      <c r="AG5" s="30" t="n">
        <v>740443.3</v>
      </c>
      <c r="AI5" s="31" t="n">
        <f aca="false">AJ5</f>
        <v>200000</v>
      </c>
      <c r="AJ5" s="31" t="n">
        <v>200000</v>
      </c>
      <c r="AK5" s="31" t="n">
        <v>200000</v>
      </c>
      <c r="AL5" s="31" t="n">
        <v>200000</v>
      </c>
      <c r="AM5" s="31" t="n">
        <v>200000</v>
      </c>
      <c r="AN5" s="32" t="n">
        <v>200000</v>
      </c>
      <c r="AO5" s="30" t="n">
        <f aca="false">SUM(AI5:AN5)</f>
        <v>1200000</v>
      </c>
      <c r="AP5" s="33" t="n">
        <f aca="false">SUM(AI5:AN5)+Y5</f>
        <v>2334761.90476191</v>
      </c>
      <c r="AR5" s="34" t="n">
        <f aca="false">AI5+AG5</f>
        <v>940443.3</v>
      </c>
      <c r="AS5" s="31" t="n">
        <f aca="false">AR5+AJ5</f>
        <v>1140443.3</v>
      </c>
      <c r="AT5" s="31" t="n">
        <f aca="false">AS5+AK5</f>
        <v>1340443.3</v>
      </c>
      <c r="AU5" s="31" t="n">
        <f aca="false">AT5+AL5</f>
        <v>1540443.3</v>
      </c>
      <c r="AV5" s="31" t="n">
        <f aca="false">AU5+AM5</f>
        <v>1740443.3</v>
      </c>
      <c r="AW5" s="35" t="n">
        <f aca="false">AV5+AN5</f>
        <v>1940443.3</v>
      </c>
    </row>
    <row r="6" customFormat="false" ht="15" hidden="false" customHeight="true" outlineLevel="0" collapsed="false">
      <c r="A6" s="24" t="n">
        <v>1</v>
      </c>
      <c r="B6" s="24" t="s">
        <v>33</v>
      </c>
      <c r="C6" s="25" t="s">
        <v>33</v>
      </c>
      <c r="D6" s="26" t="s">
        <v>32</v>
      </c>
      <c r="E6" s="27" t="n">
        <v>536666.666666667</v>
      </c>
      <c r="F6" s="27" t="n">
        <v>532634.920634921</v>
      </c>
      <c r="G6" s="27" t="n">
        <v>610730.158730159</v>
      </c>
      <c r="H6" s="27" t="n">
        <v>475539.682539683</v>
      </c>
      <c r="I6" s="27" t="n">
        <v>558634.920634921</v>
      </c>
      <c r="J6" s="27" t="n">
        <v>605698.412698413</v>
      </c>
      <c r="K6" s="27" t="n">
        <v>605698.412698413</v>
      </c>
      <c r="L6" s="27" t="n">
        <v>605698.412698413</v>
      </c>
      <c r="M6" s="27" t="n">
        <v>527603.174603175</v>
      </c>
      <c r="N6" s="27" t="n">
        <v>546666.666666667</v>
      </c>
      <c r="O6" s="27" t="n">
        <v>574698.412698413</v>
      </c>
      <c r="P6" s="27" t="n">
        <v>598730.158730159</v>
      </c>
      <c r="Q6" s="28" t="n">
        <f aca="false">SUM(E6:P6)</f>
        <v>6779000</v>
      </c>
      <c r="S6" s="29" t="n">
        <f aca="false">SUM(E6:E6)</f>
        <v>536666.666666667</v>
      </c>
      <c r="U6" s="29" t="n">
        <f aca="false">SUM($E6:F6)</f>
        <v>1069301.58730159</v>
      </c>
      <c r="V6" s="29" t="n">
        <f aca="false">SUM($E6:G6)</f>
        <v>1680031.74603175</v>
      </c>
      <c r="W6" s="29" t="n">
        <f aca="false">SUM($E6:H6)</f>
        <v>2155571.42857143</v>
      </c>
      <c r="X6" s="29" t="n">
        <f aca="false">SUM($E6:I6)</f>
        <v>2714206.34920635</v>
      </c>
      <c r="Y6" s="29" t="n">
        <f aca="false">SUM($E6:J6)</f>
        <v>3319904.76190476</v>
      </c>
      <c r="Z6" s="29" t="n">
        <f aca="false">SUM($E6:K6)</f>
        <v>3925603.17460318</v>
      </c>
      <c r="AA6" s="29" t="n">
        <f aca="false">SUM($E6:L6)</f>
        <v>4531301.58730159</v>
      </c>
      <c r="AB6" s="29" t="n">
        <f aca="false">SUM($E6:M6)</f>
        <v>5058904.76190477</v>
      </c>
      <c r="AC6" s="29" t="n">
        <f aca="false">SUM($E6:N6)</f>
        <v>5605571.42857143</v>
      </c>
      <c r="AD6" s="29" t="n">
        <f aca="false">SUM($E6:O6)</f>
        <v>6180269.84126985</v>
      </c>
      <c r="AE6" s="29" t="n">
        <f aca="false">SUM($E6:P6)</f>
        <v>6779000</v>
      </c>
      <c r="AG6" s="30" t="n">
        <v>2774937.893</v>
      </c>
      <c r="AI6" s="31" t="n">
        <f aca="false">AJ6</f>
        <v>550000</v>
      </c>
      <c r="AJ6" s="31" t="n">
        <v>550000</v>
      </c>
      <c r="AK6" s="31" t="n">
        <v>550000</v>
      </c>
      <c r="AL6" s="31" t="n">
        <v>550000</v>
      </c>
      <c r="AM6" s="31" t="n">
        <v>550000</v>
      </c>
      <c r="AN6" s="32" t="n">
        <v>550000</v>
      </c>
      <c r="AO6" s="30" t="n">
        <f aca="false">SUM(AI6:AN6)</f>
        <v>3300000</v>
      </c>
      <c r="AP6" s="33" t="n">
        <f aca="false">SUM(AI6:AN6)+Y6</f>
        <v>6619904.76190476</v>
      </c>
      <c r="AR6" s="34" t="n">
        <f aca="false">AI6+AG6</f>
        <v>3324937.893</v>
      </c>
      <c r="AS6" s="31" t="n">
        <f aca="false">AR6+AJ6</f>
        <v>3874937.893</v>
      </c>
      <c r="AT6" s="31" t="n">
        <f aca="false">AS6+AK6</f>
        <v>4424937.893</v>
      </c>
      <c r="AU6" s="31" t="n">
        <f aca="false">AT6+AL6</f>
        <v>4974937.893</v>
      </c>
      <c r="AV6" s="31" t="n">
        <f aca="false">AU6+AM6</f>
        <v>5524937.893</v>
      </c>
      <c r="AW6" s="35" t="n">
        <f aca="false">AV6+AN6</f>
        <v>6074937.893</v>
      </c>
    </row>
    <row r="7" customFormat="false" ht="15" hidden="false" customHeight="true" outlineLevel="0" collapsed="false">
      <c r="A7" s="24" t="n">
        <v>7</v>
      </c>
      <c r="B7" s="24" t="s">
        <v>34</v>
      </c>
      <c r="C7" s="25" t="s">
        <v>34</v>
      </c>
      <c r="D7" s="26" t="s">
        <v>32</v>
      </c>
      <c r="E7" s="27" t="n">
        <v>73000</v>
      </c>
      <c r="F7" s="27" t="n">
        <v>73428.5714285714</v>
      </c>
      <c r="G7" s="27" t="n">
        <v>82142.8571428571</v>
      </c>
      <c r="H7" s="27" t="n">
        <v>60714.2857142857</v>
      </c>
      <c r="I7" s="27" t="n">
        <v>71428.5714285714</v>
      </c>
      <c r="J7" s="27" t="n">
        <v>78571.4285714286</v>
      </c>
      <c r="K7" s="27" t="n">
        <v>78571.4285714286</v>
      </c>
      <c r="L7" s="27" t="n">
        <v>78571.4285714286</v>
      </c>
      <c r="M7" s="27" t="n">
        <v>67857.1428571428</v>
      </c>
      <c r="N7" s="27" t="n">
        <v>75000</v>
      </c>
      <c r="O7" s="27" t="n">
        <v>78571.4285714286</v>
      </c>
      <c r="P7" s="27" t="n">
        <v>82142.8571428571</v>
      </c>
      <c r="Q7" s="28" t="n">
        <f aca="false">SUM(E7:P7)</f>
        <v>900000</v>
      </c>
      <c r="S7" s="29" t="n">
        <f aca="false">SUM(E7:E7)</f>
        <v>73000</v>
      </c>
      <c r="U7" s="29" t="n">
        <f aca="false">SUM($E7:F7)</f>
        <v>146428.571428571</v>
      </c>
      <c r="V7" s="29" t="n">
        <f aca="false">SUM($E7:G7)</f>
        <v>228571.428571429</v>
      </c>
      <c r="W7" s="29" t="n">
        <f aca="false">SUM($E7:H7)</f>
        <v>289285.714285714</v>
      </c>
      <c r="X7" s="29" t="n">
        <f aca="false">SUM($E7:I7)</f>
        <v>360714.285714286</v>
      </c>
      <c r="Y7" s="29" t="n">
        <f aca="false">SUM($E7:J7)</f>
        <v>439285.714285714</v>
      </c>
      <c r="Z7" s="29" t="n">
        <f aca="false">SUM($E7:K7)</f>
        <v>517857.142857143</v>
      </c>
      <c r="AA7" s="29" t="n">
        <f aca="false">SUM($E7:L7)</f>
        <v>596428.571428571</v>
      </c>
      <c r="AB7" s="29" t="n">
        <f aca="false">SUM($E7:M7)</f>
        <v>664285.714285714</v>
      </c>
      <c r="AC7" s="29" t="n">
        <f aca="false">SUM($E7:N7)</f>
        <v>739285.714285714</v>
      </c>
      <c r="AD7" s="29" t="n">
        <f aca="false">SUM($E7:O7)</f>
        <v>817857.142857143</v>
      </c>
      <c r="AE7" s="29" t="n">
        <f aca="false">SUM($E7:P7)</f>
        <v>900000</v>
      </c>
      <c r="AG7" s="30" t="n">
        <v>437274.565</v>
      </c>
      <c r="AI7" s="31" t="n">
        <f aca="false">AJ7</f>
        <v>100000</v>
      </c>
      <c r="AJ7" s="31" t="n">
        <v>100000</v>
      </c>
      <c r="AK7" s="31" t="n">
        <v>100000</v>
      </c>
      <c r="AL7" s="31" t="n">
        <v>100000</v>
      </c>
      <c r="AM7" s="31" t="n">
        <v>100000</v>
      </c>
      <c r="AN7" s="32" t="n">
        <v>100000</v>
      </c>
      <c r="AO7" s="30" t="n">
        <f aca="false">SUM(AI7:AN7)</f>
        <v>600000</v>
      </c>
      <c r="AP7" s="33" t="n">
        <f aca="false">SUM(AI7:AN7)+Y7</f>
        <v>1039285.71428571</v>
      </c>
      <c r="AR7" s="34" t="n">
        <f aca="false">AI7+AG7</f>
        <v>537274.565</v>
      </c>
      <c r="AS7" s="31" t="n">
        <f aca="false">AR7+AJ7</f>
        <v>637274.565</v>
      </c>
      <c r="AT7" s="31" t="n">
        <f aca="false">AS7+AK7</f>
        <v>737274.565</v>
      </c>
      <c r="AU7" s="31" t="n">
        <f aca="false">AT7+AL7</f>
        <v>837274.565</v>
      </c>
      <c r="AV7" s="31" t="n">
        <f aca="false">AU7+AM7</f>
        <v>937274.565</v>
      </c>
      <c r="AW7" s="35" t="n">
        <f aca="false">AV7+AN7</f>
        <v>1037274.565</v>
      </c>
    </row>
    <row r="8" customFormat="false" ht="15" hidden="false" customHeight="true" outlineLevel="0" collapsed="false">
      <c r="A8" s="24" t="n">
        <v>4</v>
      </c>
      <c r="B8" s="24" t="s">
        <v>35</v>
      </c>
      <c r="C8" s="25" t="s">
        <v>35</v>
      </c>
      <c r="D8" s="26" t="s">
        <v>32</v>
      </c>
      <c r="E8" s="27" t="n">
        <v>152333.333333333</v>
      </c>
      <c r="F8" s="27" t="n">
        <v>156793.650793651</v>
      </c>
      <c r="G8" s="27" t="n">
        <v>173412.698412698</v>
      </c>
      <c r="H8" s="27" t="n">
        <v>134174.603174603</v>
      </c>
      <c r="I8" s="27" t="n">
        <v>160793.650793651</v>
      </c>
      <c r="J8" s="27" t="n">
        <v>170873.015873016</v>
      </c>
      <c r="K8" s="27" t="n">
        <v>170873.015873016</v>
      </c>
      <c r="L8" s="27" t="n">
        <v>170873.015873016</v>
      </c>
      <c r="M8" s="27" t="n">
        <v>150253.968253968</v>
      </c>
      <c r="N8" s="27" t="n">
        <v>162333.333333333</v>
      </c>
      <c r="O8" s="27" t="n">
        <v>170873.015873016</v>
      </c>
      <c r="P8" s="27" t="n">
        <v>173412.698412698</v>
      </c>
      <c r="Q8" s="28" t="n">
        <f aca="false">SUM(E8:P8)</f>
        <v>1947000</v>
      </c>
      <c r="S8" s="29" t="n">
        <f aca="false">SUM(E8:E8)</f>
        <v>152333.333333333</v>
      </c>
      <c r="U8" s="29" t="n">
        <f aca="false">SUM($E8:F8)</f>
        <v>309126.984126984</v>
      </c>
      <c r="V8" s="29" t="n">
        <f aca="false">SUM($E8:G8)</f>
        <v>482539.682539682</v>
      </c>
      <c r="W8" s="29" t="n">
        <f aca="false">SUM($E8:H8)</f>
        <v>616714.285714285</v>
      </c>
      <c r="X8" s="29" t="n">
        <f aca="false">SUM($E8:I8)</f>
        <v>777507.936507936</v>
      </c>
      <c r="Y8" s="29" t="n">
        <f aca="false">SUM($E8:J8)</f>
        <v>948380.952380952</v>
      </c>
      <c r="Z8" s="29" t="n">
        <f aca="false">SUM($E8:K8)</f>
        <v>1119253.96825397</v>
      </c>
      <c r="AA8" s="29" t="n">
        <f aca="false">SUM($E8:L8)</f>
        <v>1290126.98412698</v>
      </c>
      <c r="AB8" s="29" t="n">
        <f aca="false">SUM($E8:M8)</f>
        <v>1440380.95238095</v>
      </c>
      <c r="AC8" s="29" t="n">
        <f aca="false">SUM($E8:N8)</f>
        <v>1602714.28571429</v>
      </c>
      <c r="AD8" s="29" t="n">
        <f aca="false">SUM($E8:O8)</f>
        <v>1773587.3015873</v>
      </c>
      <c r="AE8" s="29" t="n">
        <f aca="false">SUM($E8:P8)</f>
        <v>1947000</v>
      </c>
      <c r="AG8" s="30" t="n">
        <v>918523.978</v>
      </c>
      <c r="AI8" s="31" t="n">
        <f aca="false">AJ8</f>
        <v>200000</v>
      </c>
      <c r="AJ8" s="31" t="n">
        <v>200000</v>
      </c>
      <c r="AK8" s="31" t="n">
        <v>200000</v>
      </c>
      <c r="AL8" s="31" t="n">
        <v>200000</v>
      </c>
      <c r="AM8" s="31" t="n">
        <v>200000</v>
      </c>
      <c r="AN8" s="32" t="n">
        <v>200000</v>
      </c>
      <c r="AO8" s="30" t="n">
        <f aca="false">SUM(AI8:AN8)</f>
        <v>1200000</v>
      </c>
      <c r="AP8" s="33" t="n">
        <f aca="false">SUM(AI8:AN8)+Y8</f>
        <v>2148380.95238095</v>
      </c>
      <c r="AR8" s="34" t="n">
        <f aca="false">AI8+AG8</f>
        <v>1118523.978</v>
      </c>
      <c r="AS8" s="31" t="n">
        <f aca="false">AR8+AJ8</f>
        <v>1318523.978</v>
      </c>
      <c r="AT8" s="31" t="n">
        <f aca="false">AS8+AK8</f>
        <v>1518523.978</v>
      </c>
      <c r="AU8" s="31" t="n">
        <f aca="false">AT8+AL8</f>
        <v>1718523.978</v>
      </c>
      <c r="AV8" s="31" t="n">
        <f aca="false">AU8+AM8</f>
        <v>1918523.978</v>
      </c>
      <c r="AW8" s="35" t="n">
        <f aca="false">AV8+AN8</f>
        <v>2118523.978</v>
      </c>
    </row>
    <row r="9" customFormat="false" ht="15" hidden="false" customHeight="true" outlineLevel="0" collapsed="false">
      <c r="A9" s="24" t="n">
        <v>3</v>
      </c>
      <c r="B9" s="24" t="s">
        <v>36</v>
      </c>
      <c r="C9" s="25" t="s">
        <v>36</v>
      </c>
      <c r="D9" s="26" t="s">
        <v>32</v>
      </c>
      <c r="E9" s="27" t="n">
        <v>365000</v>
      </c>
      <c r="F9" s="27" t="n">
        <v>365000</v>
      </c>
      <c r="G9" s="27" t="n">
        <v>365000</v>
      </c>
      <c r="H9" s="27" t="n">
        <v>365000</v>
      </c>
      <c r="I9" s="27" t="n">
        <v>365000</v>
      </c>
      <c r="J9" s="27" t="n">
        <v>365000</v>
      </c>
      <c r="K9" s="27" t="n">
        <v>365000</v>
      </c>
      <c r="L9" s="27" t="n">
        <v>365000</v>
      </c>
      <c r="M9" s="27" t="n">
        <v>365000</v>
      </c>
      <c r="N9" s="27" t="n">
        <v>365000</v>
      </c>
      <c r="O9" s="27" t="n">
        <v>365000</v>
      </c>
      <c r="P9" s="27" t="n">
        <v>366000</v>
      </c>
      <c r="Q9" s="28" t="n">
        <f aca="false">SUM(E9:P9)</f>
        <v>4381000</v>
      </c>
      <c r="S9" s="29" t="n">
        <f aca="false">SUM(E9:E9)</f>
        <v>365000</v>
      </c>
      <c r="U9" s="29" t="n">
        <f aca="false">SUM($E9:F9)</f>
        <v>730000</v>
      </c>
      <c r="V9" s="29" t="n">
        <f aca="false">SUM($E9:G9)</f>
        <v>1095000</v>
      </c>
      <c r="W9" s="29" t="n">
        <f aca="false">SUM($E9:H9)</f>
        <v>1460000</v>
      </c>
      <c r="X9" s="29" t="n">
        <f aca="false">SUM($E9:I9)</f>
        <v>1825000</v>
      </c>
      <c r="Y9" s="29" t="n">
        <f aca="false">SUM($E9:J9)</f>
        <v>2190000</v>
      </c>
      <c r="Z9" s="29" t="n">
        <f aca="false">SUM($E9:K9)</f>
        <v>2555000</v>
      </c>
      <c r="AA9" s="29" t="n">
        <f aca="false">SUM($E9:L9)</f>
        <v>2920000</v>
      </c>
      <c r="AB9" s="29" t="n">
        <f aca="false">SUM($E9:M9)</f>
        <v>3285000</v>
      </c>
      <c r="AC9" s="29" t="n">
        <f aca="false">SUM($E9:N9)</f>
        <v>3650000</v>
      </c>
      <c r="AD9" s="29" t="n">
        <f aca="false">SUM($E9:O9)</f>
        <v>4015000</v>
      </c>
      <c r="AE9" s="29" t="n">
        <f aca="false">SUM($E9:P9)</f>
        <v>4381000</v>
      </c>
      <c r="AG9" s="30" t="n">
        <v>1742410.85</v>
      </c>
      <c r="AI9" s="31" t="n">
        <f aca="false">AJ9</f>
        <v>330000</v>
      </c>
      <c r="AJ9" s="31" t="n">
        <v>330000</v>
      </c>
      <c r="AK9" s="31" t="n">
        <v>330000</v>
      </c>
      <c r="AL9" s="31" t="n">
        <v>330000</v>
      </c>
      <c r="AM9" s="31" t="n">
        <v>330000</v>
      </c>
      <c r="AN9" s="32" t="n">
        <v>330000</v>
      </c>
      <c r="AO9" s="30" t="n">
        <f aca="false">SUM(AI9:AN9)</f>
        <v>1980000</v>
      </c>
      <c r="AP9" s="33" t="n">
        <f aca="false">SUM(AI9:AN9)+Y9</f>
        <v>4170000</v>
      </c>
      <c r="AR9" s="34" t="n">
        <f aca="false">AI9+AG9</f>
        <v>2072410.85</v>
      </c>
      <c r="AS9" s="31" t="n">
        <f aca="false">AR9+AJ9</f>
        <v>2402410.85</v>
      </c>
      <c r="AT9" s="31" t="n">
        <f aca="false">AS9+AK9</f>
        <v>2732410.85</v>
      </c>
      <c r="AU9" s="31" t="n">
        <f aca="false">AT9+AL9</f>
        <v>3062410.85</v>
      </c>
      <c r="AV9" s="31" t="n">
        <f aca="false">AU9+AM9</f>
        <v>3392410.85</v>
      </c>
      <c r="AW9" s="35" t="n">
        <f aca="false">AV9+AN9</f>
        <v>3722410.85</v>
      </c>
    </row>
    <row r="10" customFormat="false" ht="15" hidden="false" customHeight="true" outlineLevel="0" collapsed="false">
      <c r="A10" s="24" t="n">
        <v>8</v>
      </c>
      <c r="B10" s="24" t="s">
        <v>37</v>
      </c>
      <c r="C10" s="25" t="s">
        <v>37</v>
      </c>
      <c r="D10" s="26" t="s">
        <v>32</v>
      </c>
      <c r="E10" s="27" t="n">
        <v>83333.3333333333</v>
      </c>
      <c r="F10" s="27" t="n">
        <v>109365.079365079</v>
      </c>
      <c r="G10" s="27" t="n">
        <v>111269.841269841</v>
      </c>
      <c r="H10" s="27" t="n">
        <v>97460.3174603175</v>
      </c>
      <c r="I10" s="27" t="n">
        <v>99365.0793650794</v>
      </c>
      <c r="J10" s="27" t="n">
        <v>107301.587301587</v>
      </c>
      <c r="K10" s="27" t="n">
        <v>107301.587301587</v>
      </c>
      <c r="L10" s="27" t="n">
        <v>107301.587301587</v>
      </c>
      <c r="M10" s="27" t="n">
        <v>95396.8253968254</v>
      </c>
      <c r="N10" s="27" t="n">
        <v>103333.333333333</v>
      </c>
      <c r="O10" s="27" t="n">
        <v>107301.587301587</v>
      </c>
      <c r="P10" s="27" t="n">
        <v>91269.8412698413</v>
      </c>
      <c r="Q10" s="28" t="n">
        <f aca="false">SUM(E10:P10)</f>
        <v>1220000</v>
      </c>
      <c r="S10" s="29" t="n">
        <f aca="false">SUM(E10:E10)</f>
        <v>83333.3333333333</v>
      </c>
      <c r="U10" s="29" t="n">
        <f aca="false">SUM($E10:F10)</f>
        <v>192698.412698412</v>
      </c>
      <c r="V10" s="29" t="n">
        <f aca="false">SUM($E10:G10)</f>
        <v>303968.253968253</v>
      </c>
      <c r="W10" s="29" t="n">
        <f aca="false">SUM($E10:H10)</f>
        <v>401428.571428571</v>
      </c>
      <c r="X10" s="29" t="n">
        <f aca="false">SUM($E10:I10)</f>
        <v>500793.65079365</v>
      </c>
      <c r="Y10" s="29" t="n">
        <f aca="false">SUM($E10:J10)</f>
        <v>608095.238095237</v>
      </c>
      <c r="Z10" s="29" t="n">
        <f aca="false">SUM($E10:K10)</f>
        <v>715396.825396824</v>
      </c>
      <c r="AA10" s="29" t="n">
        <f aca="false">SUM($E10:L10)</f>
        <v>822698.412698411</v>
      </c>
      <c r="AB10" s="29" t="n">
        <f aca="false">SUM($E10:M10)</f>
        <v>918095.238095237</v>
      </c>
      <c r="AC10" s="29" t="n">
        <f aca="false">SUM($E10:N10)</f>
        <v>1021428.57142857</v>
      </c>
      <c r="AD10" s="29" t="n">
        <f aca="false">SUM($E10:O10)</f>
        <v>1128730.15873016</v>
      </c>
      <c r="AE10" s="29" t="n">
        <f aca="false">SUM($E10:P10)</f>
        <v>1220000</v>
      </c>
      <c r="AG10" s="30" t="n">
        <v>343097.611</v>
      </c>
      <c r="AI10" s="31" t="n">
        <f aca="false">AJ10</f>
        <v>100000</v>
      </c>
      <c r="AJ10" s="31" t="n">
        <v>100000</v>
      </c>
      <c r="AK10" s="31" t="n">
        <v>100000</v>
      </c>
      <c r="AL10" s="31" t="n">
        <v>100000</v>
      </c>
      <c r="AM10" s="31" t="n">
        <v>100000</v>
      </c>
      <c r="AN10" s="32" t="n">
        <v>100000</v>
      </c>
      <c r="AO10" s="30" t="n">
        <f aca="false">SUM(AI10:AN10)</f>
        <v>600000</v>
      </c>
      <c r="AP10" s="33" t="n">
        <f aca="false">SUM(AI10:AN10)+Y10</f>
        <v>1208095.23809524</v>
      </c>
      <c r="AR10" s="34" t="n">
        <f aca="false">AI10+AG10</f>
        <v>443097.611</v>
      </c>
      <c r="AS10" s="31" t="n">
        <f aca="false">AR10+AJ10</f>
        <v>543097.611</v>
      </c>
      <c r="AT10" s="31" t="n">
        <f aca="false">AS10+AK10</f>
        <v>643097.611</v>
      </c>
      <c r="AU10" s="31" t="n">
        <f aca="false">AT10+AL10</f>
        <v>743097.611</v>
      </c>
      <c r="AV10" s="31" t="n">
        <f aca="false">AU10+AM10</f>
        <v>843097.611</v>
      </c>
      <c r="AW10" s="35" t="n">
        <f aca="false">AV10+AN10</f>
        <v>943097.611</v>
      </c>
    </row>
    <row r="11" customFormat="false" ht="15" hidden="false" customHeight="true" outlineLevel="0" collapsed="false">
      <c r="A11" s="24" t="n">
        <v>6</v>
      </c>
      <c r="B11" s="24" t="s">
        <v>38</v>
      </c>
      <c r="C11" s="25" t="s">
        <v>38</v>
      </c>
      <c r="D11" s="26" t="s">
        <v>32</v>
      </c>
      <c r="E11" s="27" t="n">
        <v>127583.333333333</v>
      </c>
      <c r="F11" s="27" t="n">
        <v>155079.365079365</v>
      </c>
      <c r="G11" s="27" t="n">
        <v>160591.26984127</v>
      </c>
      <c r="H11" s="27" t="n">
        <v>139567.46031746</v>
      </c>
      <c r="I11" s="27" t="n">
        <v>170079.365079365</v>
      </c>
      <c r="J11" s="27" t="n">
        <v>177087.301587302</v>
      </c>
      <c r="K11" s="27" t="n">
        <v>177087.301587302</v>
      </c>
      <c r="L11" s="27" t="n">
        <v>177087.301587302</v>
      </c>
      <c r="M11" s="27" t="n">
        <v>166575.396825397</v>
      </c>
      <c r="N11" s="27" t="n">
        <v>173583.333333333</v>
      </c>
      <c r="O11" s="27" t="n">
        <v>177087.301587302</v>
      </c>
      <c r="P11" s="27" t="n">
        <v>177591.26984127</v>
      </c>
      <c r="Q11" s="28" t="n">
        <f aca="false">SUM(E11:P11)</f>
        <v>1979000</v>
      </c>
      <c r="S11" s="29" t="n">
        <f aca="false">SUM(E11:E11)</f>
        <v>127583.333333333</v>
      </c>
      <c r="U11" s="29" t="n">
        <f aca="false">SUM($E11:F11)</f>
        <v>282662.698412698</v>
      </c>
      <c r="V11" s="29" t="n">
        <f aca="false">SUM($E11:G11)</f>
        <v>443253.968253968</v>
      </c>
      <c r="W11" s="29" t="n">
        <f aca="false">SUM($E11:H11)</f>
        <v>582821.428571428</v>
      </c>
      <c r="X11" s="29" t="n">
        <f aca="false">SUM($E11:I11)</f>
        <v>752900.793650793</v>
      </c>
      <c r="Y11" s="29" t="n">
        <f aca="false">SUM($E11:J11)</f>
        <v>929988.095238095</v>
      </c>
      <c r="Z11" s="29" t="n">
        <f aca="false">SUM($E11:K11)</f>
        <v>1107075.3968254</v>
      </c>
      <c r="AA11" s="29" t="n">
        <f aca="false">SUM($E11:L11)</f>
        <v>1284162.6984127</v>
      </c>
      <c r="AB11" s="29" t="n">
        <f aca="false">SUM($E11:M11)</f>
        <v>1450738.0952381</v>
      </c>
      <c r="AC11" s="29" t="n">
        <f aca="false">SUM($E11:N11)</f>
        <v>1624321.42857143</v>
      </c>
      <c r="AD11" s="29" t="n">
        <f aca="false">SUM($E11:O11)</f>
        <v>1801408.73015873</v>
      </c>
      <c r="AE11" s="29" t="n">
        <f aca="false">SUM($E11:P11)</f>
        <v>1979000</v>
      </c>
      <c r="AG11" s="30" t="n">
        <v>475277.57</v>
      </c>
      <c r="AI11" s="31" t="n">
        <f aca="false">AJ11</f>
        <v>100000</v>
      </c>
      <c r="AJ11" s="31" t="n">
        <v>100000</v>
      </c>
      <c r="AK11" s="31" t="n">
        <v>100000</v>
      </c>
      <c r="AL11" s="31" t="n">
        <v>100000</v>
      </c>
      <c r="AM11" s="31" t="n">
        <v>100000</v>
      </c>
      <c r="AN11" s="32" t="n">
        <v>100000</v>
      </c>
      <c r="AO11" s="30" t="n">
        <f aca="false">SUM(AI11:AN11)</f>
        <v>600000</v>
      </c>
      <c r="AP11" s="33" t="n">
        <f aca="false">SUM(AI11:AN11)+Y11</f>
        <v>1529988.0952381</v>
      </c>
      <c r="AR11" s="34" t="n">
        <f aca="false">AI11+AG11</f>
        <v>575277.57</v>
      </c>
      <c r="AS11" s="31" t="n">
        <f aca="false">AR11+AJ11</f>
        <v>675277.57</v>
      </c>
      <c r="AT11" s="31" t="n">
        <f aca="false">AS11+AK11</f>
        <v>775277.57</v>
      </c>
      <c r="AU11" s="31" t="n">
        <f aca="false">AT11+AL11</f>
        <v>875277.57</v>
      </c>
      <c r="AV11" s="31" t="n">
        <f aca="false">AU11+AM11</f>
        <v>975277.57</v>
      </c>
      <c r="AW11" s="35" t="n">
        <f aca="false">AV11+AN11</f>
        <v>1075277.57</v>
      </c>
    </row>
    <row r="12" customFormat="false" ht="15" hidden="false" customHeight="true" outlineLevel="0" collapsed="false">
      <c r="A12" s="36" t="n">
        <v>10</v>
      </c>
      <c r="B12" s="36" t="s">
        <v>39</v>
      </c>
      <c r="C12" s="37" t="s">
        <v>39</v>
      </c>
      <c r="D12" s="26" t="s">
        <v>32</v>
      </c>
      <c r="E12" s="27" t="n">
        <v>15833.3333333333</v>
      </c>
      <c r="F12" s="27" t="n">
        <v>15079.3650793651</v>
      </c>
      <c r="G12" s="27" t="n">
        <v>17341.2698412698</v>
      </c>
      <c r="H12" s="27" t="n">
        <v>12817.4603174603</v>
      </c>
      <c r="I12" s="27" t="n">
        <v>15079.3650793651</v>
      </c>
      <c r="J12" s="27" t="n">
        <v>16587.3015873016</v>
      </c>
      <c r="K12" s="27" t="n">
        <v>16587.3015873016</v>
      </c>
      <c r="L12" s="27" t="n">
        <v>16587.3015873016</v>
      </c>
      <c r="M12" s="27" t="n">
        <v>14325.3968253968</v>
      </c>
      <c r="N12" s="27" t="n">
        <v>15833.3333333333</v>
      </c>
      <c r="O12" s="27" t="n">
        <v>16587.3015873016</v>
      </c>
      <c r="P12" s="27" t="n">
        <v>17341.2698412698</v>
      </c>
      <c r="Q12" s="28" t="n">
        <f aca="false">SUM(E12:P12)</f>
        <v>190000</v>
      </c>
      <c r="S12" s="29" t="n">
        <f aca="false">SUM(E12:E12)</f>
        <v>15833.3333333333</v>
      </c>
      <c r="U12" s="29" t="n">
        <f aca="false">SUM($E12:F12)</f>
        <v>30912.6984126984</v>
      </c>
      <c r="V12" s="29" t="n">
        <f aca="false">SUM($E12:G12)</f>
        <v>48253.9682539682</v>
      </c>
      <c r="W12" s="29" t="n">
        <f aca="false">SUM($E12:H12)</f>
        <v>61071.4285714285</v>
      </c>
      <c r="X12" s="29" t="n">
        <f aca="false">SUM($E12:I12)</f>
        <v>76150.7936507936</v>
      </c>
      <c r="Y12" s="29" t="n">
        <f aca="false">SUM($E12:J12)</f>
        <v>92738.0952380952</v>
      </c>
      <c r="Z12" s="29" t="n">
        <f aca="false">SUM($E12:K12)</f>
        <v>109325.396825397</v>
      </c>
      <c r="AA12" s="29" t="n">
        <f aca="false">SUM($E12:L12)</f>
        <v>125912.698412698</v>
      </c>
      <c r="AB12" s="29" t="n">
        <f aca="false">SUM($E12:M12)</f>
        <v>140238.095238095</v>
      </c>
      <c r="AC12" s="29" t="n">
        <f aca="false">SUM($E12:N12)</f>
        <v>156071.428571429</v>
      </c>
      <c r="AD12" s="29" t="n">
        <f aca="false">SUM($E12:O12)</f>
        <v>172658.73015873</v>
      </c>
      <c r="AE12" s="29" t="n">
        <f aca="false">SUM($E12:P12)</f>
        <v>190000</v>
      </c>
      <c r="AG12" s="30" t="n">
        <v>61235.08</v>
      </c>
      <c r="AI12" s="31" t="n">
        <f aca="false">AJ12</f>
        <v>15000</v>
      </c>
      <c r="AJ12" s="31" t="n">
        <v>15000</v>
      </c>
      <c r="AK12" s="31" t="n">
        <v>15000</v>
      </c>
      <c r="AL12" s="31" t="n">
        <v>15000</v>
      </c>
      <c r="AM12" s="31" t="n">
        <v>15000</v>
      </c>
      <c r="AN12" s="32" t="n">
        <v>15000</v>
      </c>
      <c r="AO12" s="30" t="n">
        <f aca="false">SUM(AI12:AN12)</f>
        <v>90000</v>
      </c>
      <c r="AP12" s="33" t="n">
        <f aca="false">SUM(AI12:AN12)+Y12</f>
        <v>182738.095238095</v>
      </c>
      <c r="AR12" s="34" t="n">
        <f aca="false">AI12+AG12</f>
        <v>76235.08</v>
      </c>
      <c r="AS12" s="31" t="n">
        <f aca="false">AR12+AJ12</f>
        <v>91235.08</v>
      </c>
      <c r="AT12" s="31" t="n">
        <f aca="false">AS12+AK12</f>
        <v>106235.08</v>
      </c>
      <c r="AU12" s="31" t="n">
        <f aca="false">AT12+AL12</f>
        <v>121235.08</v>
      </c>
      <c r="AV12" s="31" t="n">
        <f aca="false">AU12+AM12</f>
        <v>136235.08</v>
      </c>
      <c r="AW12" s="35" t="n">
        <f aca="false">AV12+AN12</f>
        <v>151235.08</v>
      </c>
    </row>
    <row r="13" customFormat="false" ht="15" hidden="false" customHeight="true" outlineLevel="0" collapsed="false">
      <c r="A13" s="24" t="n">
        <v>11</v>
      </c>
      <c r="B13" s="24" t="s">
        <v>40</v>
      </c>
      <c r="C13" s="25" t="s">
        <v>40</v>
      </c>
      <c r="D13" s="26" t="s">
        <v>32</v>
      </c>
      <c r="E13" s="27" t="n">
        <v>6333.33333333333</v>
      </c>
      <c r="F13" s="27" t="n">
        <v>7936.50793650794</v>
      </c>
      <c r="G13" s="27" t="n">
        <v>9126.98412698413</v>
      </c>
      <c r="H13" s="27" t="n">
        <v>6746.03174603175</v>
      </c>
      <c r="I13" s="27" t="n">
        <v>7936.50793650794</v>
      </c>
      <c r="J13" s="27" t="n">
        <v>8730.15873015873</v>
      </c>
      <c r="K13" s="27" t="n">
        <v>8730.15873015873</v>
      </c>
      <c r="L13" s="27" t="n">
        <v>8730.15873015873</v>
      </c>
      <c r="M13" s="27" t="n">
        <v>8539.68253968254</v>
      </c>
      <c r="N13" s="27" t="n">
        <v>9333.33333333333</v>
      </c>
      <c r="O13" s="27" t="n">
        <v>8730.15873015873</v>
      </c>
      <c r="P13" s="27" t="n">
        <v>9126.98412698413</v>
      </c>
      <c r="Q13" s="28" t="n">
        <f aca="false">SUM(E13:P13)</f>
        <v>100000</v>
      </c>
      <c r="S13" s="29" t="n">
        <f aca="false">SUM(E13:E13)</f>
        <v>6333.33333333333</v>
      </c>
      <c r="U13" s="29" t="n">
        <f aca="false">SUM($E13:F13)</f>
        <v>14269.8412698413</v>
      </c>
      <c r="V13" s="29" t="n">
        <f aca="false">SUM($E13:G13)</f>
        <v>23396.8253968254</v>
      </c>
      <c r="W13" s="29" t="n">
        <f aca="false">SUM($E13:H13)</f>
        <v>30142.8571428572</v>
      </c>
      <c r="X13" s="29" t="n">
        <f aca="false">SUM($E13:I13)</f>
        <v>38079.3650793651</v>
      </c>
      <c r="Y13" s="29" t="n">
        <f aca="false">SUM($E13:J13)</f>
        <v>46809.5238095238</v>
      </c>
      <c r="Z13" s="29" t="n">
        <f aca="false">SUM($E13:K13)</f>
        <v>55539.6825396826</v>
      </c>
      <c r="AA13" s="29" t="n">
        <f aca="false">SUM($E13:L13)</f>
        <v>64269.8412698413</v>
      </c>
      <c r="AB13" s="29" t="n">
        <f aca="false">SUM($E13:M13)</f>
        <v>72809.5238095238</v>
      </c>
      <c r="AC13" s="29" t="n">
        <f aca="false">SUM($E13:N13)</f>
        <v>82142.8571428571</v>
      </c>
      <c r="AD13" s="29" t="n">
        <f aca="false">SUM($E13:O13)</f>
        <v>90873.0158730159</v>
      </c>
      <c r="AE13" s="29" t="n">
        <f aca="false">SUM($E13:P13)</f>
        <v>100000</v>
      </c>
      <c r="AG13" s="30" t="n">
        <v>34015.41</v>
      </c>
      <c r="AI13" s="31" t="n">
        <f aca="false">AJ13</f>
        <v>10000</v>
      </c>
      <c r="AJ13" s="31" t="n">
        <v>10000</v>
      </c>
      <c r="AK13" s="31" t="n">
        <v>10000</v>
      </c>
      <c r="AL13" s="31" t="n">
        <v>10000</v>
      </c>
      <c r="AM13" s="31" t="n">
        <v>10000</v>
      </c>
      <c r="AN13" s="32" t="n">
        <v>10000</v>
      </c>
      <c r="AO13" s="30" t="n">
        <f aca="false">SUM(AI13:AN13)</f>
        <v>60000</v>
      </c>
      <c r="AP13" s="33" t="n">
        <f aca="false">SUM(AI13:AN13)+Y13</f>
        <v>106809.523809524</v>
      </c>
      <c r="AR13" s="34" t="n">
        <f aca="false">AI13+AG13</f>
        <v>44015.41</v>
      </c>
      <c r="AS13" s="31" t="n">
        <f aca="false">AR13+AJ13</f>
        <v>54015.41</v>
      </c>
      <c r="AT13" s="31" t="n">
        <f aca="false">AS13+AK13</f>
        <v>64015.41</v>
      </c>
      <c r="AU13" s="31" t="n">
        <f aca="false">AT13+AL13</f>
        <v>74015.41</v>
      </c>
      <c r="AV13" s="31" t="n">
        <f aca="false">AU13+AM13</f>
        <v>84015.41</v>
      </c>
      <c r="AW13" s="35" t="n">
        <f aca="false">AV13+AN13</f>
        <v>94015.41</v>
      </c>
    </row>
    <row r="14" customFormat="false" ht="15" hidden="false" customHeight="true" outlineLevel="0" collapsed="false">
      <c r="A14" s="24" t="n">
        <v>14</v>
      </c>
      <c r="B14" s="24" t="s">
        <v>41</v>
      </c>
      <c r="C14" s="25" t="s">
        <v>41</v>
      </c>
      <c r="D14" s="26" t="s">
        <v>32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  <c r="L14" s="27" t="n">
        <v>0</v>
      </c>
      <c r="M14" s="27" t="n">
        <v>0</v>
      </c>
      <c r="N14" s="27" t="n">
        <v>0</v>
      </c>
      <c r="O14" s="27" t="n">
        <v>0</v>
      </c>
      <c r="P14" s="27" t="n">
        <v>0</v>
      </c>
      <c r="Q14" s="28" t="n">
        <f aca="false">SUM(E14:P14)</f>
        <v>0</v>
      </c>
      <c r="S14" s="29" t="n">
        <f aca="false">SUM(E14:E14)</f>
        <v>0</v>
      </c>
      <c r="U14" s="29" t="n">
        <f aca="false">SUM($E14:F14)</f>
        <v>0</v>
      </c>
      <c r="V14" s="29" t="n">
        <f aca="false">SUM($E14:G14)</f>
        <v>0</v>
      </c>
      <c r="W14" s="29" t="n">
        <f aca="false">SUM($E14:H14)</f>
        <v>0</v>
      </c>
      <c r="X14" s="29" t="n">
        <f aca="false">SUM($E14:I14)</f>
        <v>0</v>
      </c>
      <c r="Y14" s="29" t="n">
        <f aca="false">SUM($E14:J14)</f>
        <v>0</v>
      </c>
      <c r="Z14" s="29" t="n">
        <f aca="false">SUM($E14:K14)</f>
        <v>0</v>
      </c>
      <c r="AA14" s="29" t="n">
        <f aca="false">SUM($E14:L14)</f>
        <v>0</v>
      </c>
      <c r="AB14" s="29" t="n">
        <f aca="false">SUM($E14:M14)</f>
        <v>0</v>
      </c>
      <c r="AC14" s="29" t="n">
        <f aca="false">SUM($E14:N14)</f>
        <v>0</v>
      </c>
      <c r="AD14" s="29" t="n">
        <f aca="false">SUM($E14:O14)</f>
        <v>0</v>
      </c>
      <c r="AE14" s="29" t="n">
        <f aca="false">SUM($E14:P14)</f>
        <v>0</v>
      </c>
      <c r="AG14" s="30" t="n">
        <v>3576.15</v>
      </c>
      <c r="AI14" s="31" t="n">
        <f aca="false">AJ14</f>
        <v>5000</v>
      </c>
      <c r="AJ14" s="31" t="n">
        <v>5000</v>
      </c>
      <c r="AK14" s="31" t="n">
        <v>5000</v>
      </c>
      <c r="AL14" s="31" t="n">
        <v>5000</v>
      </c>
      <c r="AM14" s="31" t="n">
        <v>5000</v>
      </c>
      <c r="AN14" s="32" t="n">
        <v>5000</v>
      </c>
      <c r="AO14" s="30" t="n">
        <f aca="false">SUM(AI14:AN14)</f>
        <v>30000</v>
      </c>
      <c r="AP14" s="33" t="n">
        <f aca="false">SUM(AI14:AN14)+Y14</f>
        <v>30000</v>
      </c>
      <c r="AR14" s="34" t="n">
        <f aca="false">AI14+AG14</f>
        <v>8576.15</v>
      </c>
      <c r="AS14" s="31" t="n">
        <f aca="false">AR14+AJ14</f>
        <v>13576.15</v>
      </c>
      <c r="AT14" s="31" t="n">
        <f aca="false">AS14+AK14</f>
        <v>18576.15</v>
      </c>
      <c r="AU14" s="31" t="n">
        <f aca="false">AT14+AL14</f>
        <v>23576.15</v>
      </c>
      <c r="AV14" s="31" t="n">
        <f aca="false">AU14+AM14</f>
        <v>28576.15</v>
      </c>
      <c r="AW14" s="35" t="n">
        <f aca="false">AV14+AN14</f>
        <v>33576.15</v>
      </c>
    </row>
    <row r="15" customFormat="false" ht="15" hidden="false" customHeight="true" outlineLevel="0" collapsed="false">
      <c r="A15" s="24" t="n">
        <v>16</v>
      </c>
      <c r="B15" s="24" t="s">
        <v>42</v>
      </c>
      <c r="C15" s="25" t="s">
        <v>42</v>
      </c>
      <c r="D15" s="26" t="s">
        <v>32</v>
      </c>
      <c r="E15" s="27" t="n">
        <v>0</v>
      </c>
      <c r="F15" s="27" t="n">
        <v>0</v>
      </c>
      <c r="G15" s="27" t="n">
        <v>0</v>
      </c>
      <c r="H15" s="27" t="n">
        <v>0</v>
      </c>
      <c r="I15" s="27" t="n">
        <v>0</v>
      </c>
      <c r="J15" s="27" t="n">
        <v>0</v>
      </c>
      <c r="K15" s="27" t="n">
        <v>0</v>
      </c>
      <c r="L15" s="27" t="n">
        <v>0</v>
      </c>
      <c r="M15" s="27" t="n">
        <v>0</v>
      </c>
      <c r="N15" s="27" t="n">
        <v>0</v>
      </c>
      <c r="O15" s="27" t="n">
        <v>0</v>
      </c>
      <c r="P15" s="27" t="n">
        <v>0</v>
      </c>
      <c r="Q15" s="28" t="n">
        <f aca="false">SUM(E15:P15)</f>
        <v>0</v>
      </c>
      <c r="S15" s="29" t="n">
        <f aca="false">SUM(E15:E15)</f>
        <v>0</v>
      </c>
      <c r="U15" s="29" t="n">
        <f aca="false">SUM($E15:F15)</f>
        <v>0</v>
      </c>
      <c r="V15" s="29" t="n">
        <f aca="false">SUM($E15:G15)</f>
        <v>0</v>
      </c>
      <c r="W15" s="29" t="n">
        <f aca="false">SUM($E15:H15)</f>
        <v>0</v>
      </c>
      <c r="X15" s="29" t="n">
        <f aca="false">SUM($E15:I15)</f>
        <v>0</v>
      </c>
      <c r="Y15" s="29" t="n">
        <f aca="false">SUM($E15:J15)</f>
        <v>0</v>
      </c>
      <c r="Z15" s="29" t="n">
        <f aca="false">SUM($E15:K15)</f>
        <v>0</v>
      </c>
      <c r="AA15" s="29" t="n">
        <f aca="false">SUM($E15:L15)</f>
        <v>0</v>
      </c>
      <c r="AB15" s="29" t="n">
        <f aca="false">SUM($E15:M15)</f>
        <v>0</v>
      </c>
      <c r="AC15" s="29" t="n">
        <f aca="false">SUM($E15:N15)</f>
        <v>0</v>
      </c>
      <c r="AD15" s="29" t="n">
        <f aca="false">SUM($E15:O15)</f>
        <v>0</v>
      </c>
      <c r="AE15" s="29" t="n">
        <f aca="false">SUM($E15:P15)</f>
        <v>0</v>
      </c>
      <c r="AG15" s="30"/>
      <c r="AI15" s="31" t="n">
        <f aca="false">AJ15</f>
        <v>0</v>
      </c>
      <c r="AJ15" s="31"/>
      <c r="AK15" s="31"/>
      <c r="AL15" s="31"/>
      <c r="AM15" s="31"/>
      <c r="AN15" s="32"/>
      <c r="AO15" s="30" t="n">
        <f aca="false">SUM(AI15:AN15)</f>
        <v>0</v>
      </c>
      <c r="AP15" s="33" t="n">
        <f aca="false">SUM(AI15:AN15)+Y15</f>
        <v>0</v>
      </c>
      <c r="AR15" s="34" t="n">
        <f aca="false">AI15+AG15</f>
        <v>0</v>
      </c>
      <c r="AS15" s="31" t="n">
        <f aca="false">AR15+AJ15</f>
        <v>0</v>
      </c>
      <c r="AT15" s="31" t="n">
        <f aca="false">AS15+AK15</f>
        <v>0</v>
      </c>
      <c r="AU15" s="31" t="n">
        <f aca="false">AT15+AL15</f>
        <v>0</v>
      </c>
      <c r="AV15" s="31" t="n">
        <f aca="false">AU15+AM15</f>
        <v>0</v>
      </c>
      <c r="AW15" s="35" t="n">
        <f aca="false">AV15+AN15</f>
        <v>0</v>
      </c>
    </row>
    <row r="16" customFormat="false" ht="15" hidden="false" customHeight="true" outlineLevel="0" collapsed="false">
      <c r="A16" s="24" t="n">
        <v>13</v>
      </c>
      <c r="B16" s="24" t="s">
        <v>43</v>
      </c>
      <c r="C16" s="25" t="s">
        <v>43</v>
      </c>
      <c r="D16" s="26" t="s">
        <v>32</v>
      </c>
      <c r="E16" s="27" t="n">
        <v>0</v>
      </c>
      <c r="F16" s="27" t="n">
        <v>0</v>
      </c>
      <c r="G16" s="27" t="n">
        <v>0</v>
      </c>
      <c r="H16" s="27" t="n">
        <v>50000</v>
      </c>
      <c r="I16" s="27" t="n">
        <v>50000</v>
      </c>
      <c r="J16" s="27" t="n">
        <v>50000</v>
      </c>
      <c r="K16" s="27" t="n">
        <v>50000</v>
      </c>
      <c r="L16" s="27" t="n">
        <v>50000</v>
      </c>
      <c r="M16" s="27" t="n">
        <v>50000</v>
      </c>
      <c r="N16" s="27" t="n">
        <v>50000</v>
      </c>
      <c r="O16" s="27" t="n">
        <v>50000</v>
      </c>
      <c r="P16" s="27" t="n">
        <v>0</v>
      </c>
      <c r="Q16" s="28" t="n">
        <f aca="false">SUM(E16:P16)</f>
        <v>400000</v>
      </c>
      <c r="S16" s="29" t="n">
        <f aca="false">SUM(E16:E16)</f>
        <v>0</v>
      </c>
      <c r="U16" s="29" t="n">
        <f aca="false">SUM($E16:F16)</f>
        <v>0</v>
      </c>
      <c r="V16" s="29" t="n">
        <f aca="false">SUM($E16:G16)</f>
        <v>0</v>
      </c>
      <c r="W16" s="29" t="n">
        <f aca="false">SUM($E16:H16)</f>
        <v>50000</v>
      </c>
      <c r="X16" s="29" t="n">
        <f aca="false">SUM($E16:I16)</f>
        <v>100000</v>
      </c>
      <c r="Y16" s="29" t="n">
        <f aca="false">SUM($E16:J16)</f>
        <v>150000</v>
      </c>
      <c r="Z16" s="29" t="n">
        <f aca="false">SUM($E16:K16)</f>
        <v>200000</v>
      </c>
      <c r="AA16" s="29" t="n">
        <f aca="false">SUM($E16:L16)</f>
        <v>250000</v>
      </c>
      <c r="AB16" s="29" t="n">
        <f aca="false">SUM($E16:M16)</f>
        <v>300000</v>
      </c>
      <c r="AC16" s="29" t="n">
        <f aca="false">SUM($E16:N16)</f>
        <v>350000</v>
      </c>
      <c r="AD16" s="29" t="n">
        <f aca="false">SUM($E16:O16)</f>
        <v>400000</v>
      </c>
      <c r="AE16" s="29" t="n">
        <f aca="false">SUM($E16:P16)</f>
        <v>400000</v>
      </c>
      <c r="AG16" s="30" t="n">
        <v>7748.72</v>
      </c>
      <c r="AI16" s="31" t="n">
        <f aca="false">AJ16</f>
        <v>5000</v>
      </c>
      <c r="AJ16" s="31" t="n">
        <v>5000</v>
      </c>
      <c r="AK16" s="31" t="n">
        <v>5000</v>
      </c>
      <c r="AL16" s="31" t="n">
        <v>5000</v>
      </c>
      <c r="AM16" s="31" t="n">
        <v>5000</v>
      </c>
      <c r="AN16" s="32" t="n">
        <v>5000</v>
      </c>
      <c r="AO16" s="30" t="n">
        <f aca="false">SUM(AI16:AN16)</f>
        <v>30000</v>
      </c>
      <c r="AP16" s="33" t="n">
        <f aca="false">SUM(AI16:AN16)+Y16</f>
        <v>180000</v>
      </c>
      <c r="AR16" s="34" t="n">
        <f aca="false">AI16+AG16</f>
        <v>12748.72</v>
      </c>
      <c r="AS16" s="31" t="n">
        <f aca="false">AR16+AJ16</f>
        <v>17748.72</v>
      </c>
      <c r="AT16" s="31" t="n">
        <f aca="false">AS16+AK16</f>
        <v>22748.72</v>
      </c>
      <c r="AU16" s="31" t="n">
        <f aca="false">AT16+AL16</f>
        <v>27748.72</v>
      </c>
      <c r="AV16" s="31" t="n">
        <f aca="false">AU16+AM16</f>
        <v>32748.72</v>
      </c>
      <c r="AW16" s="35" t="n">
        <f aca="false">AV16+AN16</f>
        <v>37748.72</v>
      </c>
    </row>
    <row r="17" customFormat="false" ht="15" hidden="false" customHeight="true" outlineLevel="0" collapsed="false">
      <c r="A17" s="24" t="n">
        <v>9</v>
      </c>
      <c r="B17" s="24" t="s">
        <v>44</v>
      </c>
      <c r="C17" s="25" t="s">
        <v>44</v>
      </c>
      <c r="D17" s="26" t="s">
        <v>32</v>
      </c>
      <c r="E17" s="27" t="n">
        <v>16666.6666666667</v>
      </c>
      <c r="F17" s="27" t="n">
        <v>15873.0158730159</v>
      </c>
      <c r="G17" s="27" t="n">
        <v>18253.9682539683</v>
      </c>
      <c r="H17" s="27" t="n">
        <v>13492.0634920635</v>
      </c>
      <c r="I17" s="27" t="n">
        <v>15873.0158730159</v>
      </c>
      <c r="J17" s="27" t="n">
        <v>17460.3174603175</v>
      </c>
      <c r="K17" s="27" t="n">
        <v>17460.3174603175</v>
      </c>
      <c r="L17" s="27" t="n">
        <v>17460.3174603175</v>
      </c>
      <c r="M17" s="27" t="n">
        <v>15079.3650793651</v>
      </c>
      <c r="N17" s="27" t="n">
        <v>16666.6666666667</v>
      </c>
      <c r="O17" s="27" t="n">
        <v>17460.3174603175</v>
      </c>
      <c r="P17" s="27" t="n">
        <v>18253.9682539683</v>
      </c>
      <c r="Q17" s="28" t="n">
        <f aca="false">SUM(E17:P17)</f>
        <v>200000</v>
      </c>
      <c r="S17" s="29" t="n">
        <f aca="false">SUM(E17:E17)</f>
        <v>16666.6666666667</v>
      </c>
      <c r="U17" s="29" t="n">
        <f aca="false">SUM($E17:F17)</f>
        <v>32539.6825396826</v>
      </c>
      <c r="V17" s="29" t="n">
        <f aca="false">SUM($E17:G17)</f>
        <v>50793.6507936509</v>
      </c>
      <c r="W17" s="29" t="n">
        <f aca="false">SUM($E17:H17)</f>
        <v>64285.7142857144</v>
      </c>
      <c r="X17" s="29" t="n">
        <f aca="false">SUM($E17:I17)</f>
        <v>80158.7301587303</v>
      </c>
      <c r="Y17" s="29" t="n">
        <f aca="false">SUM($E17:J17)</f>
        <v>97619.0476190478</v>
      </c>
      <c r="Z17" s="29" t="n">
        <f aca="false">SUM($E17:K17)</f>
        <v>115079.365079365</v>
      </c>
      <c r="AA17" s="29" t="n">
        <f aca="false">SUM($E17:L17)</f>
        <v>132539.682539683</v>
      </c>
      <c r="AB17" s="29" t="n">
        <f aca="false">SUM($E17:M17)</f>
        <v>147619.047619048</v>
      </c>
      <c r="AC17" s="29" t="n">
        <f aca="false">SUM($E17:N17)</f>
        <v>164285.714285715</v>
      </c>
      <c r="AD17" s="29" t="n">
        <f aca="false">SUM($E17:O17)</f>
        <v>181746.031746032</v>
      </c>
      <c r="AE17" s="29" t="n">
        <f aca="false">SUM($E17:P17)</f>
        <v>200000</v>
      </c>
      <c r="AG17" s="30" t="n">
        <v>89111.1</v>
      </c>
      <c r="AI17" s="31" t="n">
        <f aca="false">AJ17</f>
        <v>25000</v>
      </c>
      <c r="AJ17" s="31" t="n">
        <v>25000</v>
      </c>
      <c r="AK17" s="31" t="n">
        <v>25000</v>
      </c>
      <c r="AL17" s="31" t="n">
        <v>25000</v>
      </c>
      <c r="AM17" s="31" t="n">
        <v>25000</v>
      </c>
      <c r="AN17" s="32" t="n">
        <v>25000</v>
      </c>
      <c r="AO17" s="30" t="n">
        <f aca="false">SUM(AI17:AN17)</f>
        <v>150000</v>
      </c>
      <c r="AP17" s="33" t="n">
        <f aca="false">SUM(AI17:AN17)+Y17</f>
        <v>247619.047619048</v>
      </c>
      <c r="AR17" s="34" t="n">
        <f aca="false">AI17+AG17</f>
        <v>114111.1</v>
      </c>
      <c r="AS17" s="31" t="n">
        <f aca="false">AR17+AJ17</f>
        <v>139111.1</v>
      </c>
      <c r="AT17" s="31" t="n">
        <f aca="false">AS17+AK17</f>
        <v>164111.1</v>
      </c>
      <c r="AU17" s="31" t="n">
        <f aca="false">AT17+AL17</f>
        <v>189111.1</v>
      </c>
      <c r="AV17" s="31" t="n">
        <f aca="false">AU17+AM17</f>
        <v>214111.1</v>
      </c>
      <c r="AW17" s="35" t="n">
        <f aca="false">AV17+AN17</f>
        <v>239111.1</v>
      </c>
    </row>
    <row r="18" customFormat="false" ht="15" hidden="false" customHeight="true" outlineLevel="0" collapsed="false">
      <c r="A18" s="24" t="n">
        <v>2</v>
      </c>
      <c r="B18" s="24" t="s">
        <v>45</v>
      </c>
      <c r="C18" s="25" t="s">
        <v>45</v>
      </c>
      <c r="D18" s="26" t="s">
        <v>32</v>
      </c>
      <c r="E18" s="27" t="n">
        <v>296610.169491525</v>
      </c>
      <c r="F18" s="27" t="n">
        <v>444915.254237288</v>
      </c>
      <c r="G18" s="27" t="n">
        <v>489406.779661017</v>
      </c>
      <c r="H18" s="27" t="n">
        <v>453601.694915254</v>
      </c>
      <c r="I18" s="27" t="n">
        <v>592182.203389831</v>
      </c>
      <c r="J18" s="27" t="n">
        <v>888273.728813559</v>
      </c>
      <c r="K18" s="27" t="n">
        <v>977100.847457627</v>
      </c>
      <c r="L18" s="27" t="n">
        <v>1159556.77966102</v>
      </c>
      <c r="M18" s="27" t="n">
        <v>1012800</v>
      </c>
      <c r="N18" s="27" t="n">
        <v>1300521.18644068</v>
      </c>
      <c r="O18" s="27" t="n">
        <v>1684810.16949153</v>
      </c>
      <c r="P18" s="27" t="n">
        <v>1488884.74576271</v>
      </c>
      <c r="Q18" s="28" t="n">
        <v>10788663.559322</v>
      </c>
      <c r="S18" s="29" t="n">
        <f aca="false">SUM(E18:E18)</f>
        <v>296610.169491525</v>
      </c>
      <c r="U18" s="29" t="n">
        <f aca="false">SUM($E18:F18)</f>
        <v>741525.423728813</v>
      </c>
      <c r="V18" s="29" t="n">
        <f aca="false">SUM($E18:G18)</f>
        <v>1230932.20338983</v>
      </c>
      <c r="W18" s="29" t="n">
        <f aca="false">SUM($E18:H18)</f>
        <v>1684533.89830508</v>
      </c>
      <c r="X18" s="29" t="n">
        <f aca="false">SUM($E18:I18)</f>
        <v>2276716.10169492</v>
      </c>
      <c r="Y18" s="29" t="n">
        <f aca="false">SUM($E18:J18)</f>
        <v>3164989.83050847</v>
      </c>
      <c r="Z18" s="29" t="n">
        <f aca="false">SUM($E18:K18)</f>
        <v>4142090.6779661</v>
      </c>
      <c r="AA18" s="29" t="n">
        <f aca="false">SUM($E18:L18)</f>
        <v>5301647.45762712</v>
      </c>
      <c r="AB18" s="29" t="n">
        <f aca="false">SUM($E18:M18)</f>
        <v>6314447.45762712</v>
      </c>
      <c r="AC18" s="29" t="n">
        <f aca="false">SUM($E18:N18)</f>
        <v>7614968.6440678</v>
      </c>
      <c r="AD18" s="29" t="n">
        <f aca="false">SUM($E18:O18)</f>
        <v>9299778.81355933</v>
      </c>
      <c r="AE18" s="29" t="n">
        <f aca="false">SUM($E18:P18)</f>
        <v>10788663.559322</v>
      </c>
      <c r="AG18" s="30" t="n">
        <v>2231238.20000003</v>
      </c>
      <c r="AI18" s="31" t="n">
        <v>450000</v>
      </c>
      <c r="AJ18" s="31" t="n">
        <v>481500</v>
      </c>
      <c r="AK18" s="31" t="n">
        <v>977100.847457627</v>
      </c>
      <c r="AL18" s="31" t="n">
        <v>1159556.77966102</v>
      </c>
      <c r="AM18" s="31" t="n">
        <v>1012800</v>
      </c>
      <c r="AN18" s="32" t="n">
        <v>1300521.18644068</v>
      </c>
      <c r="AO18" s="30" t="n">
        <f aca="false">SUM(AI18:AN18)</f>
        <v>5381478.81355933</v>
      </c>
      <c r="AP18" s="33" t="n">
        <f aca="false">SUM(AI18:AN18)+Y18</f>
        <v>8546468.6440678</v>
      </c>
      <c r="AR18" s="34" t="n">
        <f aca="false">AI18+AG18</f>
        <v>2681238.20000003</v>
      </c>
      <c r="AS18" s="31" t="n">
        <f aca="false">AR18+AJ18</f>
        <v>3162738.20000003</v>
      </c>
      <c r="AT18" s="31" t="n">
        <f aca="false">AS18+AK18</f>
        <v>4139839.04745766</v>
      </c>
      <c r="AU18" s="31" t="n">
        <f aca="false">AT18+AL18</f>
        <v>5299395.82711868</v>
      </c>
      <c r="AV18" s="31" t="n">
        <f aca="false">AU18+AM18</f>
        <v>6312195.82711868</v>
      </c>
      <c r="AW18" s="35" t="n">
        <f aca="false">AV18+AN18</f>
        <v>7612717.01355936</v>
      </c>
    </row>
    <row r="19" customFormat="false" ht="15" hidden="false" customHeight="true" outlineLevel="0" collapsed="false">
      <c r="A19" s="38" t="n">
        <v>12</v>
      </c>
      <c r="B19" s="38" t="s">
        <v>46</v>
      </c>
      <c r="C19" s="39" t="s">
        <v>46</v>
      </c>
      <c r="D19" s="26" t="s">
        <v>32</v>
      </c>
      <c r="E19" s="27" t="n">
        <v>2536.92833333333</v>
      </c>
      <c r="F19" s="27" t="n">
        <v>2536.92833333333</v>
      </c>
      <c r="G19" s="27" t="n">
        <v>2536.92833333333</v>
      </c>
      <c r="H19" s="27" t="n">
        <v>2536.92833333333</v>
      </c>
      <c r="I19" s="27" t="n">
        <v>2536.92833333333</v>
      </c>
      <c r="J19" s="27" t="n">
        <v>2536.92833333333</v>
      </c>
      <c r="K19" s="27" t="n">
        <v>2536.92833333333</v>
      </c>
      <c r="L19" s="27" t="n">
        <v>2536.92833333333</v>
      </c>
      <c r="M19" s="27" t="n">
        <v>2536.92833333333</v>
      </c>
      <c r="N19" s="27" t="n">
        <v>2536.92833333333</v>
      </c>
      <c r="O19" s="27" t="n">
        <v>2536.92833333333</v>
      </c>
      <c r="P19" s="27" t="n">
        <v>2536.92833333333</v>
      </c>
      <c r="Q19" s="28" t="n">
        <v>30443.14</v>
      </c>
      <c r="S19" s="29" t="n">
        <f aca="false">SUM(E19:E19)</f>
        <v>2536.92833333333</v>
      </c>
      <c r="U19" s="29" t="n">
        <f aca="false">SUM($E19:F19)</f>
        <v>5073.85666666666</v>
      </c>
      <c r="V19" s="29" t="n">
        <f aca="false">SUM($E19:G19)</f>
        <v>7610.78499999999</v>
      </c>
      <c r="W19" s="29" t="n">
        <f aca="false">SUM($E19:H19)</f>
        <v>10147.7133333333</v>
      </c>
      <c r="X19" s="29" t="n">
        <f aca="false">SUM($E19:I19)</f>
        <v>12684.6416666667</v>
      </c>
      <c r="Y19" s="29" t="n">
        <f aca="false">SUM($E19:J19)</f>
        <v>15221.57</v>
      </c>
      <c r="Z19" s="29" t="n">
        <f aca="false">SUM($E19:K19)</f>
        <v>17758.4983333333</v>
      </c>
      <c r="AA19" s="29" t="n">
        <f aca="false">SUM($E19:L19)</f>
        <v>20295.4266666666</v>
      </c>
      <c r="AB19" s="29" t="n">
        <f aca="false">SUM($E19:M19)</f>
        <v>22832.355</v>
      </c>
      <c r="AC19" s="29" t="n">
        <f aca="false">SUM($E19:N19)</f>
        <v>25369.2833333333</v>
      </c>
      <c r="AD19" s="29" t="n">
        <f aca="false">SUM($E19:O19)</f>
        <v>27906.2116666666</v>
      </c>
      <c r="AE19" s="29" t="n">
        <f aca="false">SUM($E19:P19)</f>
        <v>30443.14</v>
      </c>
      <c r="AG19" s="30" t="n">
        <v>9807.02</v>
      </c>
      <c r="AI19" s="31" t="n">
        <f aca="false">AJ19</f>
        <v>5000</v>
      </c>
      <c r="AJ19" s="31" t="n">
        <v>5000</v>
      </c>
      <c r="AK19" s="31" t="n">
        <v>5000</v>
      </c>
      <c r="AL19" s="31" t="n">
        <v>5000</v>
      </c>
      <c r="AM19" s="31" t="n">
        <v>5000</v>
      </c>
      <c r="AN19" s="32" t="n">
        <v>5000</v>
      </c>
      <c r="AO19" s="30" t="n">
        <f aca="false">SUM(AI19:AN19)</f>
        <v>30000</v>
      </c>
      <c r="AP19" s="33" t="n">
        <f aca="false">SUM(AI19:AN19)+Y19</f>
        <v>45221.57</v>
      </c>
      <c r="AR19" s="34" t="n">
        <f aca="false">AI19+AG19</f>
        <v>14807.02</v>
      </c>
      <c r="AS19" s="31" t="n">
        <f aca="false">AR19+AJ19</f>
        <v>19807.02</v>
      </c>
      <c r="AT19" s="31" t="n">
        <f aca="false">AS19+AK19</f>
        <v>24807.02</v>
      </c>
      <c r="AU19" s="31" t="n">
        <f aca="false">AT19+AL19</f>
        <v>29807.02</v>
      </c>
      <c r="AV19" s="31" t="n">
        <f aca="false">AU19+AM19</f>
        <v>34807.02</v>
      </c>
      <c r="AW19" s="35" t="n">
        <f aca="false">AV19+AN19</f>
        <v>39807.02</v>
      </c>
    </row>
    <row r="20" customFormat="false" ht="15.75" hidden="false" customHeight="true" outlineLevel="0" collapsed="false">
      <c r="A20" s="40" t="n">
        <v>15</v>
      </c>
      <c r="B20" s="24" t="s">
        <v>47</v>
      </c>
      <c r="C20" s="25" t="s">
        <v>47</v>
      </c>
      <c r="D20" s="26" t="s">
        <v>32</v>
      </c>
      <c r="E20" s="27" t="n">
        <v>0</v>
      </c>
      <c r="F20" s="27" t="n">
        <v>0</v>
      </c>
      <c r="G20" s="27" t="n">
        <v>0</v>
      </c>
      <c r="H20" s="27" t="n">
        <v>12500</v>
      </c>
      <c r="I20" s="27" t="n">
        <v>0</v>
      </c>
      <c r="J20" s="27" t="n">
        <v>0</v>
      </c>
      <c r="K20" s="27" t="n">
        <v>0</v>
      </c>
      <c r="L20" s="27" t="n">
        <v>0</v>
      </c>
      <c r="M20" s="27" t="n">
        <v>0</v>
      </c>
      <c r="N20" s="27" t="n">
        <v>0</v>
      </c>
      <c r="O20" s="27" t="n">
        <v>12500</v>
      </c>
      <c r="P20" s="27" t="n">
        <v>0</v>
      </c>
      <c r="Q20" s="28" t="n">
        <f aca="false">SUM(E20:P20)</f>
        <v>25000</v>
      </c>
      <c r="S20" s="29" t="n">
        <f aca="false">SUM(E20:E20)</f>
        <v>0</v>
      </c>
      <c r="U20" s="29" t="n">
        <f aca="false">SUM($E20:F20)</f>
        <v>0</v>
      </c>
      <c r="V20" s="29" t="n">
        <f aca="false">SUM($E20:G20)</f>
        <v>0</v>
      </c>
      <c r="W20" s="29" t="n">
        <f aca="false">SUM($E20:H20)</f>
        <v>12500</v>
      </c>
      <c r="X20" s="29" t="n">
        <f aca="false">SUM($E20:I20)</f>
        <v>12500</v>
      </c>
      <c r="Y20" s="29" t="n">
        <f aca="false">SUM($E20:J20)</f>
        <v>12500</v>
      </c>
      <c r="Z20" s="29" t="n">
        <f aca="false">SUM($E20:K20)</f>
        <v>12500</v>
      </c>
      <c r="AA20" s="29" t="n">
        <f aca="false">SUM($E20:L20)</f>
        <v>12500</v>
      </c>
      <c r="AB20" s="29" t="n">
        <f aca="false">SUM($E20:M20)</f>
        <v>12500</v>
      </c>
      <c r="AC20" s="29" t="n">
        <f aca="false">SUM($E20:N20)</f>
        <v>12500</v>
      </c>
      <c r="AD20" s="29" t="n">
        <f aca="false">SUM($E20:O20)</f>
        <v>25000</v>
      </c>
      <c r="AE20" s="29" t="n">
        <f aca="false">SUM($E20:P20)</f>
        <v>25000</v>
      </c>
      <c r="AG20" s="30" t="n">
        <v>1896.82</v>
      </c>
      <c r="AI20" s="41" t="n">
        <f aca="false">AJ20</f>
        <v>5000</v>
      </c>
      <c r="AJ20" s="41" t="n">
        <v>5000</v>
      </c>
      <c r="AK20" s="41" t="n">
        <v>5000</v>
      </c>
      <c r="AL20" s="41" t="n">
        <v>5000</v>
      </c>
      <c r="AM20" s="41" t="n">
        <v>5000</v>
      </c>
      <c r="AN20" s="42" t="n">
        <v>5000</v>
      </c>
      <c r="AO20" s="43" t="n">
        <f aca="false">SUM(AI20:AN20)</f>
        <v>30000</v>
      </c>
      <c r="AP20" s="44" t="n">
        <f aca="false">SUM(AI20:AN20)+Y20</f>
        <v>42500</v>
      </c>
      <c r="AR20" s="45" t="n">
        <f aca="false">AI20+AG20</f>
        <v>6896.82</v>
      </c>
      <c r="AS20" s="31" t="n">
        <f aca="false">AR20+AJ20</f>
        <v>11896.82</v>
      </c>
      <c r="AT20" s="31" t="n">
        <f aca="false">AS20+AK20</f>
        <v>16896.82</v>
      </c>
      <c r="AU20" s="31" t="n">
        <f aca="false">AT20+AL20</f>
        <v>21896.82</v>
      </c>
      <c r="AV20" s="31" t="n">
        <f aca="false">AU20+AM20</f>
        <v>26896.82</v>
      </c>
      <c r="AW20" s="35" t="n">
        <f aca="false">AV20+AN20</f>
        <v>31896.82</v>
      </c>
    </row>
    <row r="21" customFormat="false" ht="15" hidden="false" customHeight="true" outlineLevel="0" collapsed="false">
      <c r="A21" s="46"/>
      <c r="B21" s="46" t="s">
        <v>48</v>
      </c>
      <c r="C21" s="46"/>
      <c r="D21" s="46"/>
      <c r="E21" s="47" t="n">
        <f aca="false">SUM(E5:E20)</f>
        <v>1852563.76449153</v>
      </c>
      <c r="F21" s="47" t="n">
        <f aca="false">SUM(F5:F20)</f>
        <v>2046896.62701507</v>
      </c>
      <c r="G21" s="47" t="n">
        <f aca="false">SUM(G5:G20)</f>
        <v>2233304.81910546</v>
      </c>
      <c r="H21" s="47" t="n">
        <f aca="false">SUM(H5:H20)</f>
        <v>1997166.40102637</v>
      </c>
      <c r="I21" s="47" t="n">
        <f aca="false">SUM(I5:I20)</f>
        <v>2297163.57616761</v>
      </c>
      <c r="J21" s="47" t="n">
        <f aca="false">SUM(J5:J20)</f>
        <v>2723199.54603578</v>
      </c>
      <c r="K21" s="47" t="n">
        <f aca="false">SUM(K5:K20)</f>
        <v>2812026.66467985</v>
      </c>
      <c r="L21" s="47" t="n">
        <f aca="false">SUM(L5:L20)</f>
        <v>2994482.59688324</v>
      </c>
      <c r="M21" s="47" t="n">
        <f aca="false">SUM(M5:M20)</f>
        <v>2685809.15055556</v>
      </c>
      <c r="N21" s="47" t="n">
        <f aca="false">SUM(N5:N20)</f>
        <v>3047474.78144068</v>
      </c>
      <c r="O21" s="47" t="n">
        <f aca="false">SUM(O5:O20)</f>
        <v>3501235.98671375</v>
      </c>
      <c r="P21" s="47" t="n">
        <f aca="false">SUM(P5:P20)</f>
        <v>3268782.78520716</v>
      </c>
      <c r="Q21" s="48" t="n">
        <f aca="false">SUM(Q5:Q20)</f>
        <v>31460106.699322</v>
      </c>
      <c r="S21" s="48" t="n">
        <f aca="false">SUM(S5:S20)</f>
        <v>1852563.76449152</v>
      </c>
      <c r="U21" s="48" t="n">
        <f aca="false">SUM(U5:U20)</f>
        <v>3899460.39150659</v>
      </c>
      <c r="V21" s="48" t="n">
        <f aca="false">SUM(V5:V20)</f>
        <v>6132765.21061205</v>
      </c>
      <c r="W21" s="48" t="n">
        <f aca="false">SUM(W5:W20)</f>
        <v>8129931.61163842</v>
      </c>
      <c r="X21" s="48" t="n">
        <f aca="false">SUM(X5:X20)</f>
        <v>10427095.187806</v>
      </c>
      <c r="Y21" s="48" t="n">
        <f aca="false">SUM(Y5:Y20)</f>
        <v>13150294.7338418</v>
      </c>
      <c r="Z21" s="48" t="n">
        <f aca="false">SUM(Z5:Z20)</f>
        <v>15962321.3985217</v>
      </c>
      <c r="AA21" s="48" t="n">
        <f aca="false">SUM(AA5:AA20)</f>
        <v>18956803.9954049</v>
      </c>
      <c r="AB21" s="48" t="n">
        <f aca="false">SUM(AB5:AB20)</f>
        <v>21642613.1459605</v>
      </c>
      <c r="AC21" s="48" t="n">
        <f aca="false">SUM(AC5:AC20)</f>
        <v>24690087.9274011</v>
      </c>
      <c r="AD21" s="48" t="n">
        <f aca="false">SUM(AD5:AD20)</f>
        <v>28191323.9141149</v>
      </c>
      <c r="AE21" s="48" t="n">
        <f aca="false">SUM(AE5:AE20)</f>
        <v>31460106.699322</v>
      </c>
      <c r="AG21" s="49" t="n">
        <f aca="false">SUM(AG5:AG20)</f>
        <v>9870594.26700003</v>
      </c>
      <c r="AI21" s="50" t="n">
        <f aca="false">SUM(AI5:AI20)</f>
        <v>2100000</v>
      </c>
      <c r="AJ21" s="51" t="n">
        <f aca="false">SUM(AJ5:AJ20)</f>
        <v>2131500</v>
      </c>
      <c r="AK21" s="51" t="n">
        <f aca="false">SUM(AK5:AK20)</f>
        <v>2627100.84745763</v>
      </c>
      <c r="AL21" s="51" t="n">
        <f aca="false">SUM(AL5:AL20)</f>
        <v>2809556.77966102</v>
      </c>
      <c r="AM21" s="51" t="n">
        <f aca="false">SUM(AM5:AM20)</f>
        <v>2662800</v>
      </c>
      <c r="AN21" s="52" t="n">
        <f aca="false">SUM(AN5:AN20)</f>
        <v>2950521.18644068</v>
      </c>
      <c r="AO21" s="53" t="n">
        <f aca="false">SUM(AO5:AO20)</f>
        <v>15281478.8135593</v>
      </c>
      <c r="AP21" s="54" t="n">
        <f aca="false">SUM(AP5:AP20)</f>
        <v>28431773.5474011</v>
      </c>
      <c r="AR21" s="53" t="n">
        <f aca="false">AI21+AG21</f>
        <v>11970594.267</v>
      </c>
      <c r="AS21" s="51" t="n">
        <f aca="false">AR21+AJ21</f>
        <v>14102094.267</v>
      </c>
      <c r="AT21" s="51" t="n">
        <f aca="false">AS21+AK21</f>
        <v>16729195.1144577</v>
      </c>
      <c r="AU21" s="51" t="n">
        <f aca="false">AT21+AL21</f>
        <v>19538751.8941187</v>
      </c>
      <c r="AV21" s="51" t="n">
        <f aca="false">AU21+AM21</f>
        <v>22201551.8941187</v>
      </c>
      <c r="AW21" s="55" t="n">
        <f aca="false">AV21+AN21</f>
        <v>25152073.0805594</v>
      </c>
    </row>
    <row r="22" s="5" customFormat="true" ht="15" hidden="false" customHeight="true" outlineLevel="0" collapsed="false">
      <c r="A22" s="56" t="n">
        <v>50</v>
      </c>
      <c r="B22" s="57" t="s">
        <v>49</v>
      </c>
      <c r="C22" s="58" t="s">
        <v>50</v>
      </c>
      <c r="D22" s="59" t="s">
        <v>51</v>
      </c>
      <c r="E22" s="27" t="n">
        <v>272275.1101125</v>
      </c>
      <c r="F22" s="27" t="n">
        <v>312309.9243</v>
      </c>
      <c r="G22" s="27" t="n">
        <v>332824.444425</v>
      </c>
      <c r="H22" s="27" t="n">
        <v>367136.1903</v>
      </c>
      <c r="I22" s="27" t="n">
        <v>398486.4708</v>
      </c>
      <c r="J22" s="27" t="n">
        <v>428463.7533</v>
      </c>
      <c r="K22" s="27" t="n">
        <v>461212.916175</v>
      </c>
      <c r="L22" s="27" t="n">
        <v>481801.946175</v>
      </c>
      <c r="M22" s="27" t="n">
        <v>477395.46855</v>
      </c>
      <c r="N22" s="27" t="n">
        <v>443955.5208</v>
      </c>
      <c r="O22" s="27" t="n">
        <v>398561.0817375</v>
      </c>
      <c r="P22" s="27" t="n">
        <v>402156.5266125</v>
      </c>
      <c r="Q22" s="28" t="n">
        <v>4776579.3532875</v>
      </c>
      <c r="R22" s="31"/>
      <c r="S22" s="29" t="n">
        <f aca="false">SUM(E22:E22)</f>
        <v>272275.1101125</v>
      </c>
      <c r="U22" s="29" t="n">
        <f aca="false">SUM($E22:F22)</f>
        <v>584585.0344125</v>
      </c>
      <c r="V22" s="29" t="n">
        <f aca="false">SUM($E22:G22)</f>
        <v>917409.4788375</v>
      </c>
      <c r="W22" s="29" t="n">
        <f aca="false">SUM($E22:H22)</f>
        <v>1284545.6691375</v>
      </c>
      <c r="X22" s="29" t="n">
        <f aca="false">SUM($E22:I22)</f>
        <v>1683032.1399375</v>
      </c>
      <c r="Y22" s="29" t="n">
        <f aca="false">SUM($E22:J22)</f>
        <v>2111495.8932375</v>
      </c>
      <c r="Z22" s="29" t="n">
        <f aca="false">SUM($E22:K22)</f>
        <v>2572708.8094125</v>
      </c>
      <c r="AA22" s="29" t="n">
        <f aca="false">SUM($E22:L22)</f>
        <v>3054510.7555875</v>
      </c>
      <c r="AB22" s="29" t="n">
        <f aca="false">SUM($E22:M22)</f>
        <v>3531906.2241375</v>
      </c>
      <c r="AC22" s="29" t="n">
        <f aca="false">SUM($E22:N22)</f>
        <v>3975861.7449375</v>
      </c>
      <c r="AD22" s="29" t="n">
        <f aca="false">SUM($E22:O22)</f>
        <v>4374422.826675</v>
      </c>
      <c r="AE22" s="29" t="n">
        <f aca="false">SUM($E22:P22)</f>
        <v>4776579.3532875</v>
      </c>
      <c r="AG22" s="30" t="n">
        <v>1254357.41</v>
      </c>
      <c r="AI22" s="60" t="n">
        <v>265966.8</v>
      </c>
      <c r="AJ22" s="60" t="n">
        <v>305012.4</v>
      </c>
      <c r="AK22" s="60" t="n">
        <v>327115.8</v>
      </c>
      <c r="AL22" s="60" t="n">
        <v>321888.6</v>
      </c>
      <c r="AM22" s="60" t="n">
        <v>326122.5</v>
      </c>
      <c r="AN22" s="61" t="n">
        <v>297561</v>
      </c>
      <c r="AO22" s="62" t="n">
        <f aca="false">SUM(AI22:AN22)</f>
        <v>1843667.1</v>
      </c>
      <c r="AP22" s="63" t="n">
        <f aca="false">SUM(AI22:AN22)+Y22</f>
        <v>3955162.9932375</v>
      </c>
      <c r="AR22" s="64" t="n">
        <f aca="false">AI22+AG22</f>
        <v>1520324.21</v>
      </c>
      <c r="AS22" s="31" t="n">
        <f aca="false">AR22+AJ22</f>
        <v>1825336.61</v>
      </c>
      <c r="AT22" s="31" t="n">
        <f aca="false">AS22+AK22</f>
        <v>2152452.41</v>
      </c>
      <c r="AU22" s="31" t="n">
        <f aca="false">AT22+AL22</f>
        <v>2474341.01</v>
      </c>
      <c r="AV22" s="31" t="n">
        <f aca="false">AU22+AM22</f>
        <v>2800463.51</v>
      </c>
      <c r="AW22" s="35" t="n">
        <f aca="false">AV22+AN22</f>
        <v>3098024.51</v>
      </c>
    </row>
    <row r="23" customFormat="false" ht="15" hidden="false" customHeight="true" outlineLevel="0" collapsed="false">
      <c r="A23" s="24" t="n">
        <v>20</v>
      </c>
      <c r="B23" s="65" t="s">
        <v>52</v>
      </c>
      <c r="C23" s="58" t="s">
        <v>53</v>
      </c>
      <c r="D23" s="26" t="s">
        <v>54</v>
      </c>
      <c r="E23" s="27"/>
      <c r="F23" s="27" t="n">
        <f aca="false">980000*0.24</f>
        <v>235200</v>
      </c>
      <c r="G23" s="27"/>
      <c r="H23" s="27"/>
      <c r="I23" s="27" t="n">
        <f aca="false">980000*0.24</f>
        <v>235200</v>
      </c>
      <c r="J23" s="27"/>
      <c r="K23" s="27" t="n">
        <f aca="false">980000*0.21</f>
        <v>205800</v>
      </c>
      <c r="L23" s="27"/>
      <c r="M23" s="27"/>
      <c r="N23" s="27" t="n">
        <f aca="false">980000*0.16</f>
        <v>156800</v>
      </c>
      <c r="O23" s="27"/>
      <c r="P23" s="27" t="n">
        <f aca="false">980000*0.15</f>
        <v>147000</v>
      </c>
      <c r="Q23" s="28" t="n">
        <f aca="false">SUM(E23:P23)</f>
        <v>980000</v>
      </c>
      <c r="R23" s="31" t="n">
        <v>980000</v>
      </c>
      <c r="S23" s="29" t="n">
        <f aca="false">SUM(E23:E23)</f>
        <v>0</v>
      </c>
      <c r="T23" s="5"/>
      <c r="U23" s="29" t="n">
        <f aca="false">SUM($E23:F23)</f>
        <v>235200</v>
      </c>
      <c r="V23" s="29" t="n">
        <f aca="false">SUM($E23:G23)</f>
        <v>235200</v>
      </c>
      <c r="W23" s="29" t="n">
        <f aca="false">SUM($E23:H23)</f>
        <v>235200</v>
      </c>
      <c r="X23" s="29" t="n">
        <f aca="false">SUM($E23:I23)</f>
        <v>470400</v>
      </c>
      <c r="Y23" s="29" t="n">
        <f aca="false">SUM($E23:J23)</f>
        <v>470400</v>
      </c>
      <c r="Z23" s="29" t="n">
        <f aca="false">SUM($E23:K23)</f>
        <v>676200</v>
      </c>
      <c r="AA23" s="29" t="n">
        <f aca="false">SUM($E23:L23)</f>
        <v>676200</v>
      </c>
      <c r="AB23" s="29" t="n">
        <f aca="false">SUM($E23:M23)</f>
        <v>676200</v>
      </c>
      <c r="AC23" s="29" t="n">
        <f aca="false">SUM($E23:N23)</f>
        <v>833000</v>
      </c>
      <c r="AD23" s="29" t="n">
        <f aca="false">SUM($E23:O23)</f>
        <v>833000</v>
      </c>
      <c r="AE23" s="29" t="n">
        <f aca="false">SUM($E23:P23)</f>
        <v>980000</v>
      </c>
      <c r="AG23" s="30" t="n">
        <v>342081.02</v>
      </c>
      <c r="AI23" s="31" t="n">
        <v>0</v>
      </c>
      <c r="AJ23" s="31" t="n">
        <v>130000</v>
      </c>
      <c r="AK23" s="31" t="n">
        <v>0</v>
      </c>
      <c r="AL23" s="31" t="n">
        <v>300000</v>
      </c>
      <c r="AM23" s="31" t="n">
        <v>0</v>
      </c>
      <c r="AN23" s="32" t="n">
        <v>150000</v>
      </c>
      <c r="AO23" s="30" t="n">
        <f aca="false">SUM(AI23:AN23)</f>
        <v>580000</v>
      </c>
      <c r="AP23" s="33" t="n">
        <f aca="false">SUM(AI23:AN23)+Y23</f>
        <v>1050400</v>
      </c>
      <c r="AR23" s="34" t="n">
        <f aca="false">AI23+AG23</f>
        <v>342081.02</v>
      </c>
      <c r="AS23" s="31" t="n">
        <f aca="false">AR23+AJ23</f>
        <v>472081.02</v>
      </c>
      <c r="AT23" s="31" t="n">
        <f aca="false">AS23+AK23</f>
        <v>472081.02</v>
      </c>
      <c r="AU23" s="31" t="n">
        <f aca="false">AT23+AL23</f>
        <v>772081.02</v>
      </c>
      <c r="AV23" s="31" t="n">
        <f aca="false">AU23+AM23</f>
        <v>772081.02</v>
      </c>
      <c r="AW23" s="35" t="n">
        <f aca="false">AV23+AN23</f>
        <v>922081.02</v>
      </c>
    </row>
    <row r="24" customFormat="false" ht="15" hidden="false" customHeight="true" outlineLevel="0" collapsed="false">
      <c r="A24" s="24" t="n">
        <v>21</v>
      </c>
      <c r="B24" s="65" t="s">
        <v>55</v>
      </c>
      <c r="C24" s="58" t="s">
        <v>56</v>
      </c>
      <c r="D24" s="26" t="s">
        <v>57</v>
      </c>
      <c r="E24" s="27" t="n">
        <v>124895.37</v>
      </c>
      <c r="F24" s="27" t="n">
        <f aca="false">3779*3.1</f>
        <v>11714.9</v>
      </c>
      <c r="G24" s="27" t="n">
        <v>15000</v>
      </c>
      <c r="H24" s="27" t="n">
        <v>100000</v>
      </c>
      <c r="I24" s="27" t="n">
        <v>15000</v>
      </c>
      <c r="J24" s="27" t="n">
        <v>35000</v>
      </c>
      <c r="K24" s="27" t="n">
        <v>13390</v>
      </c>
      <c r="L24" s="27" t="n">
        <v>120000</v>
      </c>
      <c r="M24" s="27" t="n">
        <v>15000</v>
      </c>
      <c r="N24" s="27"/>
      <c r="O24" s="27" t="n">
        <v>200000</v>
      </c>
      <c r="P24" s="27"/>
      <c r="Q24" s="28" t="n">
        <f aca="false">SUM(E24:P24)</f>
        <v>650000.27</v>
      </c>
      <c r="R24" s="31" t="n">
        <v>650000</v>
      </c>
      <c r="S24" s="29" t="n">
        <f aca="false">SUM(E24:E24)</f>
        <v>124895.37</v>
      </c>
      <c r="T24" s="5"/>
      <c r="U24" s="29" t="n">
        <f aca="false">SUM($E24:F24)</f>
        <v>136610.27</v>
      </c>
      <c r="V24" s="29" t="n">
        <f aca="false">SUM($E24:G24)</f>
        <v>151610.27</v>
      </c>
      <c r="W24" s="29" t="n">
        <f aca="false">SUM($E24:H24)</f>
        <v>251610.27</v>
      </c>
      <c r="X24" s="29" t="n">
        <f aca="false">SUM($E24:I24)</f>
        <v>266610.27</v>
      </c>
      <c r="Y24" s="29" t="n">
        <f aca="false">SUM($E24:J24)</f>
        <v>301610.27</v>
      </c>
      <c r="Z24" s="29" t="n">
        <f aca="false">SUM($E24:K24)</f>
        <v>315000.27</v>
      </c>
      <c r="AA24" s="29" t="n">
        <f aca="false">SUM($E24:L24)</f>
        <v>435000.27</v>
      </c>
      <c r="AB24" s="29" t="n">
        <f aca="false">SUM($E24:M24)</f>
        <v>450000.27</v>
      </c>
      <c r="AC24" s="29" t="n">
        <f aca="false">SUM($E24:N24)</f>
        <v>450000.27</v>
      </c>
      <c r="AD24" s="29" t="n">
        <f aca="false">SUM($E24:O24)</f>
        <v>650000.27</v>
      </c>
      <c r="AE24" s="29" t="n">
        <f aca="false">SUM($E24:P24)</f>
        <v>650000.27</v>
      </c>
      <c r="AG24" s="30" t="n">
        <v>333276.52</v>
      </c>
      <c r="AI24" s="31" t="n">
        <v>0</v>
      </c>
      <c r="AJ24" s="31" t="n">
        <v>20000</v>
      </c>
      <c r="AK24" s="31" t="n">
        <v>40000</v>
      </c>
      <c r="AL24" s="31" t="n">
        <v>0</v>
      </c>
      <c r="AM24" s="31" t="n">
        <v>220000</v>
      </c>
      <c r="AN24" s="32" t="n">
        <v>0</v>
      </c>
      <c r="AO24" s="30" t="n">
        <f aca="false">SUM(AI24:AN24)</f>
        <v>280000</v>
      </c>
      <c r="AP24" s="33" t="n">
        <f aca="false">SUM(AI24:AN24)+Y24</f>
        <v>581610.27</v>
      </c>
      <c r="AR24" s="34" t="n">
        <f aca="false">AI24+AG24</f>
        <v>333276.52</v>
      </c>
      <c r="AS24" s="31" t="n">
        <f aca="false">AR24+AJ24</f>
        <v>353276.52</v>
      </c>
      <c r="AT24" s="31" t="n">
        <f aca="false">AS24+AK24</f>
        <v>393276.52</v>
      </c>
      <c r="AU24" s="31" t="n">
        <f aca="false">AT24+AL24</f>
        <v>393276.52</v>
      </c>
      <c r="AV24" s="31" t="n">
        <f aca="false">AU24+AM24</f>
        <v>613276.52</v>
      </c>
      <c r="AW24" s="35" t="n">
        <f aca="false">AV24+AN24</f>
        <v>613276.52</v>
      </c>
    </row>
    <row r="25" customFormat="false" ht="15" hidden="false" customHeight="true" outlineLevel="0" collapsed="false">
      <c r="A25" s="24" t="n">
        <v>22</v>
      </c>
      <c r="B25" s="65" t="s">
        <v>58</v>
      </c>
      <c r="C25" s="58" t="s">
        <v>59</v>
      </c>
      <c r="D25" s="26" t="s">
        <v>60</v>
      </c>
      <c r="E25" s="27" t="n">
        <v>67158.97</v>
      </c>
      <c r="F25" s="27"/>
      <c r="G25" s="27" t="n">
        <v>95000</v>
      </c>
      <c r="H25" s="27"/>
      <c r="I25" s="27" t="n">
        <v>85000</v>
      </c>
      <c r="J25" s="27"/>
      <c r="K25" s="27" t="n">
        <v>85000</v>
      </c>
      <c r="L25" s="27"/>
      <c r="M25" s="27" t="n">
        <v>85000</v>
      </c>
      <c r="N25" s="27"/>
      <c r="O25" s="27" t="n">
        <v>82841</v>
      </c>
      <c r="P25" s="27"/>
      <c r="Q25" s="28" t="n">
        <f aca="false">SUM(E25:P25)</f>
        <v>499999.97</v>
      </c>
      <c r="R25" s="31" t="n">
        <v>500000</v>
      </c>
      <c r="S25" s="29" t="n">
        <f aca="false">SUM(E25:E25)</f>
        <v>67158.97</v>
      </c>
      <c r="T25" s="5"/>
      <c r="U25" s="29" t="n">
        <f aca="false">SUM($E25:F25)</f>
        <v>67158.97</v>
      </c>
      <c r="V25" s="29" t="n">
        <f aca="false">SUM($E25:G25)</f>
        <v>162158.97</v>
      </c>
      <c r="W25" s="29" t="n">
        <f aca="false">SUM($E25:H25)</f>
        <v>162158.97</v>
      </c>
      <c r="X25" s="29" t="n">
        <f aca="false">SUM($E25:I25)</f>
        <v>247158.97</v>
      </c>
      <c r="Y25" s="29" t="n">
        <f aca="false">SUM($E25:J25)</f>
        <v>247158.97</v>
      </c>
      <c r="Z25" s="29" t="n">
        <f aca="false">SUM($E25:K25)</f>
        <v>332158.97</v>
      </c>
      <c r="AA25" s="29" t="n">
        <f aca="false">SUM($E25:L25)</f>
        <v>332158.97</v>
      </c>
      <c r="AB25" s="29" t="n">
        <f aca="false">SUM($E25:M25)</f>
        <v>417158.97</v>
      </c>
      <c r="AC25" s="29" t="n">
        <f aca="false">SUM($E25:N25)</f>
        <v>417158.97</v>
      </c>
      <c r="AD25" s="29" t="n">
        <f aca="false">SUM($E25:O25)</f>
        <v>499999.97</v>
      </c>
      <c r="AE25" s="29" t="n">
        <f aca="false">SUM($E25:P25)</f>
        <v>499999.97</v>
      </c>
      <c r="AG25" s="30" t="n">
        <v>307053.13</v>
      </c>
      <c r="AI25" s="31" t="n">
        <v>0</v>
      </c>
      <c r="AJ25" s="31" t="n">
        <v>0</v>
      </c>
      <c r="AK25" s="31" t="n">
        <v>75000</v>
      </c>
      <c r="AL25" s="31" t="n">
        <v>0</v>
      </c>
      <c r="AM25" s="31" t="n">
        <v>75000</v>
      </c>
      <c r="AN25" s="32" t="n">
        <v>0</v>
      </c>
      <c r="AO25" s="30" t="n">
        <f aca="false">SUM(AI25:AN25)</f>
        <v>150000</v>
      </c>
      <c r="AP25" s="33" t="n">
        <f aca="false">SUM(AI25:AN25)+Y25</f>
        <v>397158.97</v>
      </c>
      <c r="AR25" s="34" t="n">
        <f aca="false">AI25+AG25</f>
        <v>307053.13</v>
      </c>
      <c r="AS25" s="31" t="n">
        <f aca="false">AR25+AJ25</f>
        <v>307053.13</v>
      </c>
      <c r="AT25" s="31" t="n">
        <f aca="false">AS25+AK25</f>
        <v>382053.13</v>
      </c>
      <c r="AU25" s="31" t="n">
        <f aca="false">AT25+AL25</f>
        <v>382053.13</v>
      </c>
      <c r="AV25" s="31" t="n">
        <f aca="false">AU25+AM25</f>
        <v>457053.13</v>
      </c>
      <c r="AW25" s="35" t="n">
        <f aca="false">AV25+AN25</f>
        <v>457053.13</v>
      </c>
    </row>
    <row r="26" customFormat="false" ht="15" hidden="false" customHeight="true" outlineLevel="0" collapsed="false">
      <c r="A26" s="24" t="n">
        <v>23</v>
      </c>
      <c r="B26" s="65" t="s">
        <v>61</v>
      </c>
      <c r="C26" s="58" t="s">
        <v>62</v>
      </c>
      <c r="D26" s="26" t="s">
        <v>63</v>
      </c>
      <c r="E26" s="27" t="n">
        <v>15774.92</v>
      </c>
      <c r="F26" s="27"/>
      <c r="G26" s="27" t="n">
        <v>17000</v>
      </c>
      <c r="H26" s="27" t="n">
        <v>10000</v>
      </c>
      <c r="I26" s="27" t="n">
        <v>17000</v>
      </c>
      <c r="J26" s="27" t="n">
        <v>10000</v>
      </c>
      <c r="K26" s="27" t="n">
        <v>17000</v>
      </c>
      <c r="L26" s="27" t="n">
        <v>10000</v>
      </c>
      <c r="M26" s="27" t="n">
        <v>17000</v>
      </c>
      <c r="N26" s="27" t="n">
        <v>9225</v>
      </c>
      <c r="O26" s="27" t="n">
        <v>17000</v>
      </c>
      <c r="P26" s="27"/>
      <c r="Q26" s="28" t="n">
        <f aca="false">SUM(E26:P26)</f>
        <v>139999.92</v>
      </c>
      <c r="R26" s="31" t="n">
        <v>140000</v>
      </c>
      <c r="S26" s="29" t="n">
        <f aca="false">SUM(E26:E26)</f>
        <v>15774.92</v>
      </c>
      <c r="T26" s="5"/>
      <c r="U26" s="29" t="n">
        <f aca="false">SUM($E26:F26)</f>
        <v>15774.92</v>
      </c>
      <c r="V26" s="29" t="n">
        <f aca="false">SUM($E26:G26)</f>
        <v>32774.92</v>
      </c>
      <c r="W26" s="29" t="n">
        <f aca="false">SUM($E26:H26)</f>
        <v>42774.92</v>
      </c>
      <c r="X26" s="29" t="n">
        <f aca="false">SUM($E26:I26)</f>
        <v>59774.92</v>
      </c>
      <c r="Y26" s="29" t="n">
        <f aca="false">SUM($E26:J26)</f>
        <v>69774.92</v>
      </c>
      <c r="Z26" s="29" t="n">
        <f aca="false">SUM($E26:K26)</f>
        <v>86774.92</v>
      </c>
      <c r="AA26" s="29" t="n">
        <f aca="false">SUM($E26:L26)</f>
        <v>96774.92</v>
      </c>
      <c r="AB26" s="29" t="n">
        <f aca="false">SUM($E26:M26)</f>
        <v>113774.92</v>
      </c>
      <c r="AC26" s="29" t="n">
        <f aca="false">SUM($E26:N26)</f>
        <v>122999.92</v>
      </c>
      <c r="AD26" s="29" t="n">
        <f aca="false">SUM($E26:O26)</f>
        <v>139999.92</v>
      </c>
      <c r="AE26" s="29" t="n">
        <f aca="false">SUM($E26:P26)</f>
        <v>139999.92</v>
      </c>
      <c r="AG26" s="30" t="n">
        <v>76678.59</v>
      </c>
      <c r="AI26" s="31" t="n">
        <v>20000</v>
      </c>
      <c r="AJ26" s="31" t="n">
        <v>0</v>
      </c>
      <c r="AK26" s="31" t="n">
        <v>15000</v>
      </c>
      <c r="AL26" s="31" t="n">
        <v>0</v>
      </c>
      <c r="AM26" s="31" t="n">
        <v>20000</v>
      </c>
      <c r="AN26" s="32" t="n">
        <v>0</v>
      </c>
      <c r="AO26" s="30" t="n">
        <f aca="false">SUM(AI26:AN26)</f>
        <v>55000</v>
      </c>
      <c r="AP26" s="33" t="n">
        <f aca="false">SUM(AI26:AN26)+Y26</f>
        <v>124774.92</v>
      </c>
      <c r="AR26" s="34" t="n">
        <f aca="false">AI26+AG26</f>
        <v>96678.59</v>
      </c>
      <c r="AS26" s="31" t="n">
        <f aca="false">AR26+AJ26</f>
        <v>96678.59</v>
      </c>
      <c r="AT26" s="31" t="n">
        <f aca="false">AS26+AK26</f>
        <v>111678.59</v>
      </c>
      <c r="AU26" s="31" t="n">
        <f aca="false">AT26+AL26</f>
        <v>111678.59</v>
      </c>
      <c r="AV26" s="31" t="n">
        <f aca="false">AU26+AM26</f>
        <v>131678.59</v>
      </c>
      <c r="AW26" s="35" t="n">
        <f aca="false">AV26+AN26</f>
        <v>131678.59</v>
      </c>
    </row>
    <row r="27" customFormat="false" ht="15" hidden="false" customHeight="true" outlineLevel="0" collapsed="false">
      <c r="A27" s="24" t="n">
        <v>24</v>
      </c>
      <c r="B27" s="65" t="s">
        <v>64</v>
      </c>
      <c r="C27" s="58" t="s">
        <v>65</v>
      </c>
      <c r="D27" s="26" t="s">
        <v>66</v>
      </c>
      <c r="E27" s="27"/>
      <c r="F27" s="27"/>
      <c r="G27" s="27" t="n">
        <v>5000</v>
      </c>
      <c r="H27" s="27" t="n">
        <v>5000</v>
      </c>
      <c r="I27" s="27" t="n">
        <v>5000</v>
      </c>
      <c r="J27" s="27" t="n">
        <v>5000</v>
      </c>
      <c r="K27" s="27" t="n">
        <v>5000</v>
      </c>
      <c r="L27" s="27" t="n">
        <v>5000</v>
      </c>
      <c r="M27" s="27" t="n">
        <v>5000</v>
      </c>
      <c r="N27" s="27" t="n">
        <v>5000</v>
      </c>
      <c r="O27" s="27" t="n">
        <v>5000</v>
      </c>
      <c r="P27" s="27" t="n">
        <v>5000</v>
      </c>
      <c r="Q27" s="28" t="n">
        <f aca="false">SUM(E27:P27)</f>
        <v>50000</v>
      </c>
      <c r="R27" s="31" t="n">
        <v>50000</v>
      </c>
      <c r="S27" s="29" t="n">
        <f aca="false">SUM(E27:E27)</f>
        <v>0</v>
      </c>
      <c r="T27" s="5"/>
      <c r="U27" s="29" t="n">
        <f aca="false">SUM($E27:F27)</f>
        <v>0</v>
      </c>
      <c r="V27" s="29" t="n">
        <f aca="false">SUM($E27:G27)</f>
        <v>5000</v>
      </c>
      <c r="W27" s="29" t="n">
        <f aca="false">SUM($E27:H27)</f>
        <v>10000</v>
      </c>
      <c r="X27" s="29" t="n">
        <f aca="false">SUM($E27:I27)</f>
        <v>15000</v>
      </c>
      <c r="Y27" s="29" t="n">
        <f aca="false">SUM($E27:J27)</f>
        <v>20000</v>
      </c>
      <c r="Z27" s="29" t="n">
        <f aca="false">SUM($E27:K27)</f>
        <v>25000</v>
      </c>
      <c r="AA27" s="29" t="n">
        <f aca="false">SUM($E27:L27)</f>
        <v>30000</v>
      </c>
      <c r="AB27" s="29" t="n">
        <f aca="false">SUM($E27:M27)</f>
        <v>35000</v>
      </c>
      <c r="AC27" s="29" t="n">
        <f aca="false">SUM($E27:N27)</f>
        <v>40000</v>
      </c>
      <c r="AD27" s="29" t="n">
        <f aca="false">SUM($E27:O27)</f>
        <v>45000</v>
      </c>
      <c r="AE27" s="29" t="n">
        <f aca="false">SUM($E27:P27)</f>
        <v>50000</v>
      </c>
      <c r="AG27" s="30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2" t="n">
        <v>0</v>
      </c>
      <c r="AO27" s="30" t="n">
        <f aca="false">SUM(AI27:AN27)</f>
        <v>0</v>
      </c>
      <c r="AP27" s="33" t="n">
        <f aca="false">SUM(AI27:AN27)+Y27</f>
        <v>20000</v>
      </c>
      <c r="AR27" s="34" t="n">
        <f aca="false">AI27+AG27</f>
        <v>0</v>
      </c>
      <c r="AS27" s="31" t="n">
        <f aca="false">AR27+AJ27</f>
        <v>0</v>
      </c>
      <c r="AT27" s="31" t="n">
        <f aca="false">AS27+AK27</f>
        <v>0</v>
      </c>
      <c r="AU27" s="31" t="n">
        <f aca="false">AT27+AL27</f>
        <v>0</v>
      </c>
      <c r="AV27" s="31" t="n">
        <f aca="false">AU27+AM27</f>
        <v>0</v>
      </c>
      <c r="AW27" s="35" t="n">
        <f aca="false">AV27+AN27</f>
        <v>0</v>
      </c>
    </row>
    <row r="28" customFormat="false" ht="15" hidden="false" customHeight="true" outlineLevel="0" collapsed="false">
      <c r="A28" s="24" t="n">
        <v>25</v>
      </c>
      <c r="B28" s="65" t="s">
        <v>67</v>
      </c>
      <c r="C28" s="58" t="s">
        <v>68</v>
      </c>
      <c r="D28" s="26" t="s">
        <v>69</v>
      </c>
      <c r="E28" s="27"/>
      <c r="F28" s="27"/>
      <c r="G28" s="27"/>
      <c r="H28" s="27" t="n">
        <v>150000</v>
      </c>
      <c r="I28" s="27"/>
      <c r="J28" s="27"/>
      <c r="K28" s="27" t="n">
        <v>150000</v>
      </c>
      <c r="L28" s="27"/>
      <c r="M28" s="27"/>
      <c r="N28" s="27"/>
      <c r="O28" s="27" t="n">
        <v>150000</v>
      </c>
      <c r="P28" s="27"/>
      <c r="Q28" s="28" t="n">
        <f aca="false">SUM(E28:P28)</f>
        <v>450000</v>
      </c>
      <c r="R28" s="31" t="n">
        <v>450000</v>
      </c>
      <c r="S28" s="29" t="n">
        <f aca="false">SUM(E28:E28)</f>
        <v>0</v>
      </c>
      <c r="T28" s="5"/>
      <c r="U28" s="29" t="n">
        <f aca="false">SUM($E28:F28)</f>
        <v>0</v>
      </c>
      <c r="V28" s="29" t="n">
        <f aca="false">SUM($E28:G28)</f>
        <v>0</v>
      </c>
      <c r="W28" s="29" t="n">
        <f aca="false">SUM($E28:H28)</f>
        <v>150000</v>
      </c>
      <c r="X28" s="29" t="n">
        <f aca="false">SUM($E28:I28)</f>
        <v>150000</v>
      </c>
      <c r="Y28" s="29" t="n">
        <f aca="false">SUM($E28:J28)</f>
        <v>150000</v>
      </c>
      <c r="Z28" s="29" t="n">
        <f aca="false">SUM($E28:K28)</f>
        <v>300000</v>
      </c>
      <c r="AA28" s="29" t="n">
        <f aca="false">SUM($E28:L28)</f>
        <v>300000</v>
      </c>
      <c r="AB28" s="29" t="n">
        <f aca="false">SUM($E28:M28)</f>
        <v>300000</v>
      </c>
      <c r="AC28" s="29" t="n">
        <f aca="false">SUM($E28:N28)</f>
        <v>300000</v>
      </c>
      <c r="AD28" s="29" t="n">
        <f aca="false">SUM($E28:O28)</f>
        <v>450000</v>
      </c>
      <c r="AE28" s="29" t="n">
        <f aca="false">SUM($E28:P28)</f>
        <v>450000</v>
      </c>
      <c r="AG28" s="30" t="n">
        <v>144147.47</v>
      </c>
      <c r="AI28" s="31" t="n">
        <v>240000</v>
      </c>
      <c r="AJ28" s="31" t="n">
        <v>0</v>
      </c>
      <c r="AK28" s="31" t="n">
        <v>70000</v>
      </c>
      <c r="AL28" s="31" t="n">
        <v>0</v>
      </c>
      <c r="AM28" s="31" t="n">
        <v>70000</v>
      </c>
      <c r="AN28" s="32" t="n">
        <v>0</v>
      </c>
      <c r="AO28" s="30" t="n">
        <f aca="false">SUM(AI28:AN28)</f>
        <v>380000</v>
      </c>
      <c r="AP28" s="33" t="n">
        <f aca="false">SUM(AI28:AN28)+Y28</f>
        <v>530000</v>
      </c>
      <c r="AR28" s="34" t="n">
        <f aca="false">AI28+AG28</f>
        <v>384147.47</v>
      </c>
      <c r="AS28" s="31" t="n">
        <f aca="false">AR28+AJ28</f>
        <v>384147.47</v>
      </c>
      <c r="AT28" s="31" t="n">
        <f aca="false">AS28+AK28</f>
        <v>454147.47</v>
      </c>
      <c r="AU28" s="31" t="n">
        <f aca="false">AT28+AL28</f>
        <v>454147.47</v>
      </c>
      <c r="AV28" s="31" t="n">
        <f aca="false">AU28+AM28</f>
        <v>524147.47</v>
      </c>
      <c r="AW28" s="35" t="n">
        <f aca="false">AV28+AN28</f>
        <v>524147.47</v>
      </c>
    </row>
    <row r="29" customFormat="false" ht="15" hidden="false" customHeight="true" outlineLevel="0" collapsed="false">
      <c r="A29" s="24" t="n">
        <v>26</v>
      </c>
      <c r="B29" s="65" t="s">
        <v>70</v>
      </c>
      <c r="C29" s="58" t="s">
        <v>71</v>
      </c>
      <c r="D29" s="26" t="s">
        <v>72</v>
      </c>
      <c r="E29" s="27"/>
      <c r="F29" s="27" t="n">
        <v>40000</v>
      </c>
      <c r="G29" s="27"/>
      <c r="H29" s="27" t="n">
        <v>40000</v>
      </c>
      <c r="I29" s="27"/>
      <c r="J29" s="27" t="n">
        <v>40000</v>
      </c>
      <c r="K29" s="27"/>
      <c r="L29" s="27" t="n">
        <v>40000</v>
      </c>
      <c r="M29" s="27"/>
      <c r="N29" s="27"/>
      <c r="O29" s="27" t="n">
        <v>40000</v>
      </c>
      <c r="P29" s="27"/>
      <c r="Q29" s="28" t="n">
        <f aca="false">SUM(E29:P29)</f>
        <v>200000</v>
      </c>
      <c r="R29" s="31" t="n">
        <v>200000</v>
      </c>
      <c r="S29" s="29" t="n">
        <f aca="false">SUM(E29:E29)</f>
        <v>0</v>
      </c>
      <c r="T29" s="5" t="n">
        <f aca="false">R29-Q29</f>
        <v>0</v>
      </c>
      <c r="U29" s="29" t="n">
        <f aca="false">SUM($E29:F29)</f>
        <v>40000</v>
      </c>
      <c r="V29" s="29" t="n">
        <f aca="false">SUM($E29:G29)</f>
        <v>40000</v>
      </c>
      <c r="W29" s="29" t="n">
        <f aca="false">SUM($E29:H29)</f>
        <v>80000</v>
      </c>
      <c r="X29" s="29" t="n">
        <f aca="false">SUM($E29:I29)</f>
        <v>80000</v>
      </c>
      <c r="Y29" s="29" t="n">
        <f aca="false">SUM($E29:J29)</f>
        <v>120000</v>
      </c>
      <c r="Z29" s="29" t="n">
        <f aca="false">SUM($E29:K29)</f>
        <v>120000</v>
      </c>
      <c r="AA29" s="29" t="n">
        <f aca="false">SUM($E29:L29)</f>
        <v>160000</v>
      </c>
      <c r="AB29" s="29" t="n">
        <f aca="false">SUM($E29:M29)</f>
        <v>160000</v>
      </c>
      <c r="AC29" s="29" t="n">
        <f aca="false">SUM($E29:N29)</f>
        <v>160000</v>
      </c>
      <c r="AD29" s="29" t="n">
        <f aca="false">SUM($E29:O29)</f>
        <v>200000</v>
      </c>
      <c r="AE29" s="29" t="n">
        <f aca="false">SUM($E29:P29)</f>
        <v>200000</v>
      </c>
      <c r="AG29" s="30" t="n">
        <v>60694.01</v>
      </c>
      <c r="AI29" s="31" t="n">
        <v>0</v>
      </c>
      <c r="AJ29" s="31" t="n">
        <v>0</v>
      </c>
      <c r="AK29" s="31" t="n">
        <v>20000</v>
      </c>
      <c r="AL29" s="31" t="n">
        <v>0</v>
      </c>
      <c r="AM29" s="31" t="n">
        <v>20000</v>
      </c>
      <c r="AN29" s="32" t="n">
        <v>0</v>
      </c>
      <c r="AO29" s="30" t="n">
        <f aca="false">SUM(AI29:AN29)</f>
        <v>40000</v>
      </c>
      <c r="AP29" s="33" t="n">
        <f aca="false">SUM(AI29:AN29)+Y29</f>
        <v>160000</v>
      </c>
      <c r="AR29" s="34" t="n">
        <f aca="false">AI29+AG29</f>
        <v>60694.01</v>
      </c>
      <c r="AS29" s="31" t="n">
        <f aca="false">AR29+AJ29</f>
        <v>60694.01</v>
      </c>
      <c r="AT29" s="31" t="n">
        <f aca="false">AS29+AK29</f>
        <v>80694.01</v>
      </c>
      <c r="AU29" s="31" t="n">
        <f aca="false">AT29+AL29</f>
        <v>80694.01</v>
      </c>
      <c r="AV29" s="31" t="n">
        <f aca="false">AU29+AM29</f>
        <v>100694.01</v>
      </c>
      <c r="AW29" s="35" t="n">
        <f aca="false">AV29+AN29</f>
        <v>100694.01</v>
      </c>
    </row>
    <row r="30" customFormat="false" ht="15" hidden="false" customHeight="true" outlineLevel="0" collapsed="false">
      <c r="A30" s="24" t="n">
        <v>27</v>
      </c>
      <c r="B30" s="65" t="s">
        <v>73</v>
      </c>
      <c r="C30" s="58" t="s">
        <v>74</v>
      </c>
      <c r="D30" s="26" t="s">
        <v>75</v>
      </c>
      <c r="E30" s="27"/>
      <c r="F30" s="27"/>
      <c r="G30" s="27"/>
      <c r="H30" s="27"/>
      <c r="I30" s="27"/>
      <c r="J30" s="27"/>
      <c r="K30" s="27"/>
      <c r="L30" s="27" t="n">
        <v>250000</v>
      </c>
      <c r="M30" s="27"/>
      <c r="N30" s="27"/>
      <c r="O30" s="27"/>
      <c r="P30" s="27"/>
      <c r="Q30" s="28" t="n">
        <f aca="false">SUM(E30:P30)</f>
        <v>250000</v>
      </c>
      <c r="R30" s="31" t="n">
        <v>250000</v>
      </c>
      <c r="S30" s="29" t="n">
        <f aca="false">SUM(E30:E30)</f>
        <v>0</v>
      </c>
      <c r="T30" s="5" t="n">
        <f aca="false">R30-Q30</f>
        <v>0</v>
      </c>
      <c r="U30" s="29" t="n">
        <f aca="false">SUM($E30:F30)</f>
        <v>0</v>
      </c>
      <c r="V30" s="29" t="n">
        <f aca="false">SUM($E30:G30)</f>
        <v>0</v>
      </c>
      <c r="W30" s="29" t="n">
        <f aca="false">SUM($E30:H30)</f>
        <v>0</v>
      </c>
      <c r="X30" s="29" t="n">
        <f aca="false">SUM($E30:I30)</f>
        <v>0</v>
      </c>
      <c r="Y30" s="29" t="n">
        <f aca="false">SUM($E30:J30)</f>
        <v>0</v>
      </c>
      <c r="Z30" s="29" t="n">
        <f aca="false">SUM($E30:K30)</f>
        <v>0</v>
      </c>
      <c r="AA30" s="29" t="n">
        <f aca="false">SUM($E30:L30)</f>
        <v>250000</v>
      </c>
      <c r="AB30" s="29" t="n">
        <f aca="false">SUM($E30:M30)</f>
        <v>250000</v>
      </c>
      <c r="AC30" s="29" t="n">
        <f aca="false">SUM($E30:N30)</f>
        <v>250000</v>
      </c>
      <c r="AD30" s="29" t="n">
        <f aca="false">SUM($E30:O30)</f>
        <v>250000</v>
      </c>
      <c r="AE30" s="29" t="n">
        <f aca="false">SUM($E30:P30)</f>
        <v>250000</v>
      </c>
      <c r="AG30" s="30" t="n">
        <v>0</v>
      </c>
      <c r="AI30" s="31" t="n">
        <v>0</v>
      </c>
      <c r="AJ30" s="31" t="n">
        <v>0</v>
      </c>
      <c r="AK30" s="31" t="n">
        <v>150000</v>
      </c>
      <c r="AL30" s="31" t="n">
        <v>100000</v>
      </c>
      <c r="AM30" s="31" t="n">
        <v>0</v>
      </c>
      <c r="AN30" s="32" t="n">
        <v>0</v>
      </c>
      <c r="AO30" s="30" t="n">
        <f aca="false">SUM(AI30:AN30)</f>
        <v>250000</v>
      </c>
      <c r="AP30" s="33" t="n">
        <f aca="false">SUM(AI30:AN30)+Y30</f>
        <v>250000</v>
      </c>
      <c r="AR30" s="34" t="n">
        <f aca="false">AI30+AG30</f>
        <v>0</v>
      </c>
      <c r="AS30" s="31" t="n">
        <f aca="false">AR30+AJ30</f>
        <v>0</v>
      </c>
      <c r="AT30" s="31" t="n">
        <f aca="false">AS30+AK30</f>
        <v>150000</v>
      </c>
      <c r="AU30" s="31" t="n">
        <f aca="false">AT30+AL30</f>
        <v>250000</v>
      </c>
      <c r="AV30" s="31" t="n">
        <f aca="false">AU30+AM30</f>
        <v>250000</v>
      </c>
      <c r="AW30" s="35" t="n">
        <f aca="false">AV30+AN30</f>
        <v>250000</v>
      </c>
    </row>
    <row r="31" customFormat="false" ht="15" hidden="false" customHeight="true" outlineLevel="0" collapsed="false">
      <c r="A31" s="24" t="n">
        <v>28</v>
      </c>
      <c r="B31" s="65" t="s">
        <v>76</v>
      </c>
      <c r="C31" s="58" t="s">
        <v>77</v>
      </c>
      <c r="D31" s="26" t="s">
        <v>78</v>
      </c>
      <c r="E31" s="27" t="n">
        <v>27429.74</v>
      </c>
      <c r="F31" s="27" t="n">
        <f aca="false">6735*3.7</f>
        <v>24919.5</v>
      </c>
      <c r="G31" s="27" t="n">
        <f aca="false">(450000-$E$31-$F$31)/10</f>
        <v>39765.076</v>
      </c>
      <c r="H31" s="27" t="n">
        <f aca="false">(450000-$E$31-$F$31)/10</f>
        <v>39765.076</v>
      </c>
      <c r="I31" s="27" t="n">
        <f aca="false">(450000-$E$31-$F$31)/10</f>
        <v>39765.076</v>
      </c>
      <c r="J31" s="27" t="n">
        <f aca="false">(450000-$E$31-$F$31)/10</f>
        <v>39765.076</v>
      </c>
      <c r="K31" s="27" t="n">
        <f aca="false">(450000-$E$31-$F$31)/10</f>
        <v>39765.076</v>
      </c>
      <c r="L31" s="27" t="n">
        <f aca="false">(450000-$E$31-$F$31)/10</f>
        <v>39765.076</v>
      </c>
      <c r="M31" s="27" t="n">
        <f aca="false">(450000-$E$31-$F$31)/10</f>
        <v>39765.076</v>
      </c>
      <c r="N31" s="27" t="n">
        <f aca="false">(450000-$E$31-$F$31)/10</f>
        <v>39765.076</v>
      </c>
      <c r="O31" s="27" t="n">
        <f aca="false">(450000-$E$31-$F$31)/10</f>
        <v>39765.076</v>
      </c>
      <c r="P31" s="27" t="n">
        <f aca="false">(450000-$E$31-$F$31)/10</f>
        <v>39765.076</v>
      </c>
      <c r="Q31" s="28" t="n">
        <f aca="false">SUM(E31:P31)</f>
        <v>450000</v>
      </c>
      <c r="R31" s="31" t="n">
        <v>450000</v>
      </c>
      <c r="S31" s="29" t="n">
        <f aca="false">SUM(E31:E31)</f>
        <v>27429.74</v>
      </c>
      <c r="T31" s="5" t="n">
        <f aca="false">R31-Q31</f>
        <v>0</v>
      </c>
      <c r="U31" s="29" t="n">
        <f aca="false">SUM($E31:F31)</f>
        <v>52349.24</v>
      </c>
      <c r="V31" s="29" t="n">
        <f aca="false">SUM($E31:G31)</f>
        <v>92114.316</v>
      </c>
      <c r="W31" s="29" t="n">
        <f aca="false">SUM($E31:H31)</f>
        <v>131879.392</v>
      </c>
      <c r="X31" s="29" t="n">
        <f aca="false">SUM($E31:I31)</f>
        <v>171644.468</v>
      </c>
      <c r="Y31" s="29" t="n">
        <f aca="false">SUM($E31:J31)</f>
        <v>211409.544</v>
      </c>
      <c r="Z31" s="29" t="n">
        <f aca="false">SUM($E31:K31)</f>
        <v>251174.62</v>
      </c>
      <c r="AA31" s="29" t="n">
        <f aca="false">SUM($E31:L31)</f>
        <v>290939.696</v>
      </c>
      <c r="AB31" s="29" t="n">
        <f aca="false">SUM($E31:M31)</f>
        <v>330704.772</v>
      </c>
      <c r="AC31" s="29" t="n">
        <f aca="false">SUM($E31:N31)</f>
        <v>370469.848</v>
      </c>
      <c r="AD31" s="29" t="n">
        <f aca="false">SUM($E31:O31)</f>
        <v>410234.924</v>
      </c>
      <c r="AE31" s="29" t="n">
        <f aca="false">SUM($E31:P31)</f>
        <v>450000</v>
      </c>
      <c r="AG31" s="30" t="n">
        <v>203207.09</v>
      </c>
      <c r="AI31" s="31" t="n">
        <v>40000</v>
      </c>
      <c r="AJ31" s="31" t="n">
        <v>20000</v>
      </c>
      <c r="AK31" s="31" t="n">
        <v>40000</v>
      </c>
      <c r="AL31" s="31" t="n">
        <v>20000</v>
      </c>
      <c r="AM31" s="31" t="n">
        <v>40000</v>
      </c>
      <c r="AN31" s="32" t="n">
        <v>15000</v>
      </c>
      <c r="AO31" s="30" t="n">
        <f aca="false">SUM(AI31:AN31)</f>
        <v>175000</v>
      </c>
      <c r="AP31" s="33" t="n">
        <f aca="false">SUM(AI31:AN31)+Y31</f>
        <v>386409.544</v>
      </c>
      <c r="AR31" s="34" t="n">
        <f aca="false">AI31+AG31</f>
        <v>243207.09</v>
      </c>
      <c r="AS31" s="31" t="n">
        <f aca="false">AR31+AJ31</f>
        <v>263207.09</v>
      </c>
      <c r="AT31" s="31" t="n">
        <f aca="false">AS31+AK31</f>
        <v>303207.09</v>
      </c>
      <c r="AU31" s="31" t="n">
        <f aca="false">AT31+AL31</f>
        <v>323207.09</v>
      </c>
      <c r="AV31" s="31" t="n">
        <f aca="false">AU31+AM31</f>
        <v>363207.09</v>
      </c>
      <c r="AW31" s="35" t="n">
        <f aca="false">AV31+AN31</f>
        <v>378207.09</v>
      </c>
    </row>
    <row r="32" customFormat="false" ht="15" hidden="false" customHeight="true" outlineLevel="0" collapsed="false">
      <c r="A32" s="24" t="n">
        <v>29</v>
      </c>
      <c r="B32" s="65" t="s">
        <v>79</v>
      </c>
      <c r="C32" s="58" t="s">
        <v>80</v>
      </c>
      <c r="D32" s="26" t="s">
        <v>81</v>
      </c>
      <c r="E32" s="27"/>
      <c r="F32" s="27"/>
      <c r="G32" s="27"/>
      <c r="H32" s="27" t="n">
        <v>35000</v>
      </c>
      <c r="I32" s="27"/>
      <c r="J32" s="27"/>
      <c r="K32" s="27"/>
      <c r="L32" s="27"/>
      <c r="M32" s="27"/>
      <c r="N32" s="27" t="n">
        <v>35000</v>
      </c>
      <c r="O32" s="27"/>
      <c r="P32" s="27"/>
      <c r="Q32" s="28" t="n">
        <f aca="false">SUM(E32:P32)</f>
        <v>70000</v>
      </c>
      <c r="R32" s="31" t="n">
        <v>70000</v>
      </c>
      <c r="S32" s="29" t="n">
        <f aca="false">SUM(E32:E32)</f>
        <v>0</v>
      </c>
      <c r="T32" s="5" t="n">
        <f aca="false">R32-Q32</f>
        <v>0</v>
      </c>
      <c r="U32" s="29" t="n">
        <f aca="false">SUM($E32:F32)</f>
        <v>0</v>
      </c>
      <c r="V32" s="29" t="n">
        <f aca="false">SUM($E32:G32)</f>
        <v>0</v>
      </c>
      <c r="W32" s="29" t="n">
        <f aca="false">SUM($E32:H32)</f>
        <v>35000</v>
      </c>
      <c r="X32" s="29" t="n">
        <f aca="false">SUM($E32:I32)</f>
        <v>35000</v>
      </c>
      <c r="Y32" s="29" t="n">
        <f aca="false">SUM($E32:J32)</f>
        <v>35000</v>
      </c>
      <c r="Z32" s="29" t="n">
        <f aca="false">SUM($E32:K32)</f>
        <v>35000</v>
      </c>
      <c r="AA32" s="29" t="n">
        <f aca="false">SUM($E32:L32)</f>
        <v>35000</v>
      </c>
      <c r="AB32" s="29" t="n">
        <f aca="false">SUM($E32:M32)</f>
        <v>35000</v>
      </c>
      <c r="AC32" s="29" t="n">
        <f aca="false">SUM($E32:N32)</f>
        <v>70000</v>
      </c>
      <c r="AD32" s="29" t="n">
        <f aca="false">SUM($E32:O32)</f>
        <v>70000</v>
      </c>
      <c r="AE32" s="29" t="n">
        <f aca="false">SUM($E32:P32)</f>
        <v>70000</v>
      </c>
      <c r="AG32" s="30" t="n">
        <v>43116.44</v>
      </c>
      <c r="AI32" s="31" t="n">
        <v>0</v>
      </c>
      <c r="AJ32" s="31" t="n">
        <v>0</v>
      </c>
      <c r="AK32" s="31" t="n">
        <v>0</v>
      </c>
      <c r="AL32" s="31" t="n">
        <v>30000</v>
      </c>
      <c r="AM32" s="31" t="n">
        <v>0</v>
      </c>
      <c r="AN32" s="32" t="n">
        <v>0</v>
      </c>
      <c r="AO32" s="30" t="n">
        <f aca="false">SUM(AI32:AN32)</f>
        <v>30000</v>
      </c>
      <c r="AP32" s="33" t="n">
        <f aca="false">SUM(AI32:AN32)+Y32</f>
        <v>65000</v>
      </c>
      <c r="AR32" s="34" t="n">
        <f aca="false">AI32+AG32</f>
        <v>43116.44</v>
      </c>
      <c r="AS32" s="31" t="n">
        <f aca="false">AR32+AJ32</f>
        <v>43116.44</v>
      </c>
      <c r="AT32" s="31" t="n">
        <f aca="false">AS32+AK32</f>
        <v>43116.44</v>
      </c>
      <c r="AU32" s="31" t="n">
        <f aca="false">AT32+AL32</f>
        <v>73116.44</v>
      </c>
      <c r="AV32" s="31" t="n">
        <f aca="false">AU32+AM32</f>
        <v>73116.44</v>
      </c>
      <c r="AW32" s="35" t="n">
        <f aca="false">AV32+AN32</f>
        <v>73116.44</v>
      </c>
    </row>
    <row r="33" customFormat="false" ht="15" hidden="false" customHeight="true" outlineLevel="0" collapsed="false">
      <c r="A33" s="24" t="n">
        <v>30</v>
      </c>
      <c r="B33" s="65" t="s">
        <v>82</v>
      </c>
      <c r="C33" s="58" t="s">
        <v>83</v>
      </c>
      <c r="D33" s="26" t="s">
        <v>81</v>
      </c>
      <c r="E33" s="27"/>
      <c r="F33" s="27"/>
      <c r="G33" s="27" t="n">
        <v>20000</v>
      </c>
      <c r="H33" s="27"/>
      <c r="I33" s="27"/>
      <c r="J33" s="27"/>
      <c r="K33" s="27" t="n">
        <v>20000</v>
      </c>
      <c r="L33" s="27"/>
      <c r="M33" s="27"/>
      <c r="N33" s="27"/>
      <c r="O33" s="27" t="n">
        <f aca="false">20000-207</f>
        <v>19793</v>
      </c>
      <c r="P33" s="27"/>
      <c r="Q33" s="28" t="n">
        <f aca="false">SUM(E33:P33)</f>
        <v>59793</v>
      </c>
      <c r="R33" s="31" t="n">
        <v>59793.3</v>
      </c>
      <c r="S33" s="29" t="n">
        <f aca="false">SUM(E33:E33)</f>
        <v>0</v>
      </c>
      <c r="T33" s="5" t="n">
        <f aca="false">R33-Q33</f>
        <v>0.30000000000291</v>
      </c>
      <c r="U33" s="29" t="n">
        <f aca="false">SUM($E33:F33)</f>
        <v>0</v>
      </c>
      <c r="V33" s="29" t="n">
        <f aca="false">SUM($E33:G33)</f>
        <v>20000</v>
      </c>
      <c r="W33" s="29" t="n">
        <f aca="false">SUM($E33:H33)</f>
        <v>20000</v>
      </c>
      <c r="X33" s="29" t="n">
        <f aca="false">SUM($E33:I33)</f>
        <v>20000</v>
      </c>
      <c r="Y33" s="29" t="n">
        <f aca="false">SUM($E33:J33)</f>
        <v>20000</v>
      </c>
      <c r="Z33" s="29" t="n">
        <f aca="false">SUM($E33:K33)</f>
        <v>40000</v>
      </c>
      <c r="AA33" s="29" t="n">
        <f aca="false">SUM($E33:L33)</f>
        <v>40000</v>
      </c>
      <c r="AB33" s="29" t="n">
        <f aca="false">SUM($E33:M33)</f>
        <v>40000</v>
      </c>
      <c r="AC33" s="29" t="n">
        <f aca="false">SUM($E33:N33)</f>
        <v>40000</v>
      </c>
      <c r="AD33" s="29" t="n">
        <f aca="false">SUM($E33:O33)</f>
        <v>59793</v>
      </c>
      <c r="AE33" s="29" t="n">
        <f aca="false">SUM($E33:P33)</f>
        <v>59793</v>
      </c>
      <c r="AG33" s="30" t="n">
        <v>17809.5</v>
      </c>
      <c r="AI33" s="31" t="n">
        <v>0</v>
      </c>
      <c r="AJ33" s="31" t="n">
        <v>0</v>
      </c>
      <c r="AK33" s="31" t="n">
        <v>25000</v>
      </c>
      <c r="AL33" s="31" t="n">
        <v>0</v>
      </c>
      <c r="AM33" s="31" t="n">
        <v>0</v>
      </c>
      <c r="AN33" s="32" t="n">
        <v>0</v>
      </c>
      <c r="AO33" s="30" t="n">
        <f aca="false">SUM(AI33:AN33)</f>
        <v>25000</v>
      </c>
      <c r="AP33" s="33" t="n">
        <f aca="false">SUM(AI33:AN33)+Y33</f>
        <v>45000</v>
      </c>
      <c r="AR33" s="34" t="n">
        <f aca="false">AI33+AG33</f>
        <v>17809.5</v>
      </c>
      <c r="AS33" s="31" t="n">
        <f aca="false">AR33+AJ33</f>
        <v>17809.5</v>
      </c>
      <c r="AT33" s="31" t="n">
        <f aca="false">AS33+AK33</f>
        <v>42809.5</v>
      </c>
      <c r="AU33" s="31" t="n">
        <f aca="false">AT33+AL33</f>
        <v>42809.5</v>
      </c>
      <c r="AV33" s="31" t="n">
        <f aca="false">AU33+AM33</f>
        <v>42809.5</v>
      </c>
      <c r="AW33" s="35" t="n">
        <f aca="false">AV33+AN33</f>
        <v>42809.5</v>
      </c>
    </row>
    <row r="34" customFormat="false" ht="15" hidden="false" customHeight="true" outlineLevel="0" collapsed="false">
      <c r="A34" s="24" t="n">
        <v>31</v>
      </c>
      <c r="B34" s="65" t="s">
        <v>84</v>
      </c>
      <c r="C34" s="58" t="s">
        <v>85</v>
      </c>
      <c r="D34" s="26" t="s">
        <v>86</v>
      </c>
      <c r="E34" s="27"/>
      <c r="F34" s="27"/>
      <c r="G34" s="27" t="n">
        <v>18000</v>
      </c>
      <c r="H34" s="27"/>
      <c r="I34" s="27"/>
      <c r="J34" s="27"/>
      <c r="K34" s="27" t="n">
        <v>18000</v>
      </c>
      <c r="L34" s="27"/>
      <c r="M34" s="27" t="n">
        <f aca="false">85000-18000*2</f>
        <v>49000</v>
      </c>
      <c r="N34" s="27"/>
      <c r="O34" s="27"/>
      <c r="P34" s="27"/>
      <c r="Q34" s="28" t="n">
        <f aca="false">SUM(E34:P34)</f>
        <v>85000</v>
      </c>
      <c r="R34" s="31" t="n">
        <v>85000</v>
      </c>
      <c r="S34" s="29" t="n">
        <f aca="false">SUM(E34:E34)</f>
        <v>0</v>
      </c>
      <c r="T34" s="5" t="n">
        <f aca="false">R34-Q34</f>
        <v>0</v>
      </c>
      <c r="U34" s="29" t="n">
        <f aca="false">SUM($E34:F34)</f>
        <v>0</v>
      </c>
      <c r="V34" s="29" t="n">
        <f aca="false">SUM($E34:G34)</f>
        <v>18000</v>
      </c>
      <c r="W34" s="29" t="n">
        <f aca="false">SUM($E34:H34)</f>
        <v>18000</v>
      </c>
      <c r="X34" s="29" t="n">
        <f aca="false">SUM($E34:I34)</f>
        <v>18000</v>
      </c>
      <c r="Y34" s="29" t="n">
        <f aca="false">SUM($E34:J34)</f>
        <v>18000</v>
      </c>
      <c r="Z34" s="29" t="n">
        <f aca="false">SUM($E34:K34)</f>
        <v>36000</v>
      </c>
      <c r="AA34" s="29" t="n">
        <f aca="false">SUM($E34:L34)</f>
        <v>36000</v>
      </c>
      <c r="AB34" s="29" t="n">
        <f aca="false">SUM($E34:M34)</f>
        <v>85000</v>
      </c>
      <c r="AC34" s="29" t="n">
        <f aca="false">SUM($E34:N34)</f>
        <v>85000</v>
      </c>
      <c r="AD34" s="29" t="n">
        <f aca="false">SUM($E34:O34)</f>
        <v>85000</v>
      </c>
      <c r="AE34" s="29" t="n">
        <f aca="false">SUM($E34:P34)</f>
        <v>85000</v>
      </c>
      <c r="AG34" s="30" t="n">
        <v>0</v>
      </c>
      <c r="AI34" s="31" t="n">
        <v>0</v>
      </c>
      <c r="AJ34" s="31" t="n">
        <v>0</v>
      </c>
      <c r="AK34" s="31" t="n">
        <v>17500</v>
      </c>
      <c r="AL34" s="31" t="n">
        <v>0</v>
      </c>
      <c r="AM34" s="31" t="n">
        <v>0</v>
      </c>
      <c r="AN34" s="32" t="n">
        <v>0</v>
      </c>
      <c r="AO34" s="30" t="n">
        <f aca="false">SUM(AI34:AN34)</f>
        <v>17500</v>
      </c>
      <c r="AP34" s="33" t="n">
        <f aca="false">SUM(AI34:AN34)+Y34</f>
        <v>35500</v>
      </c>
      <c r="AR34" s="34" t="n">
        <f aca="false">AI34+AG34</f>
        <v>0</v>
      </c>
      <c r="AS34" s="31" t="n">
        <f aca="false">AR34+AJ34</f>
        <v>0</v>
      </c>
      <c r="AT34" s="31" t="n">
        <f aca="false">AS34+AK34</f>
        <v>17500</v>
      </c>
      <c r="AU34" s="31" t="n">
        <f aca="false">AT34+AL34</f>
        <v>17500</v>
      </c>
      <c r="AV34" s="31" t="n">
        <f aca="false">AU34+AM34</f>
        <v>17500</v>
      </c>
      <c r="AW34" s="35" t="n">
        <f aca="false">AV34+AN34</f>
        <v>17500</v>
      </c>
    </row>
    <row r="35" customFormat="false" ht="15" hidden="false" customHeight="true" outlineLevel="0" collapsed="false">
      <c r="A35" s="24" t="n">
        <v>32</v>
      </c>
      <c r="B35" s="65" t="s">
        <v>87</v>
      </c>
      <c r="C35" s="58" t="s">
        <v>88</v>
      </c>
      <c r="D35" s="26" t="s">
        <v>89</v>
      </c>
      <c r="E35" s="27" t="n">
        <v>18792.66</v>
      </c>
      <c r="F35" s="27"/>
      <c r="G35" s="27"/>
      <c r="H35" s="27"/>
      <c r="I35" s="27" t="n">
        <f aca="false">40000-E35</f>
        <v>21207.34</v>
      </c>
      <c r="J35" s="27"/>
      <c r="K35" s="27"/>
      <c r="L35" s="27"/>
      <c r="M35" s="27"/>
      <c r="N35" s="27"/>
      <c r="O35" s="27"/>
      <c r="P35" s="27"/>
      <c r="Q35" s="28" t="n">
        <f aca="false">SUM(E35:P35)</f>
        <v>40000</v>
      </c>
      <c r="R35" s="31" t="n">
        <v>40000</v>
      </c>
      <c r="S35" s="29" t="n">
        <f aca="false">SUM(E35:E35)</f>
        <v>18792.66</v>
      </c>
      <c r="T35" s="5" t="n">
        <f aca="false">R35-Q35</f>
        <v>0</v>
      </c>
      <c r="U35" s="29" t="n">
        <f aca="false">SUM($E35:F35)</f>
        <v>18792.66</v>
      </c>
      <c r="V35" s="29" t="n">
        <f aca="false">SUM($E35:G35)</f>
        <v>18792.66</v>
      </c>
      <c r="W35" s="29" t="n">
        <f aca="false">SUM($E35:H35)</f>
        <v>18792.66</v>
      </c>
      <c r="X35" s="29" t="n">
        <f aca="false">SUM($E35:I35)</f>
        <v>40000</v>
      </c>
      <c r="Y35" s="29" t="n">
        <f aca="false">SUM($E35:J35)</f>
        <v>40000</v>
      </c>
      <c r="Z35" s="29" t="n">
        <f aca="false">SUM($E35:K35)</f>
        <v>40000</v>
      </c>
      <c r="AA35" s="29" t="n">
        <f aca="false">SUM($E35:L35)</f>
        <v>40000</v>
      </c>
      <c r="AB35" s="29" t="n">
        <f aca="false">SUM($E35:M35)</f>
        <v>40000</v>
      </c>
      <c r="AC35" s="29" t="n">
        <f aca="false">SUM($E35:N35)</f>
        <v>40000</v>
      </c>
      <c r="AD35" s="29" t="n">
        <f aca="false">SUM($E35:O35)</f>
        <v>40000</v>
      </c>
      <c r="AE35" s="29" t="n">
        <f aca="false">SUM($E35:P35)</f>
        <v>40000</v>
      </c>
      <c r="AG35" s="30" t="n">
        <v>18792.66</v>
      </c>
      <c r="AI35" s="31" t="n">
        <v>0</v>
      </c>
      <c r="AJ35" s="31" t="n">
        <v>20000</v>
      </c>
      <c r="AK35" s="31" t="n">
        <v>0</v>
      </c>
      <c r="AL35" s="31" t="n">
        <v>0</v>
      </c>
      <c r="AM35" s="31" t="n">
        <v>0</v>
      </c>
      <c r="AN35" s="32" t="n">
        <v>0</v>
      </c>
      <c r="AO35" s="30" t="n">
        <f aca="false">SUM(AI35:AN35)</f>
        <v>20000</v>
      </c>
      <c r="AP35" s="33" t="n">
        <f aca="false">SUM(AI35:AN35)+Y35</f>
        <v>60000</v>
      </c>
      <c r="AR35" s="34" t="n">
        <f aca="false">AI35+AG35</f>
        <v>18792.66</v>
      </c>
      <c r="AS35" s="31" t="n">
        <f aca="false">AR35+AJ35</f>
        <v>38792.66</v>
      </c>
      <c r="AT35" s="31" t="n">
        <f aca="false">AS35+AK35</f>
        <v>38792.66</v>
      </c>
      <c r="AU35" s="31" t="n">
        <f aca="false">AT35+AL35</f>
        <v>38792.66</v>
      </c>
      <c r="AV35" s="31" t="n">
        <f aca="false">AU35+AM35</f>
        <v>38792.66</v>
      </c>
      <c r="AW35" s="35" t="n">
        <f aca="false">AV35+AN35</f>
        <v>38792.66</v>
      </c>
    </row>
    <row r="36" customFormat="false" ht="15" hidden="false" customHeight="true" outlineLevel="0" collapsed="false">
      <c r="A36" s="24" t="n">
        <v>33</v>
      </c>
      <c r="B36" s="65" t="s">
        <v>90</v>
      </c>
      <c r="C36" s="58" t="s">
        <v>91</v>
      </c>
      <c r="D36" s="26" t="s">
        <v>92</v>
      </c>
      <c r="E36" s="27"/>
      <c r="F36" s="27"/>
      <c r="G36" s="27"/>
      <c r="H36" s="27"/>
      <c r="I36" s="27" t="n">
        <v>40000</v>
      </c>
      <c r="J36" s="27"/>
      <c r="K36" s="27"/>
      <c r="L36" s="27"/>
      <c r="M36" s="27"/>
      <c r="N36" s="27"/>
      <c r="O36" s="27" t="n">
        <v>40000</v>
      </c>
      <c r="P36" s="27"/>
      <c r="Q36" s="28" t="n">
        <f aca="false">SUM(E36:P36)</f>
        <v>80000</v>
      </c>
      <c r="R36" s="31" t="n">
        <v>80000</v>
      </c>
      <c r="S36" s="29" t="n">
        <f aca="false">SUM(E36:E36)</f>
        <v>0</v>
      </c>
      <c r="T36" s="5" t="n">
        <f aca="false">R36-Q36</f>
        <v>0</v>
      </c>
      <c r="U36" s="29" t="n">
        <f aca="false">SUM($E36:F36)</f>
        <v>0</v>
      </c>
      <c r="V36" s="29" t="n">
        <f aca="false">SUM($E36:G36)</f>
        <v>0</v>
      </c>
      <c r="W36" s="29" t="n">
        <f aca="false">SUM($E36:H36)</f>
        <v>0</v>
      </c>
      <c r="X36" s="29" t="n">
        <f aca="false">SUM($E36:I36)</f>
        <v>40000</v>
      </c>
      <c r="Y36" s="29" t="n">
        <f aca="false">SUM($E36:J36)</f>
        <v>40000</v>
      </c>
      <c r="Z36" s="29" t="n">
        <f aca="false">SUM($E36:K36)</f>
        <v>40000</v>
      </c>
      <c r="AA36" s="29" t="n">
        <f aca="false">SUM($E36:L36)</f>
        <v>40000</v>
      </c>
      <c r="AB36" s="29" t="n">
        <f aca="false">SUM($E36:M36)</f>
        <v>40000</v>
      </c>
      <c r="AC36" s="29" t="n">
        <f aca="false">SUM($E36:N36)</f>
        <v>40000</v>
      </c>
      <c r="AD36" s="29" t="n">
        <f aca="false">SUM($E36:O36)</f>
        <v>80000</v>
      </c>
      <c r="AE36" s="29" t="n">
        <f aca="false">SUM($E36:P36)</f>
        <v>80000</v>
      </c>
      <c r="AG36" s="30" t="n">
        <v>0</v>
      </c>
      <c r="AI36" s="31" t="n">
        <v>0</v>
      </c>
      <c r="AJ36" s="31" t="n">
        <v>0</v>
      </c>
      <c r="AK36" s="31" t="n">
        <v>0</v>
      </c>
      <c r="AL36" s="31" t="n">
        <v>0</v>
      </c>
      <c r="AM36" s="31" t="n">
        <v>0</v>
      </c>
      <c r="AN36" s="32" t="n">
        <v>25000</v>
      </c>
      <c r="AO36" s="30" t="n">
        <f aca="false">SUM(AI36:AN36)</f>
        <v>25000</v>
      </c>
      <c r="AP36" s="33" t="n">
        <f aca="false">SUM(AI36:AN36)+Y36</f>
        <v>65000</v>
      </c>
      <c r="AR36" s="34" t="n">
        <f aca="false">AI36+AG36</f>
        <v>0</v>
      </c>
      <c r="AS36" s="31" t="n">
        <f aca="false">AR36+AJ36</f>
        <v>0</v>
      </c>
      <c r="AT36" s="31" t="n">
        <f aca="false">AS36+AK36</f>
        <v>0</v>
      </c>
      <c r="AU36" s="31" t="n">
        <f aca="false">AT36+AL36</f>
        <v>0</v>
      </c>
      <c r="AV36" s="31" t="n">
        <f aca="false">AU36+AM36</f>
        <v>0</v>
      </c>
      <c r="AW36" s="35" t="n">
        <f aca="false">AV36+AN36</f>
        <v>25000</v>
      </c>
    </row>
    <row r="37" customFormat="false" ht="15" hidden="false" customHeight="true" outlineLevel="0" collapsed="false">
      <c r="A37" s="24" t="n">
        <v>34</v>
      </c>
      <c r="B37" s="65"/>
      <c r="C37" s="58" t="s">
        <v>93</v>
      </c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 t="n">
        <v>20000</v>
      </c>
      <c r="P37" s="27"/>
      <c r="Q37" s="28"/>
      <c r="R37" s="31" t="n">
        <v>20000</v>
      </c>
      <c r="S37" s="29"/>
      <c r="T37" s="5" t="n">
        <f aca="false">R37-Q37</f>
        <v>20000</v>
      </c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G37" s="30" t="n">
        <v>0</v>
      </c>
      <c r="AI37" s="31" t="n">
        <v>0</v>
      </c>
      <c r="AJ37" s="31" t="n">
        <v>0</v>
      </c>
      <c r="AK37" s="31" t="n">
        <v>0</v>
      </c>
      <c r="AL37" s="31" t="n">
        <v>0</v>
      </c>
      <c r="AM37" s="31" t="n">
        <v>0</v>
      </c>
      <c r="AN37" s="32" t="n">
        <v>0</v>
      </c>
      <c r="AO37" s="30" t="n">
        <f aca="false">SUM(AI37:AN37)</f>
        <v>0</v>
      </c>
      <c r="AP37" s="33" t="n">
        <f aca="false">SUM(AI37:AN37)+Y37</f>
        <v>0</v>
      </c>
      <c r="AR37" s="34" t="n">
        <f aca="false">AI37+AG37</f>
        <v>0</v>
      </c>
      <c r="AS37" s="31" t="n">
        <f aca="false">AR37+AJ37</f>
        <v>0</v>
      </c>
      <c r="AT37" s="31" t="n">
        <f aca="false">AS37+AK37</f>
        <v>0</v>
      </c>
      <c r="AU37" s="31" t="n">
        <f aca="false">AT37+AL37</f>
        <v>0</v>
      </c>
      <c r="AV37" s="31" t="n">
        <f aca="false">AU37+AM37</f>
        <v>0</v>
      </c>
      <c r="AW37" s="35" t="n">
        <f aca="false">AV37+AN37</f>
        <v>0</v>
      </c>
    </row>
    <row r="38" customFormat="false" ht="15" hidden="false" customHeight="true" outlineLevel="0" collapsed="false">
      <c r="A38" s="38" t="n">
        <v>35</v>
      </c>
      <c r="B38" s="65" t="s">
        <v>94</v>
      </c>
      <c r="C38" s="58" t="s">
        <v>95</v>
      </c>
      <c r="D38" s="66" t="s">
        <v>51</v>
      </c>
      <c r="E38" s="27"/>
      <c r="F38" s="27"/>
      <c r="G38" s="27"/>
      <c r="H38" s="27" t="n">
        <v>200000</v>
      </c>
      <c r="I38" s="27"/>
      <c r="J38" s="27"/>
      <c r="K38" s="27"/>
      <c r="L38" s="27" t="n">
        <v>200000</v>
      </c>
      <c r="M38" s="27"/>
      <c r="N38" s="27"/>
      <c r="O38" s="27" t="n">
        <v>200000</v>
      </c>
      <c r="P38" s="27"/>
      <c r="Q38" s="28" t="n">
        <f aca="false">SUM(E38:P38)</f>
        <v>600000</v>
      </c>
      <c r="R38" s="31" t="n">
        <v>600000</v>
      </c>
      <c r="S38" s="29" t="n">
        <f aca="false">SUM(E38:E38)</f>
        <v>0</v>
      </c>
      <c r="T38" s="5" t="n">
        <f aca="false">R38-Q38</f>
        <v>0</v>
      </c>
      <c r="U38" s="29" t="n">
        <f aca="false">SUM($E38:F38)</f>
        <v>0</v>
      </c>
      <c r="V38" s="29" t="n">
        <f aca="false">SUM($E38:G38)</f>
        <v>0</v>
      </c>
      <c r="W38" s="29" t="n">
        <f aca="false">SUM($E38:H38)</f>
        <v>200000</v>
      </c>
      <c r="X38" s="29" t="n">
        <f aca="false">SUM($E38:I38)</f>
        <v>200000</v>
      </c>
      <c r="Y38" s="29" t="n">
        <f aca="false">SUM($E38:J38)</f>
        <v>200000</v>
      </c>
      <c r="Z38" s="29" t="n">
        <f aca="false">SUM($E38:K38)</f>
        <v>200000</v>
      </c>
      <c r="AA38" s="29" t="n">
        <f aca="false">SUM($E38:L38)</f>
        <v>400000</v>
      </c>
      <c r="AB38" s="29" t="n">
        <f aca="false">SUM($E38:M38)</f>
        <v>400000</v>
      </c>
      <c r="AC38" s="29" t="n">
        <f aca="false">SUM($E38:N38)</f>
        <v>400000</v>
      </c>
      <c r="AD38" s="29" t="n">
        <f aca="false">SUM($E38:O38)</f>
        <v>600000</v>
      </c>
      <c r="AE38" s="29" t="n">
        <f aca="false">SUM($E38:P38)</f>
        <v>600000</v>
      </c>
      <c r="AG38" s="30" t="n">
        <v>0</v>
      </c>
      <c r="AI38" s="31" t="n">
        <v>0</v>
      </c>
      <c r="AJ38" s="31" t="n">
        <v>0</v>
      </c>
      <c r="AK38" s="31" t="n">
        <v>0</v>
      </c>
      <c r="AL38" s="31" t="n">
        <v>0</v>
      </c>
      <c r="AM38" s="31" t="n">
        <v>0</v>
      </c>
      <c r="AN38" s="32" t="n">
        <v>0</v>
      </c>
      <c r="AO38" s="30" t="n">
        <f aca="false">SUM(AI38:AN38)</f>
        <v>0</v>
      </c>
      <c r="AP38" s="33" t="n">
        <f aca="false">SUM(AI38:AN38)+Y38</f>
        <v>200000</v>
      </c>
      <c r="AR38" s="34" t="n">
        <f aca="false">AI38+AG38</f>
        <v>0</v>
      </c>
      <c r="AS38" s="31" t="n">
        <f aca="false">AR38+AJ38</f>
        <v>0</v>
      </c>
      <c r="AT38" s="31" t="n">
        <f aca="false">AS38+AK38</f>
        <v>0</v>
      </c>
      <c r="AU38" s="31" t="n">
        <f aca="false">AT38+AL38</f>
        <v>0</v>
      </c>
      <c r="AV38" s="31" t="n">
        <f aca="false">AU38+AM38</f>
        <v>0</v>
      </c>
      <c r="AW38" s="35" t="n">
        <f aca="false">AV38+AN38</f>
        <v>0</v>
      </c>
    </row>
    <row r="39" customFormat="false" ht="15.75" hidden="false" customHeight="true" outlineLevel="0" collapsed="false">
      <c r="A39" s="24" t="n">
        <v>36</v>
      </c>
      <c r="B39" s="65" t="s">
        <v>96</v>
      </c>
      <c r="C39" s="58" t="s">
        <v>97</v>
      </c>
      <c r="D39" s="26"/>
      <c r="E39" s="27"/>
      <c r="F39" s="27"/>
      <c r="G39" s="27"/>
      <c r="H39" s="27"/>
      <c r="I39" s="27"/>
      <c r="J39" s="27" t="n">
        <v>200000</v>
      </c>
      <c r="K39" s="27"/>
      <c r="L39" s="27"/>
      <c r="M39" s="27"/>
      <c r="N39" s="27"/>
      <c r="O39" s="27" t="n">
        <v>200000</v>
      </c>
      <c r="P39" s="27"/>
      <c r="Q39" s="28" t="n">
        <f aca="false">SUM(E39:P39)</f>
        <v>400000</v>
      </c>
      <c r="R39" s="31" t="n">
        <v>400000</v>
      </c>
      <c r="S39" s="29" t="n">
        <f aca="false">SUM(E39:E39)</f>
        <v>0</v>
      </c>
      <c r="T39" s="5" t="n">
        <f aca="false">R39-Q39</f>
        <v>0</v>
      </c>
      <c r="U39" s="29" t="n">
        <f aca="false">SUM($E39:F39)</f>
        <v>0</v>
      </c>
      <c r="V39" s="29" t="n">
        <f aca="false">SUM($E39:G39)</f>
        <v>0</v>
      </c>
      <c r="W39" s="29" t="n">
        <f aca="false">SUM($E39:H39)</f>
        <v>0</v>
      </c>
      <c r="X39" s="29" t="n">
        <f aca="false">SUM($E39:I39)</f>
        <v>0</v>
      </c>
      <c r="Y39" s="29" t="n">
        <f aca="false">SUM($E39:J39)</f>
        <v>200000</v>
      </c>
      <c r="Z39" s="29" t="n">
        <f aca="false">SUM($E39:K39)</f>
        <v>200000</v>
      </c>
      <c r="AA39" s="29" t="n">
        <f aca="false">SUM($E39:L39)</f>
        <v>200000</v>
      </c>
      <c r="AB39" s="29" t="n">
        <f aca="false">SUM($E39:M39)</f>
        <v>200000</v>
      </c>
      <c r="AC39" s="29" t="n">
        <f aca="false">SUM($E39:N39)</f>
        <v>200000</v>
      </c>
      <c r="AD39" s="29" t="n">
        <f aca="false">SUM($E39:O39)</f>
        <v>400000</v>
      </c>
      <c r="AE39" s="29" t="n">
        <f aca="false">SUM($E39:P39)</f>
        <v>400000</v>
      </c>
      <c r="AG39" s="30" t="n">
        <v>0</v>
      </c>
      <c r="AI39" s="31" t="n">
        <v>0</v>
      </c>
      <c r="AJ39" s="31" t="n">
        <v>0</v>
      </c>
      <c r="AK39" s="31" t="n">
        <v>0</v>
      </c>
      <c r="AL39" s="31" t="n">
        <v>100000</v>
      </c>
      <c r="AM39" s="31" t="n">
        <v>0</v>
      </c>
      <c r="AN39" s="32" t="n">
        <v>0</v>
      </c>
      <c r="AO39" s="30" t="n">
        <f aca="false">SUM(AI39:AN39)</f>
        <v>100000</v>
      </c>
      <c r="AP39" s="33" t="n">
        <f aca="false">SUM(AI39:AN39)+Y39</f>
        <v>300000</v>
      </c>
      <c r="AR39" s="34" t="n">
        <f aca="false">AI39+AG39</f>
        <v>0</v>
      </c>
      <c r="AS39" s="31" t="n">
        <f aca="false">AR39+AJ39</f>
        <v>0</v>
      </c>
      <c r="AT39" s="31" t="n">
        <f aca="false">AS39+AK39</f>
        <v>0</v>
      </c>
      <c r="AU39" s="31" t="n">
        <f aca="false">AT39+AL39</f>
        <v>100000</v>
      </c>
      <c r="AV39" s="31" t="n">
        <f aca="false">AU39+AM39</f>
        <v>100000</v>
      </c>
      <c r="AW39" s="35" t="n">
        <f aca="false">AV39+AN39</f>
        <v>100000</v>
      </c>
    </row>
    <row r="40" customFormat="false" ht="15" hidden="false" customHeight="true" outlineLevel="0" collapsed="false">
      <c r="A40" s="46"/>
      <c r="B40" s="46" t="s">
        <v>98</v>
      </c>
      <c r="C40" s="46"/>
      <c r="D40" s="46"/>
      <c r="E40" s="47" t="n">
        <f aca="false">SUM(E22:E39)</f>
        <v>526326.7701125</v>
      </c>
      <c r="F40" s="47" t="n">
        <f aca="false">SUM(F22:F39)</f>
        <v>624144.3243</v>
      </c>
      <c r="G40" s="47" t="n">
        <f aca="false">SUM(G22:G39)</f>
        <v>542589.520425</v>
      </c>
      <c r="H40" s="47" t="n">
        <f aca="false">SUM(H22:H39)</f>
        <v>946901.2663</v>
      </c>
      <c r="I40" s="47" t="n">
        <f aca="false">SUM(I22:I39)</f>
        <v>856658.8868</v>
      </c>
      <c r="J40" s="47" t="n">
        <f aca="false">SUM(J22:J39)</f>
        <v>758228.8293</v>
      </c>
      <c r="K40" s="47" t="n">
        <f aca="false">SUM(K22:K39)</f>
        <v>1015167.992175</v>
      </c>
      <c r="L40" s="47" t="n">
        <f aca="false">SUM(L22:L39)</f>
        <v>1146567.022175</v>
      </c>
      <c r="M40" s="47" t="n">
        <f aca="false">SUM(M22:M39)</f>
        <v>688160.54455</v>
      </c>
      <c r="N40" s="47" t="n">
        <f aca="false">SUM(N22:N39)</f>
        <v>689745.5968</v>
      </c>
      <c r="O40" s="47" t="n">
        <f aca="false">SUM(O22:O39)</f>
        <v>1412960.1577375</v>
      </c>
      <c r="P40" s="67" t="n">
        <f aca="false">SUM(P22:P39)</f>
        <v>593921.6026125</v>
      </c>
      <c r="Q40" s="48" t="n">
        <f aca="false">SUM(Q22:Q39)</f>
        <v>9781372.5132875</v>
      </c>
      <c r="R40" s="48" t="n">
        <f aca="false">SUM(R22:R39)</f>
        <v>5024793.3</v>
      </c>
      <c r="S40" s="48" t="n">
        <f aca="false">SUM(S22:S39)</f>
        <v>526326.7701125</v>
      </c>
      <c r="T40" s="5" t="n">
        <f aca="false">R40-Q40</f>
        <v>-4756579.2132875</v>
      </c>
      <c r="U40" s="48" t="n">
        <f aca="false">SUM(U22:U39)</f>
        <v>1150471.0944125</v>
      </c>
      <c r="V40" s="48" t="n">
        <f aca="false">SUM(V22:V39)</f>
        <v>1693060.6148375</v>
      </c>
      <c r="W40" s="48" t="n">
        <f aca="false">SUM(W22:W39)</f>
        <v>2639961.8811375</v>
      </c>
      <c r="X40" s="48" t="n">
        <f aca="false">SUM(X22:X39)</f>
        <v>3496620.7679375</v>
      </c>
      <c r="Y40" s="48" t="n">
        <f aca="false">SUM(Y22:Y39)</f>
        <v>4254849.5972375</v>
      </c>
      <c r="Z40" s="48" t="n">
        <f aca="false">SUM(Z22:Z39)</f>
        <v>5270017.5894125</v>
      </c>
      <c r="AA40" s="48" t="n">
        <f aca="false">SUM(AA22:AA39)</f>
        <v>6416584.6115875</v>
      </c>
      <c r="AB40" s="48" t="n">
        <f aca="false">SUM(AB22:AB39)</f>
        <v>7104745.1561375</v>
      </c>
      <c r="AC40" s="48" t="n">
        <f aca="false">SUM(AC22:AC39)</f>
        <v>7794490.7529375</v>
      </c>
      <c r="AD40" s="48" t="n">
        <f aca="false">SUM(AD22:AD39)</f>
        <v>9187450.910675</v>
      </c>
      <c r="AE40" s="48" t="n">
        <f aca="false">SUM(AE22:AE39)</f>
        <v>9781372.5132875</v>
      </c>
      <c r="AG40" s="49" t="n">
        <f aca="false">SUM(AG22:AG39)</f>
        <v>2801213.84</v>
      </c>
      <c r="AI40" s="55" t="n">
        <f aca="false">SUM(AI22:AI39)</f>
        <v>565966.8</v>
      </c>
      <c r="AJ40" s="55" t="n">
        <f aca="false">SUM(AJ22:AJ39)</f>
        <v>495012.4</v>
      </c>
      <c r="AK40" s="55" t="n">
        <f aca="false">SUM(AK22:AK39)</f>
        <v>779615.8</v>
      </c>
      <c r="AL40" s="55" t="n">
        <f aca="false">SUM(AL22:AL39)</f>
        <v>871888.6</v>
      </c>
      <c r="AM40" s="55" t="n">
        <f aca="false">SUM(AM22:AM39)</f>
        <v>771122.5</v>
      </c>
      <c r="AN40" s="52" t="n">
        <f aca="false">SUM(AN22:AN39)</f>
        <v>487561</v>
      </c>
      <c r="AO40" s="53" t="n">
        <f aca="false">SUM(AO22:AO39)</f>
        <v>3971167.1</v>
      </c>
      <c r="AP40" s="54" t="n">
        <f aca="false">SUM(AP22:AP39)</f>
        <v>8226016.6972375</v>
      </c>
      <c r="AR40" s="53" t="n">
        <f aca="false">AI40+AG40</f>
        <v>3367180.64</v>
      </c>
      <c r="AS40" s="55" t="n">
        <f aca="false">SUM(AS22:AS39)</f>
        <v>3862193.04</v>
      </c>
      <c r="AT40" s="55" t="n">
        <f aca="false">SUM(AT22:AT39)</f>
        <v>4641808.84</v>
      </c>
      <c r="AU40" s="55" t="n">
        <f aca="false">SUM(AU22:AU39)</f>
        <v>5513697.44</v>
      </c>
      <c r="AV40" s="55" t="n">
        <f aca="false">SUM(AV22:AV39)</f>
        <v>6284819.94</v>
      </c>
      <c r="AW40" s="55" t="n">
        <f aca="false">SUM(AW22:AW39)</f>
        <v>6772380.94</v>
      </c>
    </row>
    <row r="41" customFormat="false" ht="15" hidden="false" customHeight="true" outlineLevel="0" collapsed="false">
      <c r="A41" s="68"/>
      <c r="B41" s="68" t="s">
        <v>99</v>
      </c>
      <c r="C41" s="68"/>
      <c r="D41" s="68"/>
      <c r="E41" s="69" t="n">
        <f aca="false">E40+E21</f>
        <v>2378890.53460403</v>
      </c>
      <c r="F41" s="69" t="n">
        <f aca="false">F40+F21</f>
        <v>2671040.95131507</v>
      </c>
      <c r="G41" s="69" t="n">
        <f aca="false">G40+G21</f>
        <v>2775894.33953046</v>
      </c>
      <c r="H41" s="69" t="n">
        <f aca="false">H40+H21</f>
        <v>2944067.66732637</v>
      </c>
      <c r="I41" s="69" t="n">
        <f aca="false">I40+I21</f>
        <v>3153822.46296761</v>
      </c>
      <c r="J41" s="69" t="n">
        <f aca="false">J40+J21</f>
        <v>3481428.37533578</v>
      </c>
      <c r="K41" s="69" t="n">
        <f aca="false">K40+K21</f>
        <v>3827194.65685485</v>
      </c>
      <c r="L41" s="69" t="n">
        <f aca="false">L40+L21</f>
        <v>4141049.61905824</v>
      </c>
      <c r="M41" s="69" t="n">
        <f aca="false">M40+M21</f>
        <v>3373969.69510556</v>
      </c>
      <c r="N41" s="69" t="n">
        <f aca="false">N40+N21</f>
        <v>3737220.37824068</v>
      </c>
      <c r="O41" s="69" t="n">
        <f aca="false">O40+O21</f>
        <v>4914196.14445125</v>
      </c>
      <c r="P41" s="70" t="n">
        <f aca="false">P40+P21</f>
        <v>3862704.38781966</v>
      </c>
      <c r="Q41" s="71" t="n">
        <f aca="false">Q40+Q21</f>
        <v>41241479.2126095</v>
      </c>
      <c r="R41" s="71" t="n">
        <f aca="false">R40+R21</f>
        <v>5024793.3</v>
      </c>
      <c r="S41" s="71" t="n">
        <f aca="false">S40+S21</f>
        <v>2378890.53460403</v>
      </c>
      <c r="U41" s="71" t="n">
        <f aca="false">U40+U21</f>
        <v>5049931.48591909</v>
      </c>
      <c r="V41" s="71" t="n">
        <f aca="false">V40+V21</f>
        <v>7825825.82544955</v>
      </c>
      <c r="W41" s="71" t="n">
        <f aca="false">W40+W21</f>
        <v>10769893.4927759</v>
      </c>
      <c r="X41" s="71" t="n">
        <f aca="false">X40+X21</f>
        <v>13923715.9557435</v>
      </c>
      <c r="Y41" s="71" t="n">
        <f aca="false">Y40+Y21</f>
        <v>17405144.3310793</v>
      </c>
      <c r="Z41" s="71" t="n">
        <f aca="false">Z40+Z21</f>
        <v>21232338.9879342</v>
      </c>
      <c r="AA41" s="71" t="n">
        <f aca="false">AA40+AA21</f>
        <v>25373388.6069924</v>
      </c>
      <c r="AB41" s="71" t="n">
        <f aca="false">AB40+AB21</f>
        <v>28747358.302098</v>
      </c>
      <c r="AC41" s="71" t="n">
        <f aca="false">AC40+AC21</f>
        <v>32484578.6803386</v>
      </c>
      <c r="AD41" s="71" t="n">
        <f aca="false">AD40+AD21</f>
        <v>37378774.8247899</v>
      </c>
      <c r="AE41" s="71" t="n">
        <f aca="false">AE40+AE21</f>
        <v>41241479.2126095</v>
      </c>
      <c r="AG41" s="72" t="n">
        <f aca="false">AG40+AG21</f>
        <v>12671808.107</v>
      </c>
      <c r="AI41" s="73" t="n">
        <f aca="false">AI40+AI21</f>
        <v>2665966.8</v>
      </c>
      <c r="AJ41" s="74" t="n">
        <f aca="false">AJ40+AJ21</f>
        <v>2626512.4</v>
      </c>
      <c r="AK41" s="74" t="n">
        <f aca="false">AK40+AK21</f>
        <v>3406716.64745763</v>
      </c>
      <c r="AL41" s="74" t="n">
        <f aca="false">AL40+AL21</f>
        <v>3681445.37966102</v>
      </c>
      <c r="AM41" s="74" t="n">
        <f aca="false">AM40+AM21</f>
        <v>3433922.5</v>
      </c>
      <c r="AN41" s="75" t="n">
        <f aca="false">AN40+AN21</f>
        <v>3438082.18644068</v>
      </c>
      <c r="AO41" s="73" t="n">
        <f aca="false">AO40+AO21</f>
        <v>19252645.9135593</v>
      </c>
      <c r="AP41" s="74" t="n">
        <f aca="false">AP40+AP21</f>
        <v>36657790.2446386</v>
      </c>
      <c r="AR41" s="73" t="n">
        <f aca="false">AI41+AG41</f>
        <v>15337774.907</v>
      </c>
      <c r="AS41" s="74" t="n">
        <f aca="false">AS40+AS21</f>
        <v>17964287.307</v>
      </c>
      <c r="AT41" s="74" t="n">
        <f aca="false">AT40+AT21</f>
        <v>21371003.9544577</v>
      </c>
      <c r="AU41" s="74" t="n">
        <f aca="false">AU40+AU21</f>
        <v>25052449.3341187</v>
      </c>
      <c r="AV41" s="74" t="n">
        <f aca="false">AV40+AV21</f>
        <v>28486371.8341187</v>
      </c>
      <c r="AW41" s="74" t="n">
        <f aca="false">AW40+AW21</f>
        <v>31924454.0205594</v>
      </c>
    </row>
    <row r="42" customFormat="false" ht="15" hidden="false" customHeight="true" outlineLevel="0" collapsed="false">
      <c r="H42" s="4"/>
      <c r="S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G42" s="76"/>
    </row>
    <row r="43" customFormat="false" ht="14.25" hidden="false" customHeight="true" outlineLevel="0" collapsed="false">
      <c r="B43" s="77"/>
      <c r="C43" s="10"/>
      <c r="D43" s="10" t="s">
        <v>3</v>
      </c>
      <c r="E43" s="10" t="s">
        <v>4</v>
      </c>
      <c r="F43" s="10" t="s">
        <v>5</v>
      </c>
      <c r="G43" s="10" t="s">
        <v>6</v>
      </c>
      <c r="H43" s="11" t="s">
        <v>7</v>
      </c>
      <c r="I43" s="11" t="s">
        <v>8</v>
      </c>
      <c r="J43" s="10" t="s">
        <v>9</v>
      </c>
      <c r="K43" s="10" t="s">
        <v>10</v>
      </c>
      <c r="L43" s="10" t="s">
        <v>11</v>
      </c>
      <c r="M43" s="10" t="s">
        <v>12</v>
      </c>
      <c r="N43" s="11" t="s">
        <v>13</v>
      </c>
      <c r="O43" s="10" t="s">
        <v>14</v>
      </c>
      <c r="P43" s="12" t="s">
        <v>15</v>
      </c>
      <c r="Q43" s="13" t="s">
        <v>16</v>
      </c>
    </row>
    <row r="44" customFormat="false" ht="14.25" hidden="false" customHeight="true" outlineLevel="0" collapsed="false">
      <c r="B44" s="24" t="s">
        <v>31</v>
      </c>
      <c r="C44" s="24" t="s">
        <v>31</v>
      </c>
      <c r="D44" s="26" t="s">
        <v>32</v>
      </c>
      <c r="E44" s="78" t="n">
        <f aca="false">E5/$Q5</f>
        <v>0.0701058201058202</v>
      </c>
      <c r="F44" s="78" t="n">
        <f aca="false">F5/$Q5</f>
        <v>0.0667674477198285</v>
      </c>
      <c r="G44" s="78" t="n">
        <f aca="false">G5/$Q5</f>
        <v>0.0767825648778032</v>
      </c>
      <c r="H44" s="78" t="n">
        <f aca="false">H5/$Q5</f>
        <v>0.0686570924666162</v>
      </c>
      <c r="I44" s="78" t="n">
        <f aca="false">I5/$Q5</f>
        <v>0.0747039556563365</v>
      </c>
      <c r="J44" s="78" t="n">
        <f aca="false">J5/$Q5</f>
        <v>0.0932854623330813</v>
      </c>
      <c r="K44" s="78" t="n">
        <f aca="false">K5/$Q5</f>
        <v>0.0932854623330813</v>
      </c>
      <c r="L44" s="78" t="n">
        <f aca="false">L5/$Q5</f>
        <v>0.0932854623330813</v>
      </c>
      <c r="M44" s="78" t="n">
        <f aca="false">M5/$Q5</f>
        <v>0.0832703451751071</v>
      </c>
      <c r="N44" s="78" t="n">
        <f aca="false">N5/$Q5</f>
        <v>0.0899470899470901</v>
      </c>
      <c r="O44" s="78" t="n">
        <f aca="false">O5/$Q5</f>
        <v>0.0932854623330813</v>
      </c>
      <c r="P44" s="78" t="n">
        <f aca="false">P5/$Q5</f>
        <v>0.096623834719073</v>
      </c>
      <c r="Q44" s="79" t="n">
        <f aca="false">SUM(E44:P44)</f>
        <v>1</v>
      </c>
    </row>
    <row r="45" customFormat="false" ht="14.25" hidden="false" customHeight="true" outlineLevel="0" collapsed="false">
      <c r="B45" s="24" t="s">
        <v>33</v>
      </c>
      <c r="C45" s="24" t="s">
        <v>33</v>
      </c>
      <c r="D45" s="26" t="s">
        <v>32</v>
      </c>
      <c r="E45" s="78" t="n">
        <f aca="false">E6/$Q6</f>
        <v>0.0791660520234056</v>
      </c>
      <c r="F45" s="78" t="n">
        <f aca="false">F6/$Q6</f>
        <v>0.0785713114965217</v>
      </c>
      <c r="G45" s="78" t="n">
        <f aca="false">G6/$Q6</f>
        <v>0.0900914823322258</v>
      </c>
      <c r="H45" s="78" t="n">
        <f aca="false">H6/$Q6</f>
        <v>0.0701489426965161</v>
      </c>
      <c r="I45" s="78" t="n">
        <f aca="false">I6/$Q6</f>
        <v>0.0824066854454817</v>
      </c>
      <c r="J45" s="78" t="n">
        <f aca="false">J6/$Q6</f>
        <v>0.0893492274226896</v>
      </c>
      <c r="K45" s="78" t="n">
        <f aca="false">K6/$Q6</f>
        <v>0.0893492274226896</v>
      </c>
      <c r="L45" s="78" t="n">
        <f aca="false">L6/$Q6</f>
        <v>0.0893492274226896</v>
      </c>
      <c r="M45" s="78" t="n">
        <f aca="false">M6/$Q6</f>
        <v>0.0778290565869855</v>
      </c>
      <c r="N45" s="78" t="n">
        <f aca="false">N6/$Q6</f>
        <v>0.0806411958499287</v>
      </c>
      <c r="O45" s="78" t="n">
        <f aca="false">O6/$Q6</f>
        <v>0.084776281560468</v>
      </c>
      <c r="P45" s="78" t="n">
        <f aca="false">P6/$Q6</f>
        <v>0.0883213097403981</v>
      </c>
      <c r="Q45" s="79" t="n">
        <f aca="false">SUM(E45:P45)</f>
        <v>1</v>
      </c>
    </row>
    <row r="46" customFormat="false" ht="14.25" hidden="false" customHeight="true" outlineLevel="0" collapsed="false">
      <c r="B46" s="24" t="s">
        <v>34</v>
      </c>
      <c r="C46" s="24" t="s">
        <v>34</v>
      </c>
      <c r="D46" s="26" t="s">
        <v>32</v>
      </c>
      <c r="E46" s="78" t="n">
        <f aca="false">E7/$Q7</f>
        <v>0.0811111111111111</v>
      </c>
      <c r="F46" s="78" t="n">
        <f aca="false">F7/$Q7</f>
        <v>0.0815873015873016</v>
      </c>
      <c r="G46" s="78" t="n">
        <f aca="false">G7/$Q7</f>
        <v>0.0912698412698412</v>
      </c>
      <c r="H46" s="78" t="n">
        <f aca="false">H7/$Q7</f>
        <v>0.0674603174603174</v>
      </c>
      <c r="I46" s="78" t="n">
        <f aca="false">I7/$Q7</f>
        <v>0.0793650793650793</v>
      </c>
      <c r="J46" s="78" t="n">
        <f aca="false">J7/$Q7</f>
        <v>0.0873015873015873</v>
      </c>
      <c r="K46" s="78" t="n">
        <f aca="false">K7/$Q7</f>
        <v>0.0873015873015873</v>
      </c>
      <c r="L46" s="78" t="n">
        <f aca="false">L7/$Q7</f>
        <v>0.0873015873015873</v>
      </c>
      <c r="M46" s="78" t="n">
        <f aca="false">M7/$Q7</f>
        <v>0.0753968253968253</v>
      </c>
      <c r="N46" s="78" t="n">
        <f aca="false">N7/$Q7</f>
        <v>0.0833333333333333</v>
      </c>
      <c r="O46" s="78" t="n">
        <f aca="false">O7/$Q7</f>
        <v>0.0873015873015873</v>
      </c>
      <c r="P46" s="78" t="n">
        <f aca="false">P7/$Q7</f>
        <v>0.0912698412698412</v>
      </c>
      <c r="Q46" s="79" t="n">
        <f aca="false">SUM(E46:P46)</f>
        <v>1</v>
      </c>
    </row>
    <row r="47" customFormat="false" ht="14.25" hidden="false" customHeight="true" outlineLevel="0" collapsed="false">
      <c r="B47" s="24" t="s">
        <v>100</v>
      </c>
      <c r="C47" s="24" t="s">
        <v>35</v>
      </c>
      <c r="D47" s="26" t="s">
        <v>32</v>
      </c>
      <c r="E47" s="78" t="n">
        <f aca="false">E8/$Q8</f>
        <v>0.0782400273925696</v>
      </c>
      <c r="F47" s="78" t="n">
        <f aca="false">F8/$Q8</f>
        <v>0.0805308940902163</v>
      </c>
      <c r="G47" s="78" t="n">
        <f aca="false">G8/$Q8</f>
        <v>0.0890666144903431</v>
      </c>
      <c r="H47" s="78" t="n">
        <f aca="false">H8/$Q8</f>
        <v>0.0689135095914756</v>
      </c>
      <c r="I47" s="78" t="n">
        <f aca="false">I8/$Q8</f>
        <v>0.0825853368226251</v>
      </c>
      <c r="J47" s="78" t="n">
        <f aca="false">J8/$Q8</f>
        <v>0.0877622064062743</v>
      </c>
      <c r="K47" s="78" t="n">
        <f aca="false">K8/$Q8</f>
        <v>0.0877622064062743</v>
      </c>
      <c r="L47" s="78" t="n">
        <f aca="false">L8/$Q8</f>
        <v>0.0877622064062743</v>
      </c>
      <c r="M47" s="78" t="n">
        <f aca="false">M8/$Q8</f>
        <v>0.0771720432737381</v>
      </c>
      <c r="N47" s="78" t="n">
        <f aca="false">N8/$Q8</f>
        <v>0.0833761342235917</v>
      </c>
      <c r="O47" s="78" t="n">
        <f aca="false">O8/$Q8</f>
        <v>0.0877622064062743</v>
      </c>
      <c r="P47" s="78" t="n">
        <f aca="false">P8/$Q8</f>
        <v>0.0890666144903431</v>
      </c>
      <c r="Q47" s="79" t="n">
        <f aca="false">SUM(E47:P47)</f>
        <v>1</v>
      </c>
    </row>
    <row r="48" customFormat="false" ht="14.25" hidden="false" customHeight="true" outlineLevel="0" collapsed="false">
      <c r="B48" s="24" t="s">
        <v>36</v>
      </c>
      <c r="C48" s="24" t="s">
        <v>36</v>
      </c>
      <c r="D48" s="26" t="s">
        <v>32</v>
      </c>
      <c r="E48" s="78" t="n">
        <f aca="false">E9/$Q9</f>
        <v>0.0833143118009587</v>
      </c>
      <c r="F48" s="78" t="n">
        <f aca="false">F9/$Q9</f>
        <v>0.0833143118009587</v>
      </c>
      <c r="G48" s="78" t="n">
        <f aca="false">G9/$Q9</f>
        <v>0.0833143118009587</v>
      </c>
      <c r="H48" s="78" t="n">
        <f aca="false">H9/$Q9</f>
        <v>0.0833143118009587</v>
      </c>
      <c r="I48" s="78" t="n">
        <f aca="false">I9/$Q9</f>
        <v>0.0833143118009587</v>
      </c>
      <c r="J48" s="78" t="n">
        <f aca="false">J9/$Q9</f>
        <v>0.0833143118009587</v>
      </c>
      <c r="K48" s="78" t="n">
        <f aca="false">K9/$Q9</f>
        <v>0.0833143118009587</v>
      </c>
      <c r="L48" s="78" t="n">
        <f aca="false">L9/$Q9</f>
        <v>0.0833143118009587</v>
      </c>
      <c r="M48" s="78" t="n">
        <f aca="false">M9/$Q9</f>
        <v>0.0833143118009587</v>
      </c>
      <c r="N48" s="78" t="n">
        <f aca="false">N9/$Q9</f>
        <v>0.0833143118009587</v>
      </c>
      <c r="O48" s="78" t="n">
        <f aca="false">O9/$Q9</f>
        <v>0.0833143118009587</v>
      </c>
      <c r="P48" s="78" t="n">
        <f aca="false">P9/$Q9</f>
        <v>0.0835425701894545</v>
      </c>
      <c r="Q48" s="79" t="n">
        <f aca="false">SUM(E48:P48)</f>
        <v>1</v>
      </c>
    </row>
    <row r="49" customFormat="false" ht="14.25" hidden="false" customHeight="true" outlineLevel="0" collapsed="false">
      <c r="B49" s="24" t="s">
        <v>37</v>
      </c>
      <c r="C49" s="24" t="s">
        <v>37</v>
      </c>
      <c r="D49" s="26" t="s">
        <v>32</v>
      </c>
      <c r="E49" s="78" t="n">
        <f aca="false">E10/$Q10</f>
        <v>0.0683060109289619</v>
      </c>
      <c r="F49" s="78" t="n">
        <f aca="false">F10/$Q10</f>
        <v>0.0896435076762944</v>
      </c>
      <c r="G49" s="78" t="n">
        <f aca="false">G10/$Q10</f>
        <v>0.0912047879260994</v>
      </c>
      <c r="H49" s="78" t="n">
        <f aca="false">H10/$Q10</f>
        <v>0.0798855061150145</v>
      </c>
      <c r="I49" s="78" t="n">
        <f aca="false">I10/$Q10</f>
        <v>0.0814467863648193</v>
      </c>
      <c r="J49" s="78" t="n">
        <f aca="false">J10/$Q10</f>
        <v>0.0879521207390059</v>
      </c>
      <c r="K49" s="78" t="n">
        <f aca="false">K10/$Q10</f>
        <v>0.0879521207390059</v>
      </c>
      <c r="L49" s="78" t="n">
        <f aca="false">L10/$Q10</f>
        <v>0.0879521207390059</v>
      </c>
      <c r="M49" s="78" t="n">
        <f aca="false">M10/$Q10</f>
        <v>0.0781941191777259</v>
      </c>
      <c r="N49" s="78" t="n">
        <f aca="false">N10/$Q10</f>
        <v>0.0846994535519125</v>
      </c>
      <c r="O49" s="78" t="n">
        <f aca="false">O10/$Q10</f>
        <v>0.0879521207390059</v>
      </c>
      <c r="P49" s="78" t="n">
        <f aca="false">P10/$Q10</f>
        <v>0.0748113453031487</v>
      </c>
      <c r="Q49" s="79" t="n">
        <f aca="false">SUM(E49:P49)</f>
        <v>1</v>
      </c>
    </row>
    <row r="50" customFormat="false" ht="14.25" hidden="false" customHeight="true" outlineLevel="0" collapsed="false">
      <c r="B50" s="24" t="s">
        <v>38</v>
      </c>
      <c r="C50" s="24" t="s">
        <v>38</v>
      </c>
      <c r="D50" s="26" t="s">
        <v>32</v>
      </c>
      <c r="E50" s="78" t="n">
        <f aca="false">E11/$Q11</f>
        <v>0.0644685868283643</v>
      </c>
      <c r="F50" s="78" t="n">
        <f aca="false">F11/$Q11</f>
        <v>0.0783624886707251</v>
      </c>
      <c r="G50" s="78" t="n">
        <f aca="false">G11/$Q11</f>
        <v>0.0811476856196412</v>
      </c>
      <c r="H50" s="78" t="n">
        <f aca="false">H11/$Q11</f>
        <v>0.0705242346222637</v>
      </c>
      <c r="I50" s="78" t="n">
        <f aca="false">I11/$Q11</f>
        <v>0.0859420743200429</v>
      </c>
      <c r="J50" s="78" t="n">
        <f aca="false">J11/$Q11</f>
        <v>0.0894832246525022</v>
      </c>
      <c r="K50" s="78" t="n">
        <f aca="false">K11/$Q11</f>
        <v>0.0894832246525022</v>
      </c>
      <c r="L50" s="78" t="n">
        <f aca="false">L11/$Q11</f>
        <v>0.0894832246525022</v>
      </c>
      <c r="M50" s="78" t="n">
        <f aca="false">M11/$Q11</f>
        <v>0.0841714991538135</v>
      </c>
      <c r="N50" s="78" t="n">
        <f aca="false">N11/$Q11</f>
        <v>0.0877126494862723</v>
      </c>
      <c r="O50" s="78" t="n">
        <f aca="false">O11/$Q11</f>
        <v>0.0894832246525022</v>
      </c>
      <c r="P50" s="78" t="n">
        <f aca="false">P11/$Q11</f>
        <v>0.0897378826888681</v>
      </c>
      <c r="Q50" s="79" t="n">
        <f aca="false">SUM(E50:P50)</f>
        <v>1</v>
      </c>
    </row>
    <row r="51" customFormat="false" ht="14.25" hidden="false" customHeight="true" outlineLevel="0" collapsed="false">
      <c r="B51" s="36" t="s">
        <v>39</v>
      </c>
      <c r="C51" s="36" t="s">
        <v>39</v>
      </c>
      <c r="D51" s="26" t="s">
        <v>32</v>
      </c>
      <c r="E51" s="78" t="n">
        <f aca="false">E12/$Q12</f>
        <v>0.0833333333333332</v>
      </c>
      <c r="F51" s="78" t="n">
        <f aca="false">F12/$Q12</f>
        <v>0.0793650793650795</v>
      </c>
      <c r="G51" s="78" t="n">
        <f aca="false">G12/$Q12</f>
        <v>0.0912698412698411</v>
      </c>
      <c r="H51" s="78" t="n">
        <f aca="false">H12/$Q12</f>
        <v>0.0674603174603174</v>
      </c>
      <c r="I51" s="78" t="n">
        <f aca="false">I12/$Q12</f>
        <v>0.0793650793650795</v>
      </c>
      <c r="J51" s="78" t="n">
        <f aca="false">J12/$Q12</f>
        <v>0.0873015873015874</v>
      </c>
      <c r="K51" s="78" t="n">
        <f aca="false">K12/$Q12</f>
        <v>0.0873015873015874</v>
      </c>
      <c r="L51" s="78" t="n">
        <f aca="false">L12/$Q12</f>
        <v>0.0873015873015874</v>
      </c>
      <c r="M51" s="78" t="n">
        <f aca="false">M12/$Q12</f>
        <v>0.0753968253968253</v>
      </c>
      <c r="N51" s="78" t="n">
        <f aca="false">N12/$Q12</f>
        <v>0.0833333333333332</v>
      </c>
      <c r="O51" s="78" t="n">
        <f aca="false">O12/$Q12</f>
        <v>0.0873015873015874</v>
      </c>
      <c r="P51" s="78" t="n">
        <f aca="false">P12/$Q12</f>
        <v>0.0912698412698411</v>
      </c>
      <c r="Q51" s="79" t="n">
        <f aca="false">SUM(E51:P51)</f>
        <v>1</v>
      </c>
    </row>
    <row r="52" customFormat="false" ht="14.25" hidden="false" customHeight="true" outlineLevel="0" collapsed="false">
      <c r="B52" s="24" t="s">
        <v>40</v>
      </c>
      <c r="C52" s="24" t="s">
        <v>40</v>
      </c>
      <c r="D52" s="26" t="s">
        <v>32</v>
      </c>
      <c r="E52" s="78" t="n">
        <f aca="false">E13/$Q13</f>
        <v>0.0633333333333333</v>
      </c>
      <c r="F52" s="78" t="n">
        <f aca="false">F13/$Q13</f>
        <v>0.0793650793650794</v>
      </c>
      <c r="G52" s="78" t="n">
        <f aca="false">G13/$Q13</f>
        <v>0.0912698412698413</v>
      </c>
      <c r="H52" s="78" t="n">
        <f aca="false">H13/$Q13</f>
        <v>0.0674603174603175</v>
      </c>
      <c r="I52" s="78" t="n">
        <f aca="false">I13/$Q13</f>
        <v>0.0793650793650794</v>
      </c>
      <c r="J52" s="78" t="n">
        <f aca="false">J13/$Q13</f>
        <v>0.0873015873015873</v>
      </c>
      <c r="K52" s="78" t="n">
        <f aca="false">K13/$Q13</f>
        <v>0.0873015873015873</v>
      </c>
      <c r="L52" s="78" t="n">
        <f aca="false">L13/$Q13</f>
        <v>0.0873015873015873</v>
      </c>
      <c r="M52" s="78" t="n">
        <f aca="false">M13/$Q13</f>
        <v>0.0853968253968254</v>
      </c>
      <c r="N52" s="78" t="n">
        <f aca="false">N13/$Q13</f>
        <v>0.0933333333333333</v>
      </c>
      <c r="O52" s="78" t="n">
        <f aca="false">O13/$Q13</f>
        <v>0.0873015873015873</v>
      </c>
      <c r="P52" s="78" t="n">
        <f aca="false">P13/$Q13</f>
        <v>0.0912698412698413</v>
      </c>
      <c r="Q52" s="79" t="n">
        <f aca="false">SUM(E52:P52)</f>
        <v>1</v>
      </c>
    </row>
    <row r="53" customFormat="false" ht="14.25" hidden="true" customHeight="true" outlineLevel="0" collapsed="false">
      <c r="B53" s="24" t="s">
        <v>42</v>
      </c>
      <c r="C53" s="24" t="s">
        <v>42</v>
      </c>
      <c r="D53" s="26" t="s">
        <v>32</v>
      </c>
      <c r="E53" s="78" t="str">
        <f aca="false">IFERROR(E15/$Q15,"-")</f>
        <v>-</v>
      </c>
      <c r="F53" s="78" t="str">
        <f aca="false">IFERROR(F15/$Q15,"-")</f>
        <v>-</v>
      </c>
      <c r="G53" s="78" t="str">
        <f aca="false">IFERROR(G15/$Q15,"-")</f>
        <v>-</v>
      </c>
      <c r="H53" s="78" t="str">
        <f aca="false">IFERROR(H15/$Q15,"-")</f>
        <v>-</v>
      </c>
      <c r="I53" s="78" t="str">
        <f aca="false">IFERROR(I15/$Q15,"-")</f>
        <v>-</v>
      </c>
      <c r="J53" s="78" t="str">
        <f aca="false">IFERROR(J15/$Q15,"-")</f>
        <v>-</v>
      </c>
      <c r="K53" s="78" t="str">
        <f aca="false">IFERROR(K15/$Q15,"-")</f>
        <v>-</v>
      </c>
      <c r="L53" s="78" t="str">
        <f aca="false">IFERROR(L15/$Q15,"-")</f>
        <v>-</v>
      </c>
      <c r="M53" s="78" t="str">
        <f aca="false">IFERROR(M15/$Q15,"-")</f>
        <v>-</v>
      </c>
      <c r="N53" s="78" t="str">
        <f aca="false">IFERROR(N15/$Q15,"-")</f>
        <v>-</v>
      </c>
      <c r="O53" s="78" t="str">
        <f aca="false">IFERROR(O15/$Q15,"-")</f>
        <v>-</v>
      </c>
      <c r="P53" s="78" t="str">
        <f aca="false">IFERROR(P15/$Q15,"-")</f>
        <v>-</v>
      </c>
      <c r="Q53" s="79" t="n">
        <f aca="false">IFERROR(SUM(E53:P53),"-")</f>
        <v>0</v>
      </c>
    </row>
    <row r="54" customFormat="false" ht="14.25" hidden="false" customHeight="true" outlineLevel="0" collapsed="false">
      <c r="B54" s="24" t="s">
        <v>44</v>
      </c>
      <c r="C54" s="24" t="s">
        <v>44</v>
      </c>
      <c r="D54" s="26" t="s">
        <v>32</v>
      </c>
      <c r="E54" s="78" t="n">
        <f aca="false">E17/$Q17</f>
        <v>0.0833333333333333</v>
      </c>
      <c r="F54" s="78" t="n">
        <f aca="false">F17/$Q17</f>
        <v>0.0793650793650793</v>
      </c>
      <c r="G54" s="78" t="n">
        <f aca="false">G17/$Q17</f>
        <v>0.0912698412698413</v>
      </c>
      <c r="H54" s="78" t="n">
        <f aca="false">H17/$Q17</f>
        <v>0.0674603174603174</v>
      </c>
      <c r="I54" s="78" t="n">
        <f aca="false">I17/$Q17</f>
        <v>0.0793650793650793</v>
      </c>
      <c r="J54" s="78" t="n">
        <f aca="false">J17/$Q17</f>
        <v>0.0873015873015873</v>
      </c>
      <c r="K54" s="78" t="n">
        <f aca="false">K17/$Q17</f>
        <v>0.0873015873015873</v>
      </c>
      <c r="L54" s="78" t="n">
        <f aca="false">L17/$Q17</f>
        <v>0.0873015873015873</v>
      </c>
      <c r="M54" s="78" t="n">
        <f aca="false">M17/$Q17</f>
        <v>0.0753968253968253</v>
      </c>
      <c r="N54" s="78" t="n">
        <f aca="false">N17/$Q17</f>
        <v>0.0833333333333333</v>
      </c>
      <c r="O54" s="78" t="n">
        <f aca="false">O17/$Q17</f>
        <v>0.0873015873015873</v>
      </c>
      <c r="P54" s="78" t="n">
        <f aca="false">P17/$Q17</f>
        <v>0.0912698412698413</v>
      </c>
      <c r="Q54" s="79" t="n">
        <f aca="false">SUM(E54:P54)</f>
        <v>1</v>
      </c>
    </row>
    <row r="55" customFormat="false" ht="14.25" hidden="false" customHeight="true" outlineLevel="0" collapsed="false">
      <c r="B55" s="24" t="s">
        <v>45</v>
      </c>
      <c r="C55" s="24" t="s">
        <v>45</v>
      </c>
      <c r="D55" s="26" t="s">
        <v>32</v>
      </c>
      <c r="E55" s="78" t="n">
        <f aca="false">E18/$Q18</f>
        <v>0.0274927629229143</v>
      </c>
      <c r="F55" s="78" t="n">
        <f aca="false">F18/$Q18</f>
        <v>0.0412391443843716</v>
      </c>
      <c r="G55" s="78" t="n">
        <f aca="false">G18/$Q18</f>
        <v>0.0453630588228087</v>
      </c>
      <c r="H55" s="78" t="n">
        <f aca="false">H18/$Q18</f>
        <v>0.0420442895842569</v>
      </c>
      <c r="I55" s="78" t="n">
        <f aca="false">I18/$Q18</f>
        <v>0.0548893011755986</v>
      </c>
      <c r="J55" s="78" t="n">
        <f aca="false">J18/$Q18</f>
        <v>0.0823339910387734</v>
      </c>
      <c r="K55" s="78" t="n">
        <f aca="false">K18/$Q18</f>
        <v>0.0905673665774254</v>
      </c>
      <c r="L55" s="78" t="n">
        <f aca="false">L18/$Q18</f>
        <v>0.107479186211076</v>
      </c>
      <c r="M55" s="78" t="n">
        <f aca="false">M18/$Q18</f>
        <v>0.0938763169720762</v>
      </c>
      <c r="N55" s="78" t="n">
        <f aca="false">N18/$Q18</f>
        <v>0.120545161065567</v>
      </c>
      <c r="O55" s="78" t="n">
        <f aca="false">O18/$Q18</f>
        <v>0.156164863259246</v>
      </c>
      <c r="P55" s="78" t="n">
        <f aca="false">P18/$Q18</f>
        <v>0.13800455798589</v>
      </c>
      <c r="Q55" s="79" t="n">
        <f aca="false">SUM(E55:P55)</f>
        <v>1</v>
      </c>
    </row>
    <row r="56" customFormat="false" ht="14.25" hidden="false" customHeight="true" outlineLevel="0" collapsed="false">
      <c r="B56" s="38" t="s">
        <v>46</v>
      </c>
      <c r="C56" s="38" t="s">
        <v>46</v>
      </c>
      <c r="D56" s="26" t="s">
        <v>32</v>
      </c>
      <c r="E56" s="78" t="n">
        <f aca="false">E19/$Q19</f>
        <v>0.0833333333333332</v>
      </c>
      <c r="F56" s="78" t="n">
        <f aca="false">F19/$Q19</f>
        <v>0.0833333333333332</v>
      </c>
      <c r="G56" s="78" t="n">
        <f aca="false">G19/$Q19</f>
        <v>0.0833333333333332</v>
      </c>
      <c r="H56" s="78" t="n">
        <f aca="false">H19/$Q19</f>
        <v>0.0833333333333332</v>
      </c>
      <c r="I56" s="78" t="n">
        <f aca="false">I19/$Q19</f>
        <v>0.0833333333333332</v>
      </c>
      <c r="J56" s="78" t="n">
        <f aca="false">J19/$Q19</f>
        <v>0.0833333333333332</v>
      </c>
      <c r="K56" s="78" t="n">
        <f aca="false">K19/$Q19</f>
        <v>0.0833333333333332</v>
      </c>
      <c r="L56" s="78" t="n">
        <f aca="false">L19/$Q19</f>
        <v>0.0833333333333332</v>
      </c>
      <c r="M56" s="78" t="n">
        <f aca="false">M19/$Q19</f>
        <v>0.0833333333333332</v>
      </c>
      <c r="N56" s="78" t="n">
        <f aca="false">N19/$Q19</f>
        <v>0.0833333333333332</v>
      </c>
      <c r="O56" s="78" t="n">
        <f aca="false">O19/$Q19</f>
        <v>0.0833333333333332</v>
      </c>
      <c r="P56" s="78" t="n">
        <f aca="false">P19/$Q19</f>
        <v>0.0833333333333332</v>
      </c>
      <c r="Q56" s="79" t="n">
        <f aca="false">SUM(E56:P56)</f>
        <v>0.999999999999999</v>
      </c>
    </row>
    <row r="57" customFormat="false" ht="14.25" hidden="false" customHeight="true" outlineLevel="0" collapsed="false">
      <c r="B57" s="80"/>
      <c r="C57" s="38"/>
      <c r="D57" s="26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8"/>
    </row>
    <row r="58" customFormat="false" ht="14.25" hidden="false" customHeight="true" outlineLevel="0" collapsed="false">
      <c r="B58" s="81" t="s">
        <v>48</v>
      </c>
      <c r="C58" s="81"/>
      <c r="D58" s="81"/>
      <c r="E58" s="82" t="n">
        <f aca="false">E21/$Q$21</f>
        <v>0.0588861246465973</v>
      </c>
      <c r="F58" s="82" t="n">
        <f aca="false">F21/$Q$21</f>
        <v>0.0650632449081674</v>
      </c>
      <c r="G58" s="82" t="n">
        <f aca="false">G21/$Q$21</f>
        <v>0.0709884693160812</v>
      </c>
      <c r="H58" s="82" t="n">
        <f aca="false">H21/$Q$21</f>
        <v>0.0634825056416419</v>
      </c>
      <c r="I58" s="82" t="n">
        <f aca="false">I21/$Q$21</f>
        <v>0.0730183021349103</v>
      </c>
      <c r="J58" s="82" t="n">
        <f aca="false">J21/$Q$21</f>
        <v>0.0865604040082442</v>
      </c>
      <c r="K58" s="82" t="n">
        <f aca="false">K21/$Q$21</f>
        <v>0.0893838883496365</v>
      </c>
      <c r="L58" s="82" t="n">
        <f aca="false">L21/$Q$21</f>
        <v>0.0951834850880457</v>
      </c>
      <c r="M58" s="82" t="n">
        <f aca="false">M21/$Q$21</f>
        <v>0.0853719021434037</v>
      </c>
      <c r="N58" s="82" t="n">
        <f aca="false">N21/$Q$21</f>
        <v>0.0968679099078312</v>
      </c>
      <c r="O58" s="82" t="n">
        <f aca="false">O21/$Q$21</f>
        <v>0.111291294087989</v>
      </c>
      <c r="P58" s="82" t="n">
        <f aca="false">P21/$Q$21</f>
        <v>0.103902469767453</v>
      </c>
      <c r="Q58" s="82" t="n">
        <f aca="false">SUM(E58:P58)</f>
        <v>1</v>
      </c>
    </row>
    <row r="59" s="5" customFormat="true" ht="14.25" hidden="false" customHeight="true" outlineLevel="0" collapsed="false">
      <c r="B59" s="83" t="s">
        <v>49</v>
      </c>
      <c r="C59" s="57" t="s">
        <v>50</v>
      </c>
      <c r="D59" s="59" t="s">
        <v>51</v>
      </c>
      <c r="E59" s="78" t="n">
        <f aca="false">E22/$Q22</f>
        <v>0.0570021117570476</v>
      </c>
      <c r="F59" s="78" t="n">
        <f aca="false">F22/$Q22</f>
        <v>0.0653835938232768</v>
      </c>
      <c r="G59" s="78" t="n">
        <f aca="false">G22/$Q22</f>
        <v>0.0696784078748597</v>
      </c>
      <c r="H59" s="78" t="n">
        <f aca="false">H22/$Q22</f>
        <v>0.0768617378977106</v>
      </c>
      <c r="I59" s="78" t="n">
        <f aca="false">I22/$Q22</f>
        <v>0.0834250708146909</v>
      </c>
      <c r="J59" s="78" t="n">
        <f aca="false">J22/$Q22</f>
        <v>0.0897009599568587</v>
      </c>
      <c r="K59" s="78" t="n">
        <f aca="false">K22/$Q22</f>
        <v>0.0965571556678041</v>
      </c>
      <c r="L59" s="78" t="n">
        <f aca="false">L22/$Q22</f>
        <v>0.100867568722248</v>
      </c>
      <c r="M59" s="78" t="n">
        <f aca="false">M22/$Q22</f>
        <v>0.0999450513098732</v>
      </c>
      <c r="N59" s="78" t="n">
        <f aca="false">N22/$Q22</f>
        <v>0.0929442364428523</v>
      </c>
      <c r="O59" s="78" t="n">
        <f aca="false">O22/$Q22</f>
        <v>0.0834406909754757</v>
      </c>
      <c r="P59" s="78" t="n">
        <f aca="false">P22/$Q22</f>
        <v>0.084193414757302</v>
      </c>
      <c r="Q59" s="79" t="n">
        <f aca="false">SUM(E59:P59)</f>
        <v>1</v>
      </c>
    </row>
    <row r="60" customFormat="false" ht="14.25" hidden="false" customHeight="true" outlineLevel="0" collapsed="false">
      <c r="B60" s="84" t="s">
        <v>52</v>
      </c>
      <c r="C60" s="65" t="s">
        <v>53</v>
      </c>
      <c r="D60" s="26" t="s">
        <v>54</v>
      </c>
      <c r="E60" s="78" t="n">
        <f aca="false">E23/$Q23</f>
        <v>0</v>
      </c>
      <c r="F60" s="78" t="n">
        <f aca="false">F23/$Q23</f>
        <v>0.24</v>
      </c>
      <c r="G60" s="78" t="n">
        <f aca="false">G23/$Q23</f>
        <v>0</v>
      </c>
      <c r="H60" s="78" t="n">
        <f aca="false">H23/$Q23</f>
        <v>0</v>
      </c>
      <c r="I60" s="78" t="n">
        <f aca="false">I23/$Q23</f>
        <v>0.24</v>
      </c>
      <c r="J60" s="78" t="n">
        <f aca="false">J23/$Q23</f>
        <v>0</v>
      </c>
      <c r="K60" s="78" t="n">
        <f aca="false">K23/$Q23</f>
        <v>0.21</v>
      </c>
      <c r="L60" s="78" t="n">
        <f aca="false">L23/$Q23</f>
        <v>0</v>
      </c>
      <c r="M60" s="78" t="n">
        <f aca="false">M23/$Q23</f>
        <v>0</v>
      </c>
      <c r="N60" s="78" t="n">
        <f aca="false">N23/$Q23</f>
        <v>0.16</v>
      </c>
      <c r="O60" s="78" t="n">
        <f aca="false">O23/$Q23</f>
        <v>0</v>
      </c>
      <c r="P60" s="78" t="n">
        <f aca="false">P23/$Q23</f>
        <v>0.15</v>
      </c>
      <c r="Q60" s="79" t="n">
        <f aca="false">SUM(E60:P60)</f>
        <v>1</v>
      </c>
    </row>
    <row r="61" customFormat="false" ht="14.25" hidden="false" customHeight="true" outlineLevel="0" collapsed="false">
      <c r="B61" s="84" t="s">
        <v>55</v>
      </c>
      <c r="C61" s="65" t="s">
        <v>56</v>
      </c>
      <c r="D61" s="26" t="s">
        <v>57</v>
      </c>
      <c r="E61" s="78" t="n">
        <f aca="false">E24/$Q24</f>
        <v>0.192146643262164</v>
      </c>
      <c r="F61" s="78" t="n">
        <f aca="false">F24/$Q24</f>
        <v>0.0180229155904812</v>
      </c>
      <c r="G61" s="78" t="n">
        <f aca="false">G24/$Q24</f>
        <v>0.0230769134911282</v>
      </c>
      <c r="H61" s="78" t="n">
        <f aca="false">H24/$Q24</f>
        <v>0.153846089940855</v>
      </c>
      <c r="I61" s="78" t="n">
        <f aca="false">I24/$Q24</f>
        <v>0.0230769134911282</v>
      </c>
      <c r="J61" s="78" t="n">
        <f aca="false">J24/$Q24</f>
        <v>0.0538461314792992</v>
      </c>
      <c r="K61" s="78" t="n">
        <f aca="false">K24/$Q24</f>
        <v>0.0205999914430805</v>
      </c>
      <c r="L61" s="78" t="n">
        <f aca="false">L24/$Q24</f>
        <v>0.184615307929026</v>
      </c>
      <c r="M61" s="78" t="n">
        <f aca="false">M24/$Q24</f>
        <v>0.0230769134911282</v>
      </c>
      <c r="N61" s="78" t="n">
        <f aca="false">N24/$Q24</f>
        <v>0</v>
      </c>
      <c r="O61" s="78" t="n">
        <f aca="false">O24/$Q24</f>
        <v>0.30769217988171</v>
      </c>
      <c r="P61" s="78" t="n">
        <f aca="false">P24/$Q24</f>
        <v>0</v>
      </c>
      <c r="Q61" s="79" t="n">
        <f aca="false">SUM(E61:P61)</f>
        <v>1</v>
      </c>
    </row>
    <row r="62" customFormat="false" ht="14.25" hidden="false" customHeight="true" outlineLevel="0" collapsed="false">
      <c r="B62" s="84" t="s">
        <v>58</v>
      </c>
      <c r="C62" s="65" t="s">
        <v>59</v>
      </c>
      <c r="D62" s="26" t="s">
        <v>60</v>
      </c>
      <c r="E62" s="78" t="n">
        <f aca="false">E25/$Q25</f>
        <v>0.134317948059077</v>
      </c>
      <c r="F62" s="78" t="n">
        <f aca="false">F25/$Q25</f>
        <v>0</v>
      </c>
      <c r="G62" s="78" t="n">
        <f aca="false">G25/$Q25</f>
        <v>0.190000011400001</v>
      </c>
      <c r="H62" s="78" t="n">
        <f aca="false">H25/$Q25</f>
        <v>0</v>
      </c>
      <c r="I62" s="78" t="n">
        <f aca="false">I25/$Q25</f>
        <v>0.170000010200001</v>
      </c>
      <c r="J62" s="78" t="n">
        <f aca="false">J25/$Q25</f>
        <v>0</v>
      </c>
      <c r="K62" s="78" t="n">
        <f aca="false">K25/$Q25</f>
        <v>0.170000010200001</v>
      </c>
      <c r="L62" s="78" t="n">
        <f aca="false">L25/$Q25</f>
        <v>0</v>
      </c>
      <c r="M62" s="78" t="n">
        <f aca="false">M25/$Q25</f>
        <v>0.170000010200001</v>
      </c>
      <c r="N62" s="78" t="n">
        <f aca="false">N25/$Q25</f>
        <v>0</v>
      </c>
      <c r="O62" s="78" t="n">
        <f aca="false">O25/$Q25</f>
        <v>0.165682009940921</v>
      </c>
      <c r="P62" s="78" t="n">
        <f aca="false">P25/$Q25</f>
        <v>0</v>
      </c>
      <c r="Q62" s="79" t="n">
        <f aca="false">SUM(E62:P62)</f>
        <v>1</v>
      </c>
    </row>
    <row r="63" customFormat="false" ht="14.25" hidden="false" customHeight="true" outlineLevel="0" collapsed="false">
      <c r="B63" s="84" t="s">
        <v>61</v>
      </c>
      <c r="C63" s="65" t="s">
        <v>62</v>
      </c>
      <c r="D63" s="26" t="s">
        <v>63</v>
      </c>
      <c r="E63" s="78" t="n">
        <f aca="false">E26/$Q26</f>
        <v>0.112678064387465</v>
      </c>
      <c r="F63" s="78" t="n">
        <f aca="false">F26/$Q26</f>
        <v>0</v>
      </c>
      <c r="G63" s="78" t="n">
        <f aca="false">G26/$Q26</f>
        <v>0.121428640816366</v>
      </c>
      <c r="H63" s="78" t="n">
        <f aca="false">H26/$Q26</f>
        <v>0.0714286122449213</v>
      </c>
      <c r="I63" s="78" t="n">
        <f aca="false">I26/$Q26</f>
        <v>0.121428640816366</v>
      </c>
      <c r="J63" s="78" t="n">
        <f aca="false">J26/$Q26</f>
        <v>0.0714286122449213</v>
      </c>
      <c r="K63" s="78" t="n">
        <f aca="false">K26/$Q26</f>
        <v>0.121428640816366</v>
      </c>
      <c r="L63" s="78" t="n">
        <f aca="false">L26/$Q26</f>
        <v>0.0714286122449213</v>
      </c>
      <c r="M63" s="78" t="n">
        <f aca="false">M26/$Q26</f>
        <v>0.121428640816366</v>
      </c>
      <c r="N63" s="78" t="n">
        <f aca="false">N26/$Q26</f>
        <v>0.0658928947959399</v>
      </c>
      <c r="O63" s="78" t="n">
        <f aca="false">O26/$Q26</f>
        <v>0.121428640816366</v>
      </c>
      <c r="P63" s="78" t="n">
        <f aca="false">P26/$Q26</f>
        <v>0</v>
      </c>
      <c r="Q63" s="79" t="n">
        <f aca="false">SUM(E63:P63)</f>
        <v>1</v>
      </c>
    </row>
    <row r="64" customFormat="false" ht="14.25" hidden="false" customHeight="true" outlineLevel="0" collapsed="false">
      <c r="B64" s="84" t="s">
        <v>64</v>
      </c>
      <c r="C64" s="65" t="s">
        <v>65</v>
      </c>
      <c r="D64" s="26" t="s">
        <v>66</v>
      </c>
      <c r="E64" s="78" t="n">
        <f aca="false">E27/$Q27</f>
        <v>0</v>
      </c>
      <c r="F64" s="78" t="n">
        <f aca="false">F27/$Q27</f>
        <v>0</v>
      </c>
      <c r="G64" s="78" t="n">
        <f aca="false">G27/$Q27</f>
        <v>0.1</v>
      </c>
      <c r="H64" s="78" t="n">
        <f aca="false">H27/$Q27</f>
        <v>0.1</v>
      </c>
      <c r="I64" s="78" t="n">
        <f aca="false">I27/$Q27</f>
        <v>0.1</v>
      </c>
      <c r="J64" s="78" t="n">
        <f aca="false">J27/$Q27</f>
        <v>0.1</v>
      </c>
      <c r="K64" s="78" t="n">
        <f aca="false">K27/$Q27</f>
        <v>0.1</v>
      </c>
      <c r="L64" s="78" t="n">
        <f aca="false">L27/$Q27</f>
        <v>0.1</v>
      </c>
      <c r="M64" s="78" t="n">
        <f aca="false">M27/$Q27</f>
        <v>0.1</v>
      </c>
      <c r="N64" s="78" t="n">
        <f aca="false">N27/$Q27</f>
        <v>0.1</v>
      </c>
      <c r="O64" s="78" t="n">
        <f aca="false">O27/$Q27</f>
        <v>0.1</v>
      </c>
      <c r="P64" s="78" t="n">
        <f aca="false">P27/$Q27</f>
        <v>0.1</v>
      </c>
      <c r="Q64" s="79" t="n">
        <f aca="false">SUM(E64:P64)</f>
        <v>1</v>
      </c>
    </row>
    <row r="65" customFormat="false" ht="14.25" hidden="false" customHeight="true" outlineLevel="0" collapsed="false">
      <c r="B65" s="84" t="s">
        <v>67</v>
      </c>
      <c r="C65" s="65" t="s">
        <v>68</v>
      </c>
      <c r="D65" s="26" t="s">
        <v>69</v>
      </c>
      <c r="E65" s="78" t="n">
        <f aca="false">E28/$Q28</f>
        <v>0</v>
      </c>
      <c r="F65" s="78" t="n">
        <f aca="false">F28/$Q28</f>
        <v>0</v>
      </c>
      <c r="G65" s="78" t="n">
        <f aca="false">G28/$Q28</f>
        <v>0</v>
      </c>
      <c r="H65" s="78" t="n">
        <f aca="false">H28/$Q28</f>
        <v>0.333333333333333</v>
      </c>
      <c r="I65" s="78" t="n">
        <f aca="false">I28/$Q28</f>
        <v>0</v>
      </c>
      <c r="J65" s="78" t="n">
        <f aca="false">J28/$Q28</f>
        <v>0</v>
      </c>
      <c r="K65" s="78" t="n">
        <f aca="false">K28/$Q28</f>
        <v>0.333333333333333</v>
      </c>
      <c r="L65" s="78" t="n">
        <f aca="false">L28/$Q28</f>
        <v>0</v>
      </c>
      <c r="M65" s="78" t="n">
        <f aca="false">M28/$Q28</f>
        <v>0</v>
      </c>
      <c r="N65" s="78" t="n">
        <f aca="false">N28/$Q28</f>
        <v>0</v>
      </c>
      <c r="O65" s="78" t="n">
        <f aca="false">O28/$Q28</f>
        <v>0.333333333333333</v>
      </c>
      <c r="P65" s="78" t="n">
        <f aca="false">P28/$Q28</f>
        <v>0</v>
      </c>
      <c r="Q65" s="79" t="n">
        <f aca="false">SUM(E65:P65)</f>
        <v>1</v>
      </c>
    </row>
    <row r="66" customFormat="false" ht="14.25" hidden="false" customHeight="true" outlineLevel="0" collapsed="false">
      <c r="B66" s="84" t="s">
        <v>70</v>
      </c>
      <c r="C66" s="65" t="s">
        <v>71</v>
      </c>
      <c r="D66" s="26" t="s">
        <v>72</v>
      </c>
      <c r="E66" s="78" t="n">
        <f aca="false">E29/$Q29</f>
        <v>0</v>
      </c>
      <c r="F66" s="78" t="n">
        <f aca="false">F29/$Q29</f>
        <v>0.2</v>
      </c>
      <c r="G66" s="78" t="n">
        <f aca="false">G29/$Q29</f>
        <v>0</v>
      </c>
      <c r="H66" s="78" t="n">
        <f aca="false">H29/$Q29</f>
        <v>0.2</v>
      </c>
      <c r="I66" s="78" t="n">
        <f aca="false">I29/$Q29</f>
        <v>0</v>
      </c>
      <c r="J66" s="78" t="n">
        <f aca="false">J29/$Q29</f>
        <v>0.2</v>
      </c>
      <c r="K66" s="78" t="n">
        <f aca="false">K29/$Q29</f>
        <v>0</v>
      </c>
      <c r="L66" s="78" t="n">
        <f aca="false">L29/$Q29</f>
        <v>0.2</v>
      </c>
      <c r="M66" s="78" t="n">
        <f aca="false">M29/$Q29</f>
        <v>0</v>
      </c>
      <c r="N66" s="78" t="n">
        <f aca="false">N29/$Q29</f>
        <v>0</v>
      </c>
      <c r="O66" s="78" t="n">
        <f aca="false">O29/$Q29</f>
        <v>0.2</v>
      </c>
      <c r="P66" s="78" t="n">
        <f aca="false">P29/$Q29</f>
        <v>0</v>
      </c>
      <c r="Q66" s="79" t="n">
        <f aca="false">SUM(E66:P66)</f>
        <v>1</v>
      </c>
    </row>
    <row r="67" customFormat="false" ht="14.25" hidden="false" customHeight="true" outlineLevel="0" collapsed="false">
      <c r="B67" s="84" t="s">
        <v>73</v>
      </c>
      <c r="C67" s="65" t="s">
        <v>74</v>
      </c>
      <c r="D67" s="26" t="s">
        <v>75</v>
      </c>
      <c r="E67" s="78" t="n">
        <f aca="false">E30/$Q30</f>
        <v>0</v>
      </c>
      <c r="F67" s="78" t="n">
        <f aca="false">F30/$Q30</f>
        <v>0</v>
      </c>
      <c r="G67" s="78" t="n">
        <f aca="false">G30/$Q30</f>
        <v>0</v>
      </c>
      <c r="H67" s="78" t="n">
        <f aca="false">H30/$Q30</f>
        <v>0</v>
      </c>
      <c r="I67" s="78" t="n">
        <f aca="false">I30/$Q30</f>
        <v>0</v>
      </c>
      <c r="J67" s="78" t="n">
        <f aca="false">J30/$Q30</f>
        <v>0</v>
      </c>
      <c r="K67" s="78" t="n">
        <f aca="false">K30/$Q30</f>
        <v>0</v>
      </c>
      <c r="L67" s="78" t="n">
        <f aca="false">L30/$Q30</f>
        <v>1</v>
      </c>
      <c r="M67" s="78" t="n">
        <f aca="false">M30/$Q30</f>
        <v>0</v>
      </c>
      <c r="N67" s="78" t="n">
        <f aca="false">N30/$Q30</f>
        <v>0</v>
      </c>
      <c r="O67" s="78" t="n">
        <f aca="false">O30/$Q30</f>
        <v>0</v>
      </c>
      <c r="P67" s="78" t="n">
        <f aca="false">P30/$Q30</f>
        <v>0</v>
      </c>
      <c r="Q67" s="79" t="n">
        <f aca="false">SUM(E67:P67)</f>
        <v>1</v>
      </c>
    </row>
    <row r="68" customFormat="false" ht="14.25" hidden="false" customHeight="true" outlineLevel="0" collapsed="false">
      <c r="B68" s="84" t="s">
        <v>76</v>
      </c>
      <c r="C68" s="65" t="s">
        <v>77</v>
      </c>
      <c r="D68" s="26" t="s">
        <v>78</v>
      </c>
      <c r="E68" s="78" t="n">
        <f aca="false">E31/$Q31</f>
        <v>0.0609549777777778</v>
      </c>
      <c r="F68" s="78" t="n">
        <f aca="false">F31/$Q31</f>
        <v>0.0553766666666667</v>
      </c>
      <c r="G68" s="78" t="n">
        <f aca="false">G31/$Q31</f>
        <v>0.0883668355555556</v>
      </c>
      <c r="H68" s="78" t="n">
        <f aca="false">H31/$Q31</f>
        <v>0.0883668355555556</v>
      </c>
      <c r="I68" s="78" t="n">
        <f aca="false">I31/$Q31</f>
        <v>0.0883668355555556</v>
      </c>
      <c r="J68" s="78" t="n">
        <f aca="false">J31/$Q31</f>
        <v>0.0883668355555556</v>
      </c>
      <c r="K68" s="78" t="n">
        <f aca="false">K31/$Q31</f>
        <v>0.0883668355555556</v>
      </c>
      <c r="L68" s="78" t="n">
        <f aca="false">L31/$Q31</f>
        <v>0.0883668355555556</v>
      </c>
      <c r="M68" s="78" t="n">
        <f aca="false">M31/$Q31</f>
        <v>0.0883668355555556</v>
      </c>
      <c r="N68" s="78" t="n">
        <f aca="false">N31/$Q31</f>
        <v>0.0883668355555556</v>
      </c>
      <c r="O68" s="78" t="n">
        <f aca="false">O31/$Q31</f>
        <v>0.0883668355555556</v>
      </c>
      <c r="P68" s="78" t="n">
        <f aca="false">P31/$Q31</f>
        <v>0.0883668355555556</v>
      </c>
      <c r="Q68" s="79" t="n">
        <f aca="false">SUM(E68:P68)</f>
        <v>1</v>
      </c>
    </row>
    <row r="69" customFormat="false" ht="14.25" hidden="false" customHeight="true" outlineLevel="0" collapsed="false">
      <c r="B69" s="84" t="s">
        <v>79</v>
      </c>
      <c r="C69" s="65" t="s">
        <v>80</v>
      </c>
      <c r="D69" s="26" t="s">
        <v>81</v>
      </c>
      <c r="E69" s="78" t="n">
        <f aca="false">E32/$Q32</f>
        <v>0</v>
      </c>
      <c r="F69" s="78" t="n">
        <f aca="false">F32/$Q32</f>
        <v>0</v>
      </c>
      <c r="G69" s="78" t="n">
        <f aca="false">G32/$Q32</f>
        <v>0</v>
      </c>
      <c r="H69" s="78" t="n">
        <f aca="false">H32/$Q32</f>
        <v>0.5</v>
      </c>
      <c r="I69" s="78" t="n">
        <f aca="false">I32/$Q32</f>
        <v>0</v>
      </c>
      <c r="J69" s="78" t="n">
        <f aca="false">J32/$Q32</f>
        <v>0</v>
      </c>
      <c r="K69" s="78" t="n">
        <f aca="false">K32/$Q32</f>
        <v>0</v>
      </c>
      <c r="L69" s="78" t="n">
        <f aca="false">L32/$Q32</f>
        <v>0</v>
      </c>
      <c r="M69" s="78" t="n">
        <f aca="false">M32/$Q32</f>
        <v>0</v>
      </c>
      <c r="N69" s="78" t="n">
        <f aca="false">N32/$Q32</f>
        <v>0.5</v>
      </c>
      <c r="O69" s="78" t="n">
        <f aca="false">O32/$Q32</f>
        <v>0</v>
      </c>
      <c r="P69" s="78" t="n">
        <f aca="false">P32/$Q32</f>
        <v>0</v>
      </c>
      <c r="Q69" s="79" t="n">
        <f aca="false">SUM(E69:P69)</f>
        <v>1</v>
      </c>
    </row>
    <row r="70" customFormat="false" ht="14.25" hidden="false" customHeight="true" outlineLevel="0" collapsed="false">
      <c r="B70" s="84" t="s">
        <v>82</v>
      </c>
      <c r="C70" s="65" t="s">
        <v>83</v>
      </c>
      <c r="D70" s="26" t="s">
        <v>81</v>
      </c>
      <c r="E70" s="78" t="n">
        <f aca="false">E33/$Q33</f>
        <v>0</v>
      </c>
      <c r="F70" s="78" t="n">
        <f aca="false">F33/$Q33</f>
        <v>0</v>
      </c>
      <c r="G70" s="78" t="n">
        <f aca="false">G33/$Q33</f>
        <v>0.334487314568595</v>
      </c>
      <c r="H70" s="78" t="n">
        <f aca="false">H33/$Q33</f>
        <v>0</v>
      </c>
      <c r="I70" s="78" t="n">
        <f aca="false">I33/$Q33</f>
        <v>0</v>
      </c>
      <c r="J70" s="78" t="n">
        <f aca="false">J33/$Q33</f>
        <v>0</v>
      </c>
      <c r="K70" s="78" t="n">
        <f aca="false">K33/$Q33</f>
        <v>0.334487314568595</v>
      </c>
      <c r="L70" s="78" t="n">
        <f aca="false">L33/$Q33</f>
        <v>0</v>
      </c>
      <c r="M70" s="78" t="n">
        <f aca="false">M33/$Q33</f>
        <v>0</v>
      </c>
      <c r="N70" s="78" t="n">
        <f aca="false">N33/$Q33</f>
        <v>0</v>
      </c>
      <c r="O70" s="78" t="n">
        <f aca="false">O33/$Q33</f>
        <v>0.33102537086281</v>
      </c>
      <c r="P70" s="78" t="n">
        <f aca="false">P33/$Q33</f>
        <v>0</v>
      </c>
      <c r="Q70" s="79" t="n">
        <f aca="false">SUM(E70:P70)</f>
        <v>1</v>
      </c>
    </row>
    <row r="71" customFormat="false" ht="14.25" hidden="false" customHeight="true" outlineLevel="0" collapsed="false">
      <c r="B71" s="85" t="s">
        <v>84</v>
      </c>
      <c r="C71" s="65" t="s">
        <v>85</v>
      </c>
      <c r="D71" s="26" t="s">
        <v>86</v>
      </c>
      <c r="E71" s="78" t="n">
        <f aca="false">E34/$Q34</f>
        <v>0</v>
      </c>
      <c r="F71" s="78" t="n">
        <f aca="false">F34/$Q34</f>
        <v>0</v>
      </c>
      <c r="G71" s="78" t="n">
        <f aca="false">G34/$Q34</f>
        <v>0.211764705882353</v>
      </c>
      <c r="H71" s="78" t="n">
        <f aca="false">H34/$Q34</f>
        <v>0</v>
      </c>
      <c r="I71" s="78" t="n">
        <f aca="false">I34/$Q34</f>
        <v>0</v>
      </c>
      <c r="J71" s="78" t="n">
        <f aca="false">J34/$Q34</f>
        <v>0</v>
      </c>
      <c r="K71" s="78" t="n">
        <f aca="false">K34/$Q34</f>
        <v>0.211764705882353</v>
      </c>
      <c r="L71" s="78" t="n">
        <f aca="false">L34/$Q34</f>
        <v>0</v>
      </c>
      <c r="M71" s="78" t="n">
        <f aca="false">M34/$Q34</f>
        <v>0.576470588235294</v>
      </c>
      <c r="N71" s="78" t="n">
        <f aca="false">N34/$Q34</f>
        <v>0</v>
      </c>
      <c r="O71" s="78" t="n">
        <f aca="false">O34/$Q34</f>
        <v>0</v>
      </c>
      <c r="P71" s="78" t="n">
        <f aca="false">P34/$Q34</f>
        <v>0</v>
      </c>
      <c r="Q71" s="79" t="n">
        <f aca="false">SUM(E71:P71)</f>
        <v>1</v>
      </c>
    </row>
    <row r="72" customFormat="false" ht="14.25" hidden="false" customHeight="true" outlineLevel="0" collapsed="false">
      <c r="B72" s="84" t="s">
        <v>87</v>
      </c>
      <c r="C72" s="65" t="s">
        <v>88</v>
      </c>
      <c r="D72" s="26" t="s">
        <v>89</v>
      </c>
      <c r="E72" s="78" t="n">
        <f aca="false">E35/$Q35</f>
        <v>0.4698165</v>
      </c>
      <c r="F72" s="78" t="n">
        <f aca="false">F35/$Q35</f>
        <v>0</v>
      </c>
      <c r="G72" s="78" t="n">
        <f aca="false">G35/$Q35</f>
        <v>0</v>
      </c>
      <c r="H72" s="78" t="n">
        <f aca="false">H35/$Q35</f>
        <v>0</v>
      </c>
      <c r="I72" s="78" t="n">
        <f aca="false">I35/$Q35</f>
        <v>0.5301835</v>
      </c>
      <c r="J72" s="78" t="n">
        <f aca="false">J35/$Q35</f>
        <v>0</v>
      </c>
      <c r="K72" s="78" t="n">
        <f aca="false">K35/$Q35</f>
        <v>0</v>
      </c>
      <c r="L72" s="78" t="n">
        <f aca="false">L35/$Q35</f>
        <v>0</v>
      </c>
      <c r="M72" s="78" t="n">
        <f aca="false">M35/$Q35</f>
        <v>0</v>
      </c>
      <c r="N72" s="78" t="n">
        <f aca="false">N35/$Q35</f>
        <v>0</v>
      </c>
      <c r="O72" s="78" t="n">
        <f aca="false">O35/$Q35</f>
        <v>0</v>
      </c>
      <c r="P72" s="78" t="n">
        <f aca="false">P35/$Q35</f>
        <v>0</v>
      </c>
      <c r="Q72" s="79" t="n">
        <f aca="false">SUM(E72:P72)</f>
        <v>1</v>
      </c>
    </row>
    <row r="73" customFormat="false" ht="14.25" hidden="false" customHeight="true" outlineLevel="0" collapsed="false">
      <c r="B73" s="84" t="s">
        <v>90</v>
      </c>
      <c r="C73" s="65" t="s">
        <v>91</v>
      </c>
      <c r="D73" s="26" t="s">
        <v>92</v>
      </c>
      <c r="E73" s="78" t="n">
        <f aca="false">E36/$Q36</f>
        <v>0</v>
      </c>
      <c r="F73" s="78" t="n">
        <f aca="false">F36/$Q36</f>
        <v>0</v>
      </c>
      <c r="G73" s="78" t="n">
        <f aca="false">G36/$Q36</f>
        <v>0</v>
      </c>
      <c r="H73" s="78" t="n">
        <f aca="false">H36/$Q36</f>
        <v>0</v>
      </c>
      <c r="I73" s="78" t="n">
        <f aca="false">I36/$Q36</f>
        <v>0.5</v>
      </c>
      <c r="J73" s="78" t="n">
        <f aca="false">J36/$Q36</f>
        <v>0</v>
      </c>
      <c r="K73" s="78" t="n">
        <f aca="false">K36/$Q36</f>
        <v>0</v>
      </c>
      <c r="L73" s="78" t="n">
        <f aca="false">L36/$Q36</f>
        <v>0</v>
      </c>
      <c r="M73" s="78" t="n">
        <f aca="false">M36/$Q36</f>
        <v>0</v>
      </c>
      <c r="N73" s="78" t="n">
        <f aca="false">N36/$Q36</f>
        <v>0</v>
      </c>
      <c r="O73" s="78" t="n">
        <f aca="false">O36/$Q36</f>
        <v>0.5</v>
      </c>
      <c r="P73" s="78" t="n">
        <f aca="false">P36/$Q36</f>
        <v>0</v>
      </c>
      <c r="Q73" s="79" t="n">
        <f aca="false">SUM(E73:P73)</f>
        <v>1</v>
      </c>
    </row>
    <row r="74" customFormat="false" ht="14.25" hidden="false" customHeight="true" outlineLevel="0" collapsed="false">
      <c r="B74" s="85"/>
      <c r="C74" s="65" t="s">
        <v>93</v>
      </c>
      <c r="D74" s="26"/>
      <c r="E74" s="78" t="str">
        <f aca="false">IFERROR(E37/$Q37,"-")</f>
        <v>-</v>
      </c>
      <c r="F74" s="78" t="str">
        <f aca="false">IFERROR(F37/$Q37,"-")</f>
        <v>-</v>
      </c>
      <c r="G74" s="78" t="str">
        <f aca="false">IFERROR(G37/$Q37,"-")</f>
        <v>-</v>
      </c>
      <c r="H74" s="78" t="str">
        <f aca="false">IFERROR(H37/$Q37,"-")</f>
        <v>-</v>
      </c>
      <c r="I74" s="78" t="str">
        <f aca="false">IFERROR(I37/$Q37,"-")</f>
        <v>-</v>
      </c>
      <c r="J74" s="78" t="str">
        <f aca="false">IFERROR(J37/$Q37,"-")</f>
        <v>-</v>
      </c>
      <c r="K74" s="78" t="str">
        <f aca="false">IFERROR(K37/$Q37,"-")</f>
        <v>-</v>
      </c>
      <c r="L74" s="78" t="str">
        <f aca="false">IFERROR(L37/$Q37,"-")</f>
        <v>-</v>
      </c>
      <c r="M74" s="78" t="str">
        <f aca="false">IFERROR(M37/$Q37,"-")</f>
        <v>-</v>
      </c>
      <c r="N74" s="78" t="str">
        <f aca="false">IFERROR(N37/$Q37,"-")</f>
        <v>-</v>
      </c>
      <c r="O74" s="78" t="str">
        <f aca="false">IFERROR(O37/$Q37,"-")</f>
        <v>-</v>
      </c>
      <c r="P74" s="78" t="str">
        <f aca="false">IFERROR(P37/$Q37,"-")</f>
        <v>-</v>
      </c>
      <c r="Q74" s="79" t="n">
        <f aca="false">IFERROR(SUM(E74:P74),"-")</f>
        <v>0</v>
      </c>
    </row>
    <row r="75" customFormat="false" ht="14.25" hidden="false" customHeight="true" outlineLevel="0" collapsed="false">
      <c r="B75" s="85" t="s">
        <v>94</v>
      </c>
      <c r="C75" s="65" t="s">
        <v>95</v>
      </c>
      <c r="D75" s="26" t="s">
        <v>51</v>
      </c>
      <c r="E75" s="78" t="n">
        <f aca="false">E38/$Q38</f>
        <v>0</v>
      </c>
      <c r="F75" s="78" t="n">
        <f aca="false">F38/$Q38</f>
        <v>0</v>
      </c>
      <c r="G75" s="78" t="n">
        <f aca="false">G38/$Q38</f>
        <v>0</v>
      </c>
      <c r="H75" s="78" t="n">
        <f aca="false">H38/$Q38</f>
        <v>0.333333333333333</v>
      </c>
      <c r="I75" s="78" t="n">
        <f aca="false">I38/$Q38</f>
        <v>0</v>
      </c>
      <c r="J75" s="78" t="n">
        <f aca="false">J38/$Q38</f>
        <v>0</v>
      </c>
      <c r="K75" s="78" t="n">
        <f aca="false">K38/$Q38</f>
        <v>0</v>
      </c>
      <c r="L75" s="78" t="n">
        <f aca="false">L38/$Q38</f>
        <v>0.333333333333333</v>
      </c>
      <c r="M75" s="78" t="n">
        <f aca="false">M38/$Q38</f>
        <v>0</v>
      </c>
      <c r="N75" s="78" t="n">
        <f aca="false">N38/$Q38</f>
        <v>0</v>
      </c>
      <c r="O75" s="78" t="n">
        <f aca="false">O38/$Q38</f>
        <v>0.333333333333333</v>
      </c>
      <c r="P75" s="78" t="n">
        <f aca="false">P38/$Q38</f>
        <v>0</v>
      </c>
      <c r="Q75" s="79" t="n">
        <f aca="false">SUM(E75:P75)</f>
        <v>1</v>
      </c>
    </row>
    <row r="76" customFormat="false" ht="14.25" hidden="false" customHeight="true" outlineLevel="0" collapsed="false">
      <c r="B76" s="86" t="s">
        <v>96</v>
      </c>
      <c r="C76" s="65" t="s">
        <v>97</v>
      </c>
      <c r="D76" s="26"/>
      <c r="E76" s="78" t="n">
        <f aca="false">E39/$Q39</f>
        <v>0</v>
      </c>
      <c r="F76" s="78" t="n">
        <f aca="false">F39/$Q39</f>
        <v>0</v>
      </c>
      <c r="G76" s="78" t="n">
        <f aca="false">G39/$Q39</f>
        <v>0</v>
      </c>
      <c r="H76" s="78" t="n">
        <f aca="false">H39/$Q39</f>
        <v>0</v>
      </c>
      <c r="I76" s="78" t="n">
        <f aca="false">I39/$Q39</f>
        <v>0</v>
      </c>
      <c r="J76" s="78" t="n">
        <f aca="false">J39/$Q39</f>
        <v>0.5</v>
      </c>
      <c r="K76" s="78" t="n">
        <f aca="false">K39/$Q39</f>
        <v>0</v>
      </c>
      <c r="L76" s="78" t="n">
        <f aca="false">L39/$Q39</f>
        <v>0</v>
      </c>
      <c r="M76" s="78" t="n">
        <f aca="false">M39/$Q39</f>
        <v>0</v>
      </c>
      <c r="N76" s="78" t="n">
        <f aca="false">N39/$Q39</f>
        <v>0</v>
      </c>
      <c r="O76" s="78" t="n">
        <f aca="false">O39/$Q39</f>
        <v>0.5</v>
      </c>
      <c r="P76" s="78" t="n">
        <f aca="false">P39/$Q39</f>
        <v>0</v>
      </c>
      <c r="Q76" s="79" t="n">
        <f aca="false">SUM(E76:P76)</f>
        <v>1</v>
      </c>
    </row>
    <row r="77" customFormat="false" ht="14.25" hidden="false" customHeight="true" outlineLevel="0" collapsed="false">
      <c r="B77" s="81" t="s">
        <v>98</v>
      </c>
      <c r="C77" s="81"/>
      <c r="D77" s="81"/>
      <c r="E77" s="82" t="n">
        <f aca="false">E40/$Q$40</f>
        <v>0.053809091658406</v>
      </c>
      <c r="F77" s="82" t="n">
        <f aca="false">F40/$Q$40</f>
        <v>0.0638094831223462</v>
      </c>
      <c r="G77" s="82" t="n">
        <f aca="false">G40/$Q$40</f>
        <v>0.055471716232862</v>
      </c>
      <c r="H77" s="82" t="n">
        <f aca="false">H40/$Q$40</f>
        <v>0.0968065846601469</v>
      </c>
      <c r="I77" s="82" t="n">
        <f aca="false">I40/$Q$40</f>
        <v>0.0875806422499779</v>
      </c>
      <c r="J77" s="82" t="n">
        <f aca="false">J40/$Q$40</f>
        <v>0.0775176314234004</v>
      </c>
      <c r="K77" s="82" t="n">
        <f aca="false">K40/$Q$40</f>
        <v>0.10378584301906</v>
      </c>
      <c r="L77" s="82" t="n">
        <f aca="false">L40/$Q$40</f>
        <v>0.117219441404307</v>
      </c>
      <c r="M77" s="82" t="n">
        <f aca="false">M40/$Q$40</f>
        <v>0.0703541904385268</v>
      </c>
      <c r="N77" s="82" t="n">
        <f aca="false">N40/$Q$40</f>
        <v>0.0705162384791107</v>
      </c>
      <c r="O77" s="82" t="n">
        <f aca="false">O40/$Q$40</f>
        <v>0.144454181232548</v>
      </c>
      <c r="P77" s="82" t="n">
        <f aca="false">P40/$Q$40</f>
        <v>0.0607196589032559</v>
      </c>
      <c r="Q77" s="82" t="n">
        <f aca="false">SUM(E77:P77)</f>
        <v>1.00204470282395</v>
      </c>
    </row>
    <row r="78" customFormat="false" ht="15" hidden="false" customHeight="true" outlineLevel="0" collapsed="false">
      <c r="B78" s="87" t="s">
        <v>99</v>
      </c>
      <c r="C78" s="87"/>
      <c r="D78" s="87"/>
      <c r="E78" s="88" t="n">
        <f aca="false">E41/$Q$41</f>
        <v>0.0576819886197652</v>
      </c>
      <c r="F78" s="88" t="n">
        <f aca="false">F41/$Q$41</f>
        <v>0.0647658862463498</v>
      </c>
      <c r="G78" s="88" t="n">
        <f aca="false">G41/$Q$41</f>
        <v>0.0673083117416831</v>
      </c>
      <c r="H78" s="88" t="n">
        <f aca="false">H41/$Q$41</f>
        <v>0.0713860832233734</v>
      </c>
      <c r="I78" s="88" t="n">
        <f aca="false">I41/$Q$41</f>
        <v>0.0764720985566234</v>
      </c>
      <c r="J78" s="88" t="n">
        <f aca="false">J41/$Q$41</f>
        <v>0.0844157009351726</v>
      </c>
      <c r="K78" s="88" t="n">
        <f aca="false">K41/$Q$41</f>
        <v>0.0927996456461894</v>
      </c>
      <c r="L78" s="88" t="n">
        <f aca="false">L41/$Q$41</f>
        <v>0.100409822783275</v>
      </c>
      <c r="M78" s="88" t="n">
        <f aca="false">M41/$Q$41</f>
        <v>0.0818101037965188</v>
      </c>
      <c r="N78" s="88" t="n">
        <f aca="false">N41/$Q$41</f>
        <v>0.0906180003625581</v>
      </c>
      <c r="O78" s="88" t="n">
        <f aca="false">O41/$Q$41</f>
        <v>0.119156641281401</v>
      </c>
      <c r="P78" s="88" t="n">
        <f aca="false">P41/$Q$41</f>
        <v>0.0936606654651379</v>
      </c>
      <c r="Q78" s="89" t="n">
        <f aca="false">SUM(E78:P78)</f>
        <v>1.00048494865805</v>
      </c>
    </row>
  </sheetData>
  <mergeCells count="3">
    <mergeCell ref="B58:D58"/>
    <mergeCell ref="B77:D77"/>
    <mergeCell ref="B78:D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32" activeCellId="0" sqref="B32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90" width="30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.88"/>
    <col collapsed="false" customWidth="true" hidden="false" outlineLevel="0" max="6" min="6" style="1" width="12.37"/>
    <col collapsed="false" customWidth="true" hidden="false" outlineLevel="0" max="7" min="7" style="1" width="10.38"/>
    <col collapsed="false" customWidth="true" hidden="false" outlineLevel="0" max="8" min="8" style="1" width="14"/>
    <col collapsed="false" customWidth="true" hidden="false" outlineLevel="0" max="9" min="9" style="1" width="10.38"/>
    <col collapsed="false" customWidth="true" hidden="false" outlineLevel="0" max="10" min="10" style="1" width="9.75"/>
    <col collapsed="false" customWidth="true" hidden="false" outlineLevel="0" max="11" min="11" style="1" width="10.38"/>
    <col collapsed="false" customWidth="true" hidden="false" outlineLevel="0" max="13" min="12" style="1" width="11"/>
    <col collapsed="false" customWidth="true" hidden="false" outlineLevel="0" max="14" min="14" style="1" width="14"/>
  </cols>
  <sheetData>
    <row r="1" customFormat="false" ht="24.75" hidden="false" customHeight="true" outlineLevel="0" collapsed="false">
      <c r="A1" s="91" t="s">
        <v>101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customFormat="false" ht="15" hidden="false" customHeight="true" outlineLevel="0" collapsed="false">
      <c r="B2" s="92" t="s">
        <v>102</v>
      </c>
      <c r="D2" s="93" t="s">
        <v>15</v>
      </c>
      <c r="E2" s="94" t="s">
        <v>103</v>
      </c>
      <c r="F2" s="94" t="n">
        <f aca="false">MATCH($D$2,נתונים_שטוחים!$AO$2:$AO$13,0)</f>
        <v>12</v>
      </c>
      <c r="G2" s="95" t="s">
        <v>104</v>
      </c>
      <c r="H2" s="96" t="n">
        <v>46296</v>
      </c>
    </row>
    <row r="3" customFormat="false" ht="15" hidden="false" customHeight="true" outlineLevel="0" collapsed="false">
      <c r="B3" s="97"/>
    </row>
    <row r="4" customFormat="false" ht="15" hidden="false" customHeight="true" outlineLevel="0" collapsed="false">
      <c r="A4" s="98" t="s">
        <v>105</v>
      </c>
      <c r="B4" s="99" t="s">
        <v>106</v>
      </c>
      <c r="C4" s="98" t="s">
        <v>107</v>
      </c>
      <c r="D4" s="98" t="n">
        <v>2024</v>
      </c>
      <c r="E4" s="98" t="n">
        <v>2025</v>
      </c>
      <c r="F4" s="98" t="n">
        <v>2026</v>
      </c>
      <c r="G4" s="98" t="s">
        <v>108</v>
      </c>
      <c r="H4" s="98" t="s">
        <v>109</v>
      </c>
      <c r="I4" s="98" t="s">
        <v>110</v>
      </c>
      <c r="J4" s="98" t="s">
        <v>111</v>
      </c>
      <c r="K4" s="98" t="s">
        <v>112</v>
      </c>
      <c r="L4" s="98" t="s">
        <v>1</v>
      </c>
      <c r="M4" s="98" t="s">
        <v>113</v>
      </c>
      <c r="N4" s="98" t="s">
        <v>114</v>
      </c>
    </row>
    <row r="5" customFormat="false" ht="15" hidden="false" customHeight="true" outlineLevel="0" collapsed="false">
      <c r="A5" s="100" t="n">
        <v>111</v>
      </c>
      <c r="B5" s="101" t="str">
        <f aca="false">נתונים_שטוחים!A5</f>
        <v>סופר פארם לייף</v>
      </c>
      <c r="C5" s="102" t="str">
        <f aca="false">נתונים_שטוחים!B5</f>
        <v>ישראל</v>
      </c>
      <c r="D5" s="103" t="n">
        <f aca="false">SUMIFS(נתונים_שטוחים!C5:N5,נתונים_שטוחים!$C$3:$N$3,"&lt;="&amp;$F$2)</f>
        <v>2052731.8</v>
      </c>
      <c r="E5" s="103" t="n">
        <f aca="false">SUMIFS(נתונים_שטוחים!O5:Z5,נתונים_שטוחים!$O$3:$Z$3,"&lt;="&amp;$F$2)</f>
        <v>1708656.85</v>
      </c>
      <c r="F5" s="103" t="n">
        <f aca="false">SUMIFS(נתונים_שטוחים!AA5:AL5,נתונים_שטוחים!$AA$3:$AL$3,"&lt;="&amp;$F$2)</f>
        <v>1307775.35</v>
      </c>
      <c r="G5" s="104" t="n">
        <f aca="false">IFERROR(F5/E5-1,"-")</f>
        <v>-0.234617910553544</v>
      </c>
      <c r="H5" s="103" t="n">
        <f aca="false">F5-E5</f>
        <v>-400881.5</v>
      </c>
      <c r="I5" s="103" t="n">
        <f aca="false">IFERROR(INDEX('תקציב  '!$A:$AW,MATCH($B5,'תקציב  '!$C:$C,0),INDEX(נתונים_שטוחים!$AP$2:$AP$13,$F$2)),"-")</f>
        <v>2520000</v>
      </c>
      <c r="J5" s="104" t="n">
        <f aca="false">IFERROR(F5/I5-1,"-")</f>
        <v>-0.481041527777778</v>
      </c>
      <c r="K5" s="103" t="n">
        <f aca="false">IFERROR(F5-I5,"-")</f>
        <v>-1212224.65</v>
      </c>
      <c r="L5" s="103" t="n">
        <f aca="false">IF($F$2&lt;7,"-",IFERROR(INDEX('תקציב  '!$A:$AW,MATCH($B5,'תקציב  '!$C:$C,0),INDEX(נתונים_שטוחים!$AQ$2:$AQ$13,$F$2)),"-"))</f>
        <v>1940443.3</v>
      </c>
      <c r="M5" s="104" t="n">
        <f aca="false">IF($F$2&lt;7,"-",IFERROR(F5/L5-1,"-"))</f>
        <v>-0.326042997494438</v>
      </c>
      <c r="N5" s="103" t="n">
        <f aca="false">IF($F$2&lt;7,"-",IFERROR(F5-L5,"-"))</f>
        <v>-632667.95</v>
      </c>
    </row>
    <row r="6" customFormat="false" ht="15" hidden="false" customHeight="true" outlineLevel="0" collapsed="false">
      <c r="A6" s="100" t="n">
        <v>1</v>
      </c>
      <c r="B6" s="101" t="str">
        <f aca="false">נתונים_שטוחים!A6</f>
        <v>סופרפארם</v>
      </c>
      <c r="C6" s="102" t="str">
        <f aca="false">נתונים_שטוחים!B6</f>
        <v>ישראל</v>
      </c>
      <c r="D6" s="103" t="n">
        <f aca="false">SUMIFS(נתונים_שטוחים!C6:N6,נתונים_שטוחים!$C$3:$N$3,"&lt;="&amp;$F$2)</f>
        <v>5482291.178</v>
      </c>
      <c r="E6" s="103" t="n">
        <f aca="false">SUMIFS(נתונים_שטוחים!O6:Z6,נתונים_שטוחים!$O$3:$Z$3,"&lt;="&amp;$F$2)</f>
        <v>6071777.62260004</v>
      </c>
      <c r="F6" s="103" t="n">
        <f aca="false">SUMIFS(נתונים_שטוחים!AA6:AL6,נתונים_שטוחים!$AA$3:$AL$3,"&lt;="&amp;$F$2)</f>
        <v>4382655.641</v>
      </c>
      <c r="G6" s="104" t="n">
        <f aca="false">IFERROR(F6/E6-1,"-")</f>
        <v>-0.278192332886646</v>
      </c>
      <c r="H6" s="103" t="n">
        <f aca="false">F6-E6</f>
        <v>-1689121.98160004</v>
      </c>
      <c r="I6" s="103" t="n">
        <f aca="false">IFERROR(INDEX('תקציב  '!$A:$AW,MATCH($B6,'תקציב  '!$C:$C,0),INDEX(נתונים_שטוחים!$AP$2:$AP$13,$F$2)),"-")</f>
        <v>6779000</v>
      </c>
      <c r="J6" s="104" t="n">
        <f aca="false">IFERROR(F6/I6-1,"-")</f>
        <v>-0.353495258740228</v>
      </c>
      <c r="K6" s="103" t="n">
        <f aca="false">IFERROR(F6-I6,"-")</f>
        <v>-2396344.359</v>
      </c>
      <c r="L6" s="103" t="n">
        <f aca="false">IF($F$2&lt;7,"-",IFERROR(INDEX('תקציב  '!$A:$AW,MATCH($B6,'תקציב  '!$C:$C,0),INDEX(נתונים_שטוחים!$AQ$2:$AQ$13,$F$2)),"-"))</f>
        <v>6074937.893</v>
      </c>
      <c r="M6" s="104" t="n">
        <f aca="false">IF($F$2&lt;7,"-",IFERROR(F6/L6-1,"-"))</f>
        <v>-0.278567827656308</v>
      </c>
      <c r="N6" s="103" t="n">
        <f aca="false">IF($F$2&lt;7,"-",IFERROR(F6-L6,"-"))</f>
        <v>-1692282.252</v>
      </c>
    </row>
    <row r="7" customFormat="false" ht="15" hidden="false" customHeight="true" outlineLevel="0" collapsed="false">
      <c r="A7" s="100" t="n">
        <v>2</v>
      </c>
      <c r="B7" s="101" t="str">
        <f aca="false">נתונים_שטוחים!A7</f>
        <v>BE</v>
      </c>
      <c r="C7" s="102" t="str">
        <f aca="false">נתונים_שטוחים!B7</f>
        <v>ישראל</v>
      </c>
      <c r="D7" s="103" t="n">
        <f aca="false">SUMIFS(נתונים_שטוחים!C7:N7,נתונים_שטוחים!$C$3:$N$3,"&lt;="&amp;$F$2)</f>
        <v>1089803.806</v>
      </c>
      <c r="E7" s="103" t="n">
        <f aca="false">SUMIFS(נתונים_שטוחים!O7:Z7,נתונים_שטוחים!$O$3:$Z$3,"&lt;="&amp;$F$2)</f>
        <v>828689.86</v>
      </c>
      <c r="F7" s="103" t="n">
        <f aca="false">SUMIFS(נתונים_שטוחים!AA7:AL7,נתונים_שטוחים!$AA$3:$AL$3,"&lt;="&amp;$F$2)</f>
        <v>666002.246</v>
      </c>
      <c r="G7" s="104" t="n">
        <f aca="false">IFERROR(F7/E7-1,"-")</f>
        <v>-0.196319059581591</v>
      </c>
      <c r="H7" s="103" t="n">
        <f aca="false">F7-E7</f>
        <v>-162687.614</v>
      </c>
      <c r="I7" s="103" t="n">
        <f aca="false">IFERROR(INDEX('תקציב  '!$A:$AW,MATCH($B7,'תקציב  '!$C:$C,0),INDEX(נתונים_שטוחים!$AP$2:$AP$13,$F$2)),"-")</f>
        <v>900000</v>
      </c>
      <c r="J7" s="104" t="n">
        <f aca="false">IFERROR(F7/I7-1,"-")</f>
        <v>-0.259997504444444</v>
      </c>
      <c r="K7" s="103" t="n">
        <f aca="false">IFERROR(F7-I7,"-")</f>
        <v>-233997.754</v>
      </c>
      <c r="L7" s="103" t="n">
        <f aca="false">IF($F$2&lt;7,"-",IFERROR(INDEX('תקציב  '!$A:$AW,MATCH($B7,'תקציב  '!$C:$C,0),INDEX(נתונים_שטוחים!$AQ$2:$AQ$13,$F$2)),"-"))</f>
        <v>1037274.565</v>
      </c>
      <c r="M7" s="104" t="n">
        <f aca="false">IF($F$2&lt;7,"-",IFERROR(F7/L7-1,"-"))</f>
        <v>-0.35793061116851</v>
      </c>
      <c r="N7" s="103" t="n">
        <f aca="false">IF($F$2&lt;7,"-",IFERROR(F7-L7,"-"))</f>
        <v>-371272.319</v>
      </c>
    </row>
    <row r="8" customFormat="false" ht="15" hidden="false" customHeight="true" outlineLevel="0" collapsed="false">
      <c r="A8" s="100" t="n">
        <v>3</v>
      </c>
      <c r="B8" s="101" t="str">
        <f aca="false">נתונים_שטוחים!A8</f>
        <v>בתי מרקחת</v>
      </c>
      <c r="C8" s="102" t="str">
        <f aca="false">נתונים_שטוחים!B8</f>
        <v>ישראל</v>
      </c>
      <c r="D8" s="103" t="n">
        <f aca="false">SUMIFS(נתונים_שטוחים!C8:N8,נתונים_שטוחים!$C$3:$N$3,"&lt;="&amp;$F$2)</f>
        <v>1835959.53</v>
      </c>
      <c r="E8" s="103" t="n">
        <f aca="false">SUMIFS(נתונים_שטוחים!O8:Z8,נתונים_שטוחים!$O$3:$Z$3,"&lt;="&amp;$F$2)</f>
        <v>1941001.5794</v>
      </c>
      <c r="F8" s="103" t="n">
        <f aca="false">SUMIFS(נתונים_שטוחים!AA8:AL8,נתונים_שטוחים!$AA$3:$AL$3,"&lt;="&amp;$F$2)</f>
        <v>1440814.151</v>
      </c>
      <c r="G8" s="104" t="n">
        <f aca="false">IFERROR(F8/E8-1,"-")</f>
        <v>-0.257695528797364</v>
      </c>
      <c r="H8" s="103" t="n">
        <f aca="false">F8-E8</f>
        <v>-500187.428400002</v>
      </c>
      <c r="I8" s="103" t="n">
        <f aca="false">IFERROR(INDEX('תקציב  '!$A:$AW,MATCH($B8,'תקציב  '!$C:$C,0),INDEX(נתונים_שטוחים!$AP$2:$AP$13,$F$2)),"-")</f>
        <v>1947000</v>
      </c>
      <c r="J8" s="104" t="n">
        <f aca="false">IFERROR(F8/I8-1,"-")</f>
        <v>-0.259982459681561</v>
      </c>
      <c r="K8" s="103" t="n">
        <f aca="false">IFERROR(F8-I8,"-")</f>
        <v>-506185.848999999</v>
      </c>
      <c r="L8" s="103" t="n">
        <f aca="false">IF($F$2&lt;7,"-",IFERROR(INDEX('תקציב  '!$A:$AW,MATCH($B8,'תקציב  '!$C:$C,0),INDEX(נתונים_שטוחים!$AQ$2:$AQ$13,$F$2)),"-"))</f>
        <v>2118523.978</v>
      </c>
      <c r="M8" s="104" t="n">
        <f aca="false">IF($F$2&lt;7,"-",IFERROR(F8/L8-1,"-"))</f>
        <v>-0.31989717087828</v>
      </c>
      <c r="N8" s="103" t="n">
        <f aca="false">IF($F$2&lt;7,"-",IFERROR(F8-L8,"-"))</f>
        <v>-677709.827</v>
      </c>
    </row>
    <row r="9" customFormat="false" ht="15" hidden="false" customHeight="true" outlineLevel="0" collapsed="false">
      <c r="A9" s="100" t="n">
        <v>112</v>
      </c>
      <c r="B9" s="101" t="str">
        <f aca="false">נתונים_שטוחים!A9</f>
        <v>כללית</v>
      </c>
      <c r="C9" s="102" t="str">
        <f aca="false">נתונים_שטוחים!B9</f>
        <v>ישראל</v>
      </c>
      <c r="D9" s="103" t="n">
        <f aca="false">SUMIFS(נתונים_שטוחים!C9:N9,נתונים_שטוחים!$C$3:$N$3,"&lt;="&amp;$F$2)</f>
        <v>4118466.1</v>
      </c>
      <c r="E9" s="103" t="n">
        <f aca="false">SUMIFS(נתונים_שטוחים!O9:Z9,נתונים_שטוחים!$O$3:$Z$3,"&lt;="&amp;$F$2)</f>
        <v>3809616.42</v>
      </c>
      <c r="F9" s="103" t="n">
        <f aca="false">SUMIFS(נתונים_שטוחים!AA9:AL9,נתונים_שטוחים!$AA$3:$AL$3,"&lt;="&amp;$F$2)</f>
        <v>2793513.15</v>
      </c>
      <c r="G9" s="104" t="n">
        <f aca="false">IFERROR(F9/E9-1,"-")</f>
        <v>-0.266720624329942</v>
      </c>
      <c r="H9" s="103" t="n">
        <f aca="false">F9-E9</f>
        <v>-1016103.27</v>
      </c>
      <c r="I9" s="103" t="n">
        <f aca="false">IFERROR(INDEX('תקציב  '!$A:$AW,MATCH($B9,'תקציב  '!$C:$C,0),INDEX(נתונים_שטוחים!$AP$2:$AP$13,$F$2)),"-")</f>
        <v>4381000</v>
      </c>
      <c r="J9" s="104" t="n">
        <f aca="false">IFERROR(F9/I9-1,"-")</f>
        <v>-0.362357190139238</v>
      </c>
      <c r="K9" s="103" t="n">
        <f aca="false">IFERROR(F9-I9,"-")</f>
        <v>-1587486.85</v>
      </c>
      <c r="L9" s="103" t="n">
        <f aca="false">IF($F$2&lt;7,"-",IFERROR(INDEX('תקציב  '!$A:$AW,MATCH($B9,'תקציב  '!$C:$C,0),INDEX(נתונים_שטוחים!$AQ$2:$AQ$13,$F$2)),"-"))</f>
        <v>3722410.85</v>
      </c>
      <c r="M9" s="104" t="n">
        <f aca="false">IF($F$2&lt;7,"-",IFERROR(F9/L9-1,"-"))</f>
        <v>-0.249541960151981</v>
      </c>
      <c r="N9" s="103" t="n">
        <f aca="false">IF($F$2&lt;7,"-",IFERROR(F9-L9,"-"))</f>
        <v>-928897.7</v>
      </c>
    </row>
    <row r="10" customFormat="false" ht="15" hidden="false" customHeight="true" outlineLevel="0" collapsed="false">
      <c r="A10" s="100" t="n">
        <v>113</v>
      </c>
      <c r="B10" s="101" t="str">
        <f aca="false">נתונים_שטוחים!A10</f>
        <v>מאוחדת</v>
      </c>
      <c r="C10" s="102" t="str">
        <f aca="false">נתונים_שטוחים!B10</f>
        <v>ישראל</v>
      </c>
      <c r="D10" s="103" t="n">
        <f aca="false">SUMIFS(נתונים_שטוחים!C10:N10,נתונים_שטוחים!$C$3:$N$3,"&lt;="&amp;$F$2)</f>
        <v>797978.25</v>
      </c>
      <c r="E10" s="103" t="n">
        <f aca="false">SUMIFS(נתונים_שטוחים!O10:Z10,נתונים_שטוחים!$O$3:$Z$3,"&lt;="&amp;$F$2)</f>
        <v>892626.19</v>
      </c>
      <c r="F10" s="103" t="n">
        <f aca="false">SUMIFS(נתונים_שטוחים!AA10:AL10,נתונים_שטוחים!$AA$3:$AL$3,"&lt;="&amp;$F$2)</f>
        <v>529867.071</v>
      </c>
      <c r="G10" s="104" t="n">
        <f aca="false">IFERROR(F10/E10-1,"-")</f>
        <v>-0.406395334423248</v>
      </c>
      <c r="H10" s="103" t="n">
        <f aca="false">F10-E10</f>
        <v>-362759.119</v>
      </c>
      <c r="I10" s="103" t="n">
        <f aca="false">IFERROR(INDEX('תקציב  '!$A:$AW,MATCH($B10,'תקציב  '!$C:$C,0),INDEX(נתונים_שטוחים!$AP$2:$AP$13,$F$2)),"-")</f>
        <v>1220000</v>
      </c>
      <c r="J10" s="104" t="n">
        <f aca="false">IFERROR(F10/I10-1,"-")</f>
        <v>-0.565682728688524</v>
      </c>
      <c r="K10" s="103" t="n">
        <f aca="false">IFERROR(F10-I10,"-")</f>
        <v>-690132.928999998</v>
      </c>
      <c r="L10" s="103" t="n">
        <f aca="false">IF($F$2&lt;7,"-",IFERROR(INDEX('תקציב  '!$A:$AW,MATCH($B10,'תקציב  '!$C:$C,0),INDEX(נתונים_שטוחים!$AQ$2:$AQ$13,$F$2)),"-"))</f>
        <v>943097.611</v>
      </c>
      <c r="M10" s="104" t="n">
        <f aca="false">IF($F$2&lt;7,"-",IFERROR(F10/L10-1,"-"))</f>
        <v>-0.438163065180323</v>
      </c>
      <c r="N10" s="103" t="n">
        <f aca="false">IF($F$2&lt;7,"-",IFERROR(F10-L10,"-"))</f>
        <v>-413230.54</v>
      </c>
    </row>
    <row r="11" customFormat="false" ht="15" hidden="false" customHeight="true" outlineLevel="0" collapsed="false">
      <c r="A11" s="100" t="n">
        <v>4</v>
      </c>
      <c r="B11" s="101" t="str">
        <f aca="false">נתונים_שטוחים!A11</f>
        <v>מכבי</v>
      </c>
      <c r="C11" s="102" t="str">
        <f aca="false">נתונים_שטוחים!B11</f>
        <v>ישראל</v>
      </c>
      <c r="D11" s="103" t="n">
        <f aca="false">SUMIFS(נתונים_שטוחים!C11:N11,נתונים_שטוחים!$C$3:$N$3,"&lt;="&amp;$F$2)</f>
        <v>0</v>
      </c>
      <c r="E11" s="103" t="n">
        <f aca="false">SUMIFS(נתונים_שטוחים!O11:Z11,נתונים_שטוחים!$O$3:$Z$3,"&lt;="&amp;$F$2)</f>
        <v>0</v>
      </c>
      <c r="F11" s="103" t="n">
        <f aca="false">SUMIFS(נתונים_שטוחים!AA11:AL11,נתונים_שטוחים!$AA$3:$AL$3,"&lt;="&amp;$F$2)</f>
        <v>0</v>
      </c>
      <c r="G11" s="104" t="str">
        <f aca="false">IFERROR(F11/E11-1,"-")</f>
        <v>-</v>
      </c>
      <c r="H11" s="103" t="n">
        <f aca="false">F11-E11</f>
        <v>0</v>
      </c>
      <c r="I11" s="103" t="str">
        <f aca="false">IFERROR(INDEX('תקציב  '!$A:$AW,MATCH($B11,'תקציב  '!$C:$C,0),INDEX(נתונים_שטוחים!$AP$2:$AP$13,$F$2)),"-")</f>
        <v>-</v>
      </c>
      <c r="J11" s="104" t="str">
        <f aca="false">IFERROR(F11/I11-1,"-")</f>
        <v>-</v>
      </c>
      <c r="K11" s="103" t="str">
        <f aca="false">IFERROR(F11-I11,"-")</f>
        <v>-</v>
      </c>
      <c r="L11" s="103" t="str">
        <f aca="false">IF($F$2&lt;7,"-",IFERROR(INDEX('תקציב  '!$A:$AW,MATCH($B11,'תקציב  '!$C:$C,0),INDEX(נתונים_שטוחים!$AQ$2:$AQ$13,$F$2)),"-"))</f>
        <v>-</v>
      </c>
      <c r="M11" s="104" t="str">
        <f aca="false">IF($F$2&lt;7,"-",IFERROR(F11/L11-1,"-"))</f>
        <v>-</v>
      </c>
      <c r="N11" s="103" t="str">
        <f aca="false">IF($F$2&lt;7,"-",IFERROR(F11-L11,"-"))</f>
        <v>-</v>
      </c>
    </row>
    <row r="12" customFormat="false" ht="15" hidden="false" customHeight="true" outlineLevel="0" collapsed="false">
      <c r="A12" s="100" t="n">
        <v>102</v>
      </c>
      <c r="B12" s="101" t="str">
        <f aca="false">נתונים_שטוחים!A12</f>
        <v>מכוני אורטופדיה</v>
      </c>
      <c r="C12" s="102" t="str">
        <f aca="false">נתונים_שטוחים!B12</f>
        <v>ישראל</v>
      </c>
      <c r="D12" s="103" t="n">
        <f aca="false">SUMIFS(נתונים_שטוחים!C12:N12,נתונים_שטוחים!$C$3:$N$3,"&lt;="&amp;$F$2)</f>
        <v>901019.25</v>
      </c>
      <c r="E12" s="103" t="n">
        <f aca="false">SUMIFS(נתונים_שטוחים!O12:Z12,נתונים_שטוחים!$O$3:$Z$3,"&lt;="&amp;$F$2)</f>
        <v>854818.94</v>
      </c>
      <c r="F12" s="103" t="n">
        <f aca="false">SUMIFS(נתונים_שטוחים!AA12:AL12,נתונים_שטוחים!$AA$3:$AL$3,"&lt;="&amp;$F$2)</f>
        <v>690852.02</v>
      </c>
      <c r="G12" s="104" t="n">
        <f aca="false">IFERROR(F12/E12-1,"-")</f>
        <v>-0.191814795306243</v>
      </c>
      <c r="H12" s="103" t="n">
        <f aca="false">F12-E12</f>
        <v>-163966.92</v>
      </c>
      <c r="I12" s="103" t="n">
        <f aca="false">IFERROR(INDEX('תקציב  '!$A:$AW,MATCH($B12,'תקציב  '!$C:$C,0),INDEX(נתונים_שטוחים!$AP$2:$AP$13,$F$2)),"-")</f>
        <v>1979000</v>
      </c>
      <c r="J12" s="104" t="n">
        <f aca="false">IFERROR(F12/I12-1,"-")</f>
        <v>-0.650908529560384</v>
      </c>
      <c r="K12" s="103" t="n">
        <f aca="false">IFERROR(F12-I12,"-")</f>
        <v>-1288147.98</v>
      </c>
      <c r="L12" s="103" t="n">
        <f aca="false">IF($F$2&lt;7,"-",IFERROR(INDEX('תקציב  '!$A:$AW,MATCH($B12,'תקציב  '!$C:$C,0),INDEX(נתונים_שטוחים!$AQ$2:$AQ$13,$F$2)),"-"))</f>
        <v>1075277.57</v>
      </c>
      <c r="M12" s="104" t="n">
        <f aca="false">IF($F$2&lt;7,"-",IFERROR(F12/L12-1,"-"))</f>
        <v>-0.357512851309639</v>
      </c>
      <c r="N12" s="103" t="n">
        <f aca="false">IF($F$2&lt;7,"-",IFERROR(F12-L12,"-"))</f>
        <v>-384425.55</v>
      </c>
    </row>
    <row r="13" customFormat="false" ht="15" hidden="false" customHeight="true" outlineLevel="0" collapsed="false">
      <c r="A13" s="100" t="n">
        <v>101</v>
      </c>
      <c r="B13" s="101" t="str">
        <f aca="false">נתונים_שטוחים!A13</f>
        <v>לקוחות מפעל</v>
      </c>
      <c r="C13" s="102" t="str">
        <f aca="false">נתונים_שטוחים!B13</f>
        <v>ישראל</v>
      </c>
      <c r="D13" s="103" t="n">
        <f aca="false">SUMIFS(נתונים_שטוחים!C13:N13,נתונים_שטוחים!$C$3:$N$3,"&lt;="&amp;$F$2)</f>
        <v>187203.67</v>
      </c>
      <c r="E13" s="103" t="n">
        <f aca="false">SUMIFS(נתונים_שטוחים!O13:Z13,נתונים_שטוחים!$O$3:$Z$3,"&lt;="&amp;$F$2)</f>
        <v>185250.51</v>
      </c>
      <c r="F13" s="103" t="n">
        <f aca="false">SUMIFS(נתונים_שטוחים!AA13:AL13,נתונים_שטוחים!$AA$3:$AL$3,"&lt;="&amp;$F$2)</f>
        <v>86996.84</v>
      </c>
      <c r="G13" s="104" t="n">
        <f aca="false">IFERROR(F13/E13-1,"-")</f>
        <v>-0.530382723372799</v>
      </c>
      <c r="H13" s="103" t="n">
        <f aca="false">F13-E13</f>
        <v>-98253.67</v>
      </c>
      <c r="I13" s="103" t="n">
        <f aca="false">IFERROR(INDEX('תקציב  '!$A:$AW,MATCH($B13,'תקציב  '!$C:$C,0),INDEX(נתונים_שטוחים!$AP$2:$AP$13,$F$2)),"-")</f>
        <v>190000</v>
      </c>
      <c r="J13" s="104" t="n">
        <f aca="false">IFERROR(F13/I13-1,"-")</f>
        <v>-0.542121894736842</v>
      </c>
      <c r="K13" s="103" t="n">
        <f aca="false">IFERROR(F13-I13,"-")</f>
        <v>-103003.16</v>
      </c>
      <c r="L13" s="103" t="n">
        <f aca="false">IF($F$2&lt;7,"-",IFERROR(INDEX('תקציב  '!$A:$AW,MATCH($B13,'תקציב  '!$C:$C,0),INDEX(נתונים_שטוחים!$AQ$2:$AQ$13,$F$2)),"-"))</f>
        <v>151235.08</v>
      </c>
      <c r="M13" s="104" t="n">
        <f aca="false">IF($F$2&lt;7,"-",IFERROR(F13/L13-1,"-"))</f>
        <v>-0.424757536412848</v>
      </c>
      <c r="N13" s="103" t="n">
        <f aca="false">IF($F$2&lt;7,"-",IFERROR(F13-L13,"-"))</f>
        <v>-64238.24</v>
      </c>
    </row>
    <row r="14" customFormat="false" ht="15" hidden="false" customHeight="true" outlineLevel="0" collapsed="false">
      <c r="A14" s="100" t="n">
        <v>109</v>
      </c>
      <c r="B14" s="101" t="str">
        <f aca="false">נתונים_שטוחים!A14</f>
        <v>חנויות פרטיות</v>
      </c>
      <c r="C14" s="102" t="str">
        <f aca="false">נתונים_שטוחים!B14</f>
        <v>ישראל</v>
      </c>
      <c r="D14" s="103" t="n">
        <f aca="false">SUMIFS(נתונים_שטוחים!C14:N14,נתונים_שטוחים!$C$3:$N$3,"&lt;="&amp;$F$2)</f>
        <v>92204.35</v>
      </c>
      <c r="E14" s="103" t="n">
        <f aca="false">SUMIFS(נתונים_שטוחים!O14:Z14,נתונים_שטוחים!$O$3:$Z$3,"&lt;="&amp;$F$2)</f>
        <v>57359.72</v>
      </c>
      <c r="F14" s="103" t="n">
        <f aca="false">SUMIFS(נתונים_שטוחים!AA14:AL14,נתונים_שטוחים!$AA$3:$AL$3,"&lt;="&amp;$F$2)</f>
        <v>47356.38</v>
      </c>
      <c r="G14" s="104" t="n">
        <f aca="false">IFERROR(F14/E14-1,"-")</f>
        <v>-0.174396597472931</v>
      </c>
      <c r="H14" s="103" t="n">
        <f aca="false">F14-E14</f>
        <v>-10003.34</v>
      </c>
      <c r="I14" s="103" t="n">
        <f aca="false">IFERROR(INDEX('תקציב  '!$A:$AW,MATCH($B14,'תקציב  '!$C:$C,0),INDEX(נתונים_שטוחים!$AP$2:$AP$13,$F$2)),"-")</f>
        <v>100000</v>
      </c>
      <c r="J14" s="104" t="n">
        <f aca="false">IFERROR(F14/I14-1,"-")</f>
        <v>-0.5264362</v>
      </c>
      <c r="K14" s="103" t="n">
        <f aca="false">IFERROR(F14-I14,"-")</f>
        <v>-52643.62</v>
      </c>
      <c r="L14" s="103" t="n">
        <f aca="false">IF($F$2&lt;7,"-",IFERROR(INDEX('תקציב  '!$A:$AW,MATCH($B14,'תקציב  '!$C:$C,0),INDEX(נתונים_שטוחים!$AQ$2:$AQ$13,$F$2)),"-"))</f>
        <v>94015.41</v>
      </c>
      <c r="M14" s="104" t="n">
        <f aca="false">IF($F$2&lt;7,"-",IFERROR(F14/L14-1,"-"))</f>
        <v>-0.496291299479522</v>
      </c>
      <c r="N14" s="103" t="n">
        <f aca="false">IF($F$2&lt;7,"-",IFERROR(F14-L14,"-"))</f>
        <v>-46659.03</v>
      </c>
    </row>
    <row r="15" customFormat="false" ht="15" hidden="false" customHeight="true" outlineLevel="0" collapsed="false">
      <c r="A15" s="100" t="n">
        <v>105</v>
      </c>
      <c r="B15" s="101" t="str">
        <f aca="false">נתונים_שטוחים!A15</f>
        <v>מכוני פדיקור</v>
      </c>
      <c r="C15" s="102" t="str">
        <f aca="false">נתונים_שטוחים!B15</f>
        <v>ישראל</v>
      </c>
      <c r="D15" s="103" t="n">
        <f aca="false">SUMIFS(נתונים_שטוחים!C15:N15,נתונים_שטוחים!$C$3:$N$3,"&lt;="&amp;$F$2)</f>
        <v>3230.5</v>
      </c>
      <c r="E15" s="103" t="n">
        <f aca="false">SUMIFS(נתונים_שטוחים!O15:Z15,נתונים_שטוחים!$O$3:$Z$3,"&lt;="&amp;$F$2)</f>
        <v>4145.68</v>
      </c>
      <c r="F15" s="103" t="n">
        <f aca="false">SUMIFS(נתונים_שטוחים!AA15:AL15,נתונים_שטוחים!$AA$3:$AL$3,"&lt;="&amp;$F$2)</f>
        <v>4305.02</v>
      </c>
      <c r="G15" s="104" t="n">
        <f aca="false">IFERROR(F15/E15-1,"-")</f>
        <v>0.0384351903668396</v>
      </c>
      <c r="H15" s="103" t="n">
        <f aca="false">F15-E15</f>
        <v>159.34</v>
      </c>
      <c r="I15" s="103" t="n">
        <f aca="false">IFERROR(INDEX('תקציב  '!$A:$AW,MATCH($B15,'תקציב  '!$C:$C,0),INDEX(נתונים_שטוחים!$AP$2:$AP$13,$F$2)),"-")</f>
        <v>0</v>
      </c>
      <c r="J15" s="104" t="str">
        <f aca="false">IFERROR(F15/I15-1,"-")</f>
        <v>-</v>
      </c>
      <c r="K15" s="103" t="n">
        <f aca="false">IFERROR(F15-I15,"-")</f>
        <v>4305.02</v>
      </c>
      <c r="L15" s="103" t="n">
        <f aca="false">IF($F$2&lt;7,"-",IFERROR(INDEX('תקציב  '!$A:$AW,MATCH($B15,'תקציב  '!$C:$C,0),INDEX(נתונים_שטוחים!$AQ$2:$AQ$13,$F$2)),"-"))</f>
        <v>33576.15</v>
      </c>
      <c r="M15" s="104" t="n">
        <f aca="false">IF($F$2&lt;7,"-",IFERROR(F15/L15-1,"-"))</f>
        <v>-0.871783393867373</v>
      </c>
      <c r="N15" s="103" t="n">
        <f aca="false">IF($F$2&lt;7,"-",IFERROR(F15-L15,"-"))</f>
        <v>-29271.13</v>
      </c>
    </row>
    <row r="16" customFormat="false" ht="15" hidden="false" customHeight="true" outlineLevel="0" collapsed="false">
      <c r="A16" s="100" t="n">
        <v>104</v>
      </c>
      <c r="B16" s="101" t="str">
        <f aca="false">נתונים_שטוחים!A16</f>
        <v>חנויות נעליים</v>
      </c>
      <c r="C16" s="102" t="str">
        <f aca="false">נתונים_שטוחים!B16</f>
        <v>ישראל</v>
      </c>
      <c r="D16" s="103" t="n">
        <f aca="false">SUMIFS(נתונים_שטוחים!C16:N16,נתונים_שטוחים!$C$3:$N$3,"&lt;="&amp;$F$2)</f>
        <v>1583.18</v>
      </c>
      <c r="E16" s="103" t="n">
        <f aca="false">SUMIFS(נתונים_שטוחים!O16:Z16,נתונים_שטוחים!$O$3:$Z$3,"&lt;="&amp;$F$2)</f>
        <v>514.2</v>
      </c>
      <c r="F16" s="103" t="n">
        <f aca="false">SUMIFS(נתונים_שטוחים!AA16:AL16,נתונים_שטוחים!$AA$3:$AL$3,"&lt;="&amp;$F$2)</f>
        <v>1896.82</v>
      </c>
      <c r="G16" s="104" t="n">
        <f aca="false">IFERROR(F16/E16-1,"-")</f>
        <v>2.68887592376507</v>
      </c>
      <c r="H16" s="103" t="n">
        <f aca="false">F16-E16</f>
        <v>1382.62</v>
      </c>
      <c r="I16" s="103" t="n">
        <f aca="false">IFERROR(INDEX('תקציב  '!$A:$AW,MATCH($B16,'תקציב  '!$C:$C,0),INDEX(נתונים_שטוחים!$AP$2:$AP$13,$F$2)),"-")</f>
        <v>25000</v>
      </c>
      <c r="J16" s="104" t="n">
        <f aca="false">IFERROR(F16/I16-1,"-")</f>
        <v>-0.9241272</v>
      </c>
      <c r="K16" s="103" t="n">
        <f aca="false">IFERROR(F16-I16,"-")</f>
        <v>-23103.18</v>
      </c>
      <c r="L16" s="103" t="n">
        <f aca="false">IF($F$2&lt;7,"-",IFERROR(INDEX('תקציב  '!$A:$AW,MATCH($B16,'תקציב  '!$C:$C,0),INDEX(נתונים_שטוחים!$AQ$2:$AQ$13,$F$2)),"-"))</f>
        <v>31896.82</v>
      </c>
      <c r="M16" s="104" t="n">
        <f aca="false">IF($F$2&lt;7,"-",IFERROR(F16/L16-1,"-"))</f>
        <v>-0.940532629898529</v>
      </c>
      <c r="N16" s="103" t="n">
        <f aca="false">IF($F$2&lt;7,"-",IFERROR(F16-L16,"-"))</f>
        <v>-30000</v>
      </c>
    </row>
    <row r="17" customFormat="false" ht="15" hidden="false" customHeight="true" outlineLevel="0" collapsed="false">
      <c r="A17" s="100" t="n">
        <v>106</v>
      </c>
      <c r="B17" s="101" t="str">
        <f aca="false">נתונים_שטוחים!A17</f>
        <v>בתי חולים ושרות</v>
      </c>
      <c r="C17" s="102" t="str">
        <f aca="false">נתונים_שטוחים!B17</f>
        <v>ישראל</v>
      </c>
      <c r="D17" s="103" t="n">
        <f aca="false">SUMIFS(נתונים_שטוחים!C17:N17,נתונים_שטוחים!$C$3:$N$3,"&lt;="&amp;$F$2)</f>
        <v>9577.5</v>
      </c>
      <c r="E17" s="103" t="n">
        <f aca="false">SUMIFS(נתונים_שטוחים!O17:Z17,נתונים_שטוחים!$O$3:$Z$3,"&lt;="&amp;$F$2)</f>
        <v>13532.23</v>
      </c>
      <c r="F17" s="103" t="n">
        <f aca="false">SUMIFS(נתונים_שטוחים!AA17:AL17,נתונים_שטוחים!$AA$3:$AL$3,"&lt;="&amp;$F$2)</f>
        <v>14953.49</v>
      </c>
      <c r="G17" s="104" t="n">
        <f aca="false">IFERROR(F17/E17-1,"-")</f>
        <v>0.105027774431856</v>
      </c>
      <c r="H17" s="103" t="n">
        <f aca="false">F17-E17</f>
        <v>1421.26</v>
      </c>
      <c r="I17" s="103" t="n">
        <f aca="false">IFERROR(INDEX('תקציב  '!$A:$AW,MATCH($B17,'תקציב  '!$C:$C,0),INDEX(נתונים_שטוחים!$AP$2:$AP$13,$F$2)),"-")</f>
        <v>400000</v>
      </c>
      <c r="J17" s="104" t="n">
        <f aca="false">IFERROR(F17/I17-1,"-")</f>
        <v>-0.962616275</v>
      </c>
      <c r="K17" s="103" t="n">
        <f aca="false">IFERROR(F17-I17,"-")</f>
        <v>-385046.51</v>
      </c>
      <c r="L17" s="103" t="n">
        <f aca="false">IF($F$2&lt;7,"-",IFERROR(INDEX('תקציב  '!$A:$AW,MATCH($B17,'תקציב  '!$C:$C,0),INDEX(נתונים_שטוחים!$AQ$2:$AQ$13,$F$2)),"-"))</f>
        <v>37748.72</v>
      </c>
      <c r="M17" s="104" t="n">
        <f aca="false">IF($F$2&lt;7,"-",IFERROR(F17/L17-1,"-"))</f>
        <v>-0.6038676278295</v>
      </c>
      <c r="N17" s="103" t="n">
        <f aca="false">IF($F$2&lt;7,"-",IFERROR(F17-L17,"-"))</f>
        <v>-22795.23</v>
      </c>
    </row>
    <row r="18" customFormat="false" ht="15" hidden="false" customHeight="true" outlineLevel="0" collapsed="false">
      <c r="A18" s="100" t="n">
        <v>103</v>
      </c>
      <c r="B18" s="101" t="str">
        <f aca="false">נתונים_שטוחים!A18</f>
        <v>מכוני פיזיותרפיה</v>
      </c>
      <c r="C18" s="102" t="str">
        <f aca="false">נתונים_שטוחים!B18</f>
        <v>ישראל</v>
      </c>
      <c r="D18" s="103" t="n">
        <f aca="false">SUMIFS(נתונים_שטוחים!C18:N18,נתונים_שטוחים!$C$3:$N$3,"&lt;="&amp;$F$2)</f>
        <v>72915.81</v>
      </c>
      <c r="E18" s="103" t="n">
        <f aca="false">SUMIFS(נתונים_שטוחים!O18:Z18,נתונים_שטוחים!$O$3:$Z$3,"&lt;="&amp;$F$2)</f>
        <v>94701.6</v>
      </c>
      <c r="F18" s="103" t="n">
        <f aca="false">SUMIFS(נתונים_שטוחים!AA18:AL18,נתונים_שטוחים!$AA$3:$AL$3,"&lt;="&amp;$F$2)</f>
        <v>118677.26</v>
      </c>
      <c r="G18" s="104" t="n">
        <f aca="false">IFERROR(F18/E18-1,"-")</f>
        <v>0.253170590570803</v>
      </c>
      <c r="H18" s="103" t="n">
        <f aca="false">F18-E18</f>
        <v>23975.66</v>
      </c>
      <c r="I18" s="103" t="n">
        <f aca="false">IFERROR(INDEX('תקציב  '!$A:$AW,MATCH($B18,'תקציב  '!$C:$C,0),INDEX(נתונים_שטוחים!$AP$2:$AP$13,$F$2)),"-")</f>
        <v>200000</v>
      </c>
      <c r="J18" s="104" t="n">
        <f aca="false">IFERROR(F18/I18-1,"-")</f>
        <v>-0.406613700000001</v>
      </c>
      <c r="K18" s="103" t="n">
        <f aca="false">IFERROR(F18-I18,"-")</f>
        <v>-81322.7400000004</v>
      </c>
      <c r="L18" s="103" t="n">
        <f aca="false">IF($F$2&lt;7,"-",IFERROR(INDEX('תקציב  '!$A:$AW,MATCH($B18,'תקציב  '!$C:$C,0),INDEX(נתונים_שטוחים!$AQ$2:$AQ$13,$F$2)),"-"))</f>
        <v>239111.1</v>
      </c>
      <c r="M18" s="104" t="n">
        <f aca="false">IF($F$2&lt;7,"-",IFERROR(F18/L18-1,"-"))</f>
        <v>-0.503673146081466</v>
      </c>
      <c r="N18" s="103" t="n">
        <f aca="false">IF($F$2&lt;7,"-",IFERROR(F18-L18,"-"))</f>
        <v>-120433.84</v>
      </c>
    </row>
    <row r="19" customFormat="false" ht="15" hidden="false" customHeight="true" outlineLevel="0" collapsed="false">
      <c r="A19" s="105"/>
      <c r="B19" s="106" t="s">
        <v>115</v>
      </c>
      <c r="C19" s="107"/>
      <c r="D19" s="108" t="n">
        <f aca="false">SUM(D5:D18)</f>
        <v>16644964.924</v>
      </c>
      <c r="E19" s="108" t="n">
        <f aca="false">SUM(E5:E18)</f>
        <v>16462691.402</v>
      </c>
      <c r="F19" s="108" t="n">
        <f aca="false">SUM(F5:F18)</f>
        <v>12085665.439</v>
      </c>
      <c r="G19" s="109" t="n">
        <f aca="false">IFERROR(F19/E19-1,"-")</f>
        <v>-0.265875479052488</v>
      </c>
      <c r="H19" s="108" t="n">
        <f aca="false">SUM(H5:H18)</f>
        <v>-4377025.96300004</v>
      </c>
      <c r="I19" s="108" t="n">
        <f aca="false">SUM(I5:I18)</f>
        <v>20641000</v>
      </c>
      <c r="J19" s="109" t="n">
        <f aca="false">IFERROR(F19/I19-1,"-")</f>
        <v>-0.414482561939829</v>
      </c>
      <c r="K19" s="108" t="n">
        <f aca="false">IFERROR(F19-I19,"-")</f>
        <v>-8555334.561</v>
      </c>
      <c r="L19" s="108" t="n">
        <f aca="false">IF($F$2&lt;7,"-",SUMIF(L5:L18,"&lt;&gt;-"))</f>
        <v>17499549.047</v>
      </c>
      <c r="M19" s="109" t="n">
        <f aca="false">IF($F$2&lt;7,"-",IFERROR(F19/L19-1,"-"))</f>
        <v>-0.309372749746835</v>
      </c>
      <c r="N19" s="108" t="n">
        <f aca="false">IF($F$2&lt;7,"-",IFERROR(F19-L19,"-"))</f>
        <v>-5413883.608</v>
      </c>
    </row>
    <row r="20" customFormat="false" ht="15" hidden="false" customHeight="true" outlineLevel="0" collapsed="false">
      <c r="A20" s="100" t="n">
        <v>114</v>
      </c>
      <c r="B20" s="101" t="str">
        <f aca="false">נתונים_שטוחים!A19</f>
        <v>לקוחות אינטרנט</v>
      </c>
      <c r="C20" s="102" t="str">
        <f aca="false">נתונים_שטוחים!B19</f>
        <v>ישראל</v>
      </c>
      <c r="D20" s="103" t="n">
        <f aca="false">SUMIFS(נתונים_שטוחים!C19:N19,נתונים_שטוחים!$C$3:$N$3,"&lt;="&amp;$F$2)</f>
        <v>683558.5</v>
      </c>
      <c r="E20" s="103" t="n">
        <f aca="false">SUMIFS(נתונים_שטוחים!O19:Z19,נתונים_שטוחים!$O$3:$Z$3,"&lt;="&amp;$F$2)</f>
        <v>1656258.29</v>
      </c>
      <c r="F20" s="103" t="n">
        <f aca="false">SUMIFS(נתונים_שטוחים!AA19:AL19,נתונים_שטוחים!$AA$3:$AL$3,"&lt;="&amp;$F$2)</f>
        <v>3428420.07000003</v>
      </c>
      <c r="G20" s="104" t="n">
        <f aca="false">IFERROR(F20/E20-1,"-")</f>
        <v>1.06997911539512</v>
      </c>
      <c r="H20" s="103" t="n">
        <f aca="false">F20-E20</f>
        <v>1772161.78000003</v>
      </c>
      <c r="I20" s="103" t="n">
        <f aca="false">IFERROR(INDEX('תקציב  '!$A:$AW,MATCH($B20,'תקציב  '!$C:$C,0),INDEX(נתונים_שטוחים!$AP$2:$AP$13,$F$2)),"-")</f>
        <v>10788663.559322</v>
      </c>
      <c r="J20" s="104" t="n">
        <f aca="false">IFERROR(F20/I20-1,"-")</f>
        <v>-0.682220133091677</v>
      </c>
      <c r="K20" s="103" t="n">
        <f aca="false">IFERROR(F20-I20,"-")</f>
        <v>-7360243.48932201</v>
      </c>
      <c r="L20" s="103" t="n">
        <f aca="false">IF($F$2&lt;7,"-",IFERROR(INDEX('תקציב  '!$A:$AW,MATCH($B20,'תקציב  '!$C:$C,0),INDEX(נתונים_שטוחים!$AQ$2:$AQ$13,$F$2)),"-"))</f>
        <v>7612717.01355936</v>
      </c>
      <c r="M20" s="104" t="n">
        <f aca="false">IF($F$2&lt;7,"-",IFERROR(F20/L20-1,"-"))</f>
        <v>-0.549645670015907</v>
      </c>
      <c r="N20" s="103" t="n">
        <f aca="false">IF($F$2&lt;7,"-",IFERROR(F20-L20,"-"))</f>
        <v>-4184296.94355933</v>
      </c>
    </row>
    <row r="21" customFormat="false" ht="15" hidden="false" customHeight="true" outlineLevel="0" collapsed="false">
      <c r="A21" s="100" t="n">
        <v>115</v>
      </c>
      <c r="B21" s="101" t="str">
        <f aca="false">נתונים_שטוחים!A20</f>
        <v>סופר פארם מרקט פלייס</v>
      </c>
      <c r="C21" s="102" t="str">
        <f aca="false">נתונים_שטוחים!B20</f>
        <v>ישראל</v>
      </c>
      <c r="D21" s="103" t="n">
        <f aca="false">SUMIFS(נתונים_שטוחים!C20:N20,נתונים_שטוחים!$C$3:$N$3,"&lt;="&amp;$F$2)</f>
        <v>35758.89</v>
      </c>
      <c r="E21" s="103" t="n">
        <f aca="false">SUMIFS(נתונים_שטוחים!O20:Z20,נתונים_שטוחים!$O$3:$Z$3,"&lt;="&amp;$F$2)</f>
        <v>27325.74</v>
      </c>
      <c r="F21" s="103" t="n">
        <f aca="false">SUMIFS(נתונים_שטוחים!AA20:AL20,נתונים_שטוחים!$AA$3:$AL$3,"&lt;="&amp;$F$2)</f>
        <v>13922.68</v>
      </c>
      <c r="G21" s="104" t="n">
        <f aca="false">IFERROR(F21/E21-1,"-")</f>
        <v>-0.490492114760662</v>
      </c>
      <c r="H21" s="103" t="n">
        <f aca="false">F21-E21</f>
        <v>-13403.06</v>
      </c>
      <c r="I21" s="103" t="n">
        <f aca="false">IFERROR(INDEX('תקציב  '!$A:$AW,MATCH($B21,'תקציב  '!$C:$C,0),INDEX(נתונים_שטוחים!$AP$2:$AP$13,$F$2)),"-")</f>
        <v>30443.14</v>
      </c>
      <c r="J21" s="104" t="n">
        <f aca="false">IFERROR(F21/I21-1,"-")</f>
        <v>-0.542666098175155</v>
      </c>
      <c r="K21" s="103" t="n">
        <f aca="false">IFERROR(F21-I21,"-")</f>
        <v>-16520.46</v>
      </c>
      <c r="L21" s="103" t="n">
        <f aca="false">IF($F$2&lt;7,"-",IFERROR(INDEX('תקציב  '!$A:$AW,MATCH($B21,'תקציב  '!$C:$C,0),INDEX(נתונים_שטוחים!$AQ$2:$AQ$13,$F$2)),"-"))</f>
        <v>39807.02</v>
      </c>
      <c r="M21" s="104" t="n">
        <f aca="false">IF($F$2&lt;7,"-",IFERROR(F21/L21-1,"-"))</f>
        <v>-0.650245609945181</v>
      </c>
      <c r="N21" s="103" t="n">
        <f aca="false">IF($F$2&lt;7,"-",IFERROR(F21-L21,"-"))</f>
        <v>-25884.34</v>
      </c>
    </row>
    <row r="22" customFormat="false" ht="15" hidden="false" customHeight="true" outlineLevel="0" collapsed="false">
      <c r="A22" s="105"/>
      <c r="B22" s="106" t="s">
        <v>48</v>
      </c>
      <c r="C22" s="107"/>
      <c r="D22" s="108" t="n">
        <f aca="false">SUM(D5:D18)+SUM(D20:D21)</f>
        <v>17364282.314</v>
      </c>
      <c r="E22" s="108" t="n">
        <f aca="false">SUM(E5:E18)+SUM(E20:E21)</f>
        <v>18146275.432</v>
      </c>
      <c r="F22" s="108" t="n">
        <f aca="false">SUM(F5:F18)+SUM(F20:F21)</f>
        <v>15528008.189</v>
      </c>
      <c r="G22" s="109" t="n">
        <f aca="false">IFERROR(F22/E22-1,"-")</f>
        <v>-0.144286757511838</v>
      </c>
      <c r="H22" s="108" t="n">
        <f aca="false">SUM(H5:H18)+SUM(H20:H21)</f>
        <v>-2618267.24300001</v>
      </c>
      <c r="I22" s="108" t="n">
        <f aca="false">SUM(I5:I18)+SUM(I20:I21)</f>
        <v>31460106.699322</v>
      </c>
      <c r="J22" s="109" t="n">
        <f aca="false">IFERROR(F22/I22-1,"-")</f>
        <v>-0.506422265588354</v>
      </c>
      <c r="K22" s="108" t="n">
        <f aca="false">IFERROR(F22-I22,"-")</f>
        <v>-15932098.510322</v>
      </c>
      <c r="L22" s="108" t="n">
        <f aca="false">IF($F$2&lt;7,"-",SUMIF(L5:L18,"&lt;&gt;-")+SUMIF(L20:L21,"&lt;&gt;-"))</f>
        <v>25152073.0805594</v>
      </c>
      <c r="M22" s="109" t="n">
        <f aca="false">IF($F$2&lt;7,"-",IFERROR(F22/L22-1,"-"))</f>
        <v>-0.382635055994569</v>
      </c>
      <c r="N22" s="108" t="n">
        <f aca="false">IF($F$2&lt;7,"-",IFERROR(F22-L22,"-"))</f>
        <v>-9624064.89155933</v>
      </c>
    </row>
    <row r="23" customFormat="false" ht="15" hidden="false" customHeight="true" outlineLevel="0" collapsed="false">
      <c r="A23" s="100" t="n">
        <v>301</v>
      </c>
      <c r="B23" s="101" t="str">
        <f aca="false">נתונים_שטוחים!A21</f>
        <v>AMAZON</v>
      </c>
      <c r="C23" s="102" t="str">
        <f aca="false">נתונים_שטוחים!B21</f>
        <v>יצוא</v>
      </c>
      <c r="D23" s="103" t="n">
        <f aca="false">SUMIFS(נתונים_שטוחים!C21:N21,נתונים_שטוחים!$C$3:$N$3,"&lt;="&amp;$F$2)</f>
        <v>3501494.53</v>
      </c>
      <c r="E23" s="103" t="n">
        <f aca="false">SUMIFS(נתונים_שטוחים!O21:Z21,נתונים_שטוחים!$O$3:$Z$3,"&lt;="&amp;$F$2)</f>
        <v>2705391.22</v>
      </c>
      <c r="F23" s="103" t="n">
        <f aca="false">SUMIFS(נתונים_שטוחים!AA21:AL21,נתונים_שטוחים!$AA$3:$AL$3,"&lt;="&amp;$F$2)</f>
        <v>1925166.77</v>
      </c>
      <c r="G23" s="104" t="n">
        <f aca="false">IFERROR(F23/E23-1,"-")</f>
        <v>-0.288396164012094</v>
      </c>
      <c r="H23" s="103" t="n">
        <f aca="false">F23-E23</f>
        <v>-780224.45</v>
      </c>
      <c r="I23" s="103" t="n">
        <f aca="false">IFERROR(INDEX('תקציב  '!$A:$AW,MATCH($B23,'תקציב  '!$C:$C,0),INDEX(נתונים_שטוחים!$AP$2:$AP$13,$F$2)),"-")</f>
        <v>4776579.3532875</v>
      </c>
      <c r="J23" s="104" t="n">
        <f aca="false">IFERROR(F23/I23-1,"-")</f>
        <v>-0.59695702141429</v>
      </c>
      <c r="K23" s="103" t="n">
        <f aca="false">IFERROR(F23-I23,"-")</f>
        <v>-2851412.5832875</v>
      </c>
      <c r="L23" s="103" t="n">
        <f aca="false">IF($F$2&lt;7,"-",IFERROR(INDEX('תקציב  '!$A:$AW,MATCH($B23,'תקציב  '!$C:$C,0),INDEX(נתונים_שטוחים!$AQ$2:$AQ$13,$F$2)),"-"))</f>
        <v>3098024.51</v>
      </c>
      <c r="M23" s="104" t="n">
        <f aca="false">IF($F$2&lt;7,"-",IFERROR(F23/L23-1,"-"))</f>
        <v>-0.37858245995607</v>
      </c>
      <c r="N23" s="103" t="n">
        <f aca="false">IF($F$2&lt;7,"-",IFERROR(F23-L23,"-"))</f>
        <v>-1172857.74</v>
      </c>
    </row>
    <row r="24" customFormat="false" ht="15" hidden="false" customHeight="true" outlineLevel="0" collapsed="false">
      <c r="A24" s="100" t="n">
        <v>202</v>
      </c>
      <c r="B24" s="101" t="str">
        <f aca="false">נתונים_שטוחים!A22</f>
        <v>SUPER PHARM POLAND</v>
      </c>
      <c r="C24" s="102" t="str">
        <f aca="false">נתונים_שטוחים!B22</f>
        <v>יצוא</v>
      </c>
      <c r="D24" s="103" t="n">
        <f aca="false">SUMIFS(נתונים_שטוחים!C22:N22,נתונים_שטוחים!$C$3:$N$3,"&lt;="&amp;$F$2)</f>
        <v>879383.45</v>
      </c>
      <c r="E24" s="103" t="n">
        <f aca="false">SUMIFS(נתונים_שטוחים!O22:Z22,נתונים_שטוחים!$O$3:$Z$3,"&lt;="&amp;$F$2)</f>
        <v>902537.64</v>
      </c>
      <c r="F24" s="103" t="n">
        <f aca="false">SUMIFS(נתונים_שטוחים!AA22:AL22,נתונים_שטוחים!$AA$3:$AL$3,"&lt;="&amp;$F$2)</f>
        <v>474182.59</v>
      </c>
      <c r="G24" s="104" t="n">
        <f aca="false">IFERROR(F24/E24-1,"-")</f>
        <v>-0.474611840011459</v>
      </c>
      <c r="H24" s="103" t="n">
        <f aca="false">F24-E24</f>
        <v>-428355.05</v>
      </c>
      <c r="I24" s="103" t="n">
        <f aca="false">IFERROR(INDEX('תקציב  '!$A:$AW,MATCH($B24,'תקציב  '!$C:$C,0),INDEX(נתונים_שטוחים!$AP$2:$AP$13,$F$2)),"-")</f>
        <v>980000</v>
      </c>
      <c r="J24" s="104" t="n">
        <f aca="false">IFERROR(F24/I24-1,"-")</f>
        <v>-0.516140214285714</v>
      </c>
      <c r="K24" s="103" t="n">
        <f aca="false">IFERROR(F24-I24,"-")</f>
        <v>-505817.41</v>
      </c>
      <c r="L24" s="103" t="n">
        <f aca="false">IF($F$2&lt;7,"-",IFERROR(INDEX('תקציב  '!$A:$AW,MATCH($B24,'תקציב  '!$C:$C,0),INDEX(נתונים_שטוחים!$AQ$2:$AQ$13,$F$2)),"-"))</f>
        <v>922081.02</v>
      </c>
      <c r="M24" s="104" t="n">
        <f aca="false">IF($F$2&lt;7,"-",IFERROR(F24/L24-1,"-"))</f>
        <v>-0.485747369574964</v>
      </c>
      <c r="N24" s="103" t="n">
        <f aca="false">IF($F$2&lt;7,"-",IFERROR(F24-L24,"-"))</f>
        <v>-447898.43</v>
      </c>
    </row>
    <row r="25" customFormat="false" ht="15" hidden="false" customHeight="true" outlineLevel="0" collapsed="false">
      <c r="A25" s="100" t="n">
        <v>203</v>
      </c>
      <c r="B25" s="101" t="str">
        <f aca="false">נתונים_שטוחים!A23</f>
        <v>ORTHO- PARTNER AG.</v>
      </c>
      <c r="C25" s="102" t="str">
        <f aca="false">נתונים_שטוחים!B23</f>
        <v>יצוא</v>
      </c>
      <c r="D25" s="103" t="n">
        <f aca="false">SUMIFS(נתונים_שטוחים!C23:N23,נתונים_שטוחים!$C$3:$N$3,"&lt;="&amp;$F$2)</f>
        <v>633752.75</v>
      </c>
      <c r="E25" s="103" t="n">
        <f aca="false">SUMIFS(נתונים_שטוחים!O23:Z23,נתונים_שטוחים!$O$3:$Z$3,"&lt;="&amp;$F$2)</f>
        <v>405920.85</v>
      </c>
      <c r="F25" s="103" t="n">
        <f aca="false">SUMIFS(נתונים_שטוחים!AA23:AL23,נתונים_שטוחים!$AA$3:$AL$3,"&lt;="&amp;$F$2)</f>
        <v>344263.09</v>
      </c>
      <c r="G25" s="104" t="n">
        <f aca="false">IFERROR(F25/E25-1,"-")</f>
        <v>-0.15189601618148</v>
      </c>
      <c r="H25" s="103" t="n">
        <f aca="false">F25-E25</f>
        <v>-61657.7600000001</v>
      </c>
      <c r="I25" s="103" t="n">
        <f aca="false">IFERROR(INDEX('תקציב  '!$A:$AW,MATCH($B25,'תקציב  '!$C:$C,0),INDEX(נתונים_שטוחים!$AP$2:$AP$13,$F$2)),"-")</f>
        <v>650000.27</v>
      </c>
      <c r="J25" s="104" t="n">
        <f aca="false">IFERROR(F25/I25-1,"-")</f>
        <v>-0.470364696925434</v>
      </c>
      <c r="K25" s="103" t="n">
        <f aca="false">IFERROR(F25-I25,"-")</f>
        <v>-305737.18</v>
      </c>
      <c r="L25" s="103" t="n">
        <f aca="false">IF($F$2&lt;7,"-",IFERROR(INDEX('תקציב  '!$A:$AW,MATCH($B25,'תקציב  '!$C:$C,0),INDEX(נתונים_שטוחים!$AQ$2:$AQ$13,$F$2)),"-"))</f>
        <v>613276.52</v>
      </c>
      <c r="M25" s="104" t="n">
        <f aca="false">IF($F$2&lt;7,"-",IFERROR(F25/L25-1,"-"))</f>
        <v>-0.438649485553434</v>
      </c>
      <c r="N25" s="103" t="n">
        <f aca="false">IF($F$2&lt;7,"-",IFERROR(F25-L25,"-"))</f>
        <v>-269013.43</v>
      </c>
    </row>
    <row r="26" customFormat="false" ht="15" hidden="false" customHeight="true" outlineLevel="0" collapsed="false">
      <c r="A26" s="100" t="n">
        <v>204</v>
      </c>
      <c r="B26" s="101" t="str">
        <f aca="false">נתונים_שטוחים!A24</f>
        <v>SANAFLEX ANATOMIC</v>
      </c>
      <c r="C26" s="102" t="str">
        <f aca="false">נתונים_שטוחים!B24</f>
        <v>יצוא</v>
      </c>
      <c r="D26" s="103" t="n">
        <f aca="false">SUMIFS(נתונים_שטוחים!C24:N24,נתונים_שטוחים!$C$3:$N$3,"&lt;="&amp;$F$2)</f>
        <v>489809</v>
      </c>
      <c r="E26" s="103" t="n">
        <f aca="false">SUMIFS(נתונים_שטוחים!O24:Z24,נתונים_שטוחים!$O$3:$Z$3,"&lt;="&amp;$F$2)</f>
        <v>414072.64</v>
      </c>
      <c r="F26" s="103" t="n">
        <f aca="false">SUMIFS(נתונים_שטוחים!AA24:AL24,נתונים_שטוחים!$AA$3:$AL$3,"&lt;="&amp;$F$2)</f>
        <v>358276.36</v>
      </c>
      <c r="G26" s="104" t="n">
        <f aca="false">IFERROR(F26/E26-1,"-")</f>
        <v>-0.13474998010011</v>
      </c>
      <c r="H26" s="103" t="n">
        <f aca="false">F26-E26</f>
        <v>-55796.28</v>
      </c>
      <c r="I26" s="103" t="n">
        <f aca="false">IFERROR(INDEX('תקציב  '!$A:$AW,MATCH($B26,'תקציב  '!$C:$C,0),INDEX(נתונים_שטוחים!$AP$2:$AP$13,$F$2)),"-")</f>
        <v>499999.97</v>
      </c>
      <c r="J26" s="104" t="n">
        <f aca="false">IFERROR(F26/I26-1,"-")</f>
        <v>-0.283447237006834</v>
      </c>
      <c r="K26" s="103" t="n">
        <f aca="false">IFERROR(F26-I26,"-")</f>
        <v>-141723.61</v>
      </c>
      <c r="L26" s="103" t="n">
        <f aca="false">IF($F$2&lt;7,"-",IFERROR(INDEX('תקציב  '!$A:$AW,MATCH($B26,'תקציב  '!$C:$C,0),INDEX(נתונים_שטוחים!$AQ$2:$AQ$13,$F$2)),"-"))</f>
        <v>457053.13</v>
      </c>
      <c r="M26" s="104" t="n">
        <f aca="false">IF($F$2&lt;7,"-",IFERROR(F26/L26-1,"-"))</f>
        <v>-0.216116603336684</v>
      </c>
      <c r="N26" s="103" t="n">
        <f aca="false">IF($F$2&lt;7,"-",IFERROR(F26-L26,"-"))</f>
        <v>-98776.77</v>
      </c>
    </row>
    <row r="27" customFormat="false" ht="15" hidden="false" customHeight="true" outlineLevel="0" collapsed="false">
      <c r="A27" s="100" t="n">
        <v>205</v>
      </c>
      <c r="B27" s="101" t="str">
        <f aca="false">נתונים_שטוחים!A25</f>
        <v>HEALTH CARE PROD. GMBH</v>
      </c>
      <c r="C27" s="102" t="str">
        <f aca="false">נתונים_שטוחים!B25</f>
        <v>יצוא</v>
      </c>
      <c r="D27" s="103" t="n">
        <f aca="false">SUMIFS(נתונים_שטוחים!C25:N25,נתונים_שטוחים!$C$3:$N$3,"&lt;="&amp;$F$2)</f>
        <v>128758.9</v>
      </c>
      <c r="E27" s="103" t="n">
        <f aca="false">SUMIFS(נתונים_שטוחים!O25:Z25,נתונים_שטוחים!$O$3:$Z$3,"&lt;="&amp;$F$2)</f>
        <v>122339</v>
      </c>
      <c r="F27" s="103" t="n">
        <f aca="false">SUMIFS(נתונים_שטוחים!AA25:AL25,נתונים_שטוחים!$AA$3:$AL$3,"&lt;="&amp;$F$2)</f>
        <v>111290.53</v>
      </c>
      <c r="G27" s="104" t="n">
        <f aca="false">IFERROR(F27/E27-1,"-")</f>
        <v>-0.0903102853546294</v>
      </c>
      <c r="H27" s="103" t="n">
        <f aca="false">F27-E27</f>
        <v>-11048.47</v>
      </c>
      <c r="I27" s="103" t="n">
        <f aca="false">IFERROR(INDEX('תקציב  '!$A:$AW,MATCH($B27,'תקציב  '!$C:$C,0),INDEX(נתונים_שטוחים!$AP$2:$AP$13,$F$2)),"-")</f>
        <v>139999.92</v>
      </c>
      <c r="J27" s="104" t="n">
        <f aca="false">IFERROR(F27/I27-1,"-")</f>
        <v>-0.205067188609822</v>
      </c>
      <c r="K27" s="103" t="n">
        <f aca="false">IFERROR(F27-I27,"-")</f>
        <v>-28709.39</v>
      </c>
      <c r="L27" s="103" t="n">
        <f aca="false">IF($F$2&lt;7,"-",IFERROR(INDEX('תקציב  '!$A:$AW,MATCH($B27,'תקציב  '!$C:$C,0),INDEX(נתונים_שטוחים!$AQ$2:$AQ$13,$F$2)),"-"))</f>
        <v>131678.59</v>
      </c>
      <c r="M27" s="104" t="n">
        <f aca="false">IF($F$2&lt;7,"-",IFERROR(F27/L27-1,"-"))</f>
        <v>-0.154832004200531</v>
      </c>
      <c r="N27" s="103" t="n">
        <f aca="false">IF($F$2&lt;7,"-",IFERROR(F27-L27,"-"))</f>
        <v>-20388.06</v>
      </c>
    </row>
    <row r="28" customFormat="false" ht="15" hidden="false" customHeight="true" outlineLevel="0" collapsed="false">
      <c r="A28" s="100" t="n">
        <v>206</v>
      </c>
      <c r="B28" s="101" t="str">
        <f aca="false">נתונים_שטוחים!A26</f>
        <v>ORTHOMED  LTD</v>
      </c>
      <c r="C28" s="102" t="str">
        <f aca="false">נתונים_שטוחים!B26</f>
        <v>יצוא</v>
      </c>
      <c r="D28" s="103" t="n">
        <f aca="false">SUMIFS(נתונים_שטוחים!C26:N26,נתונים_שטוחים!$C$3:$N$3,"&lt;="&amp;$F$2)</f>
        <v>160712.5</v>
      </c>
      <c r="E28" s="103" t="n">
        <f aca="false">SUMIFS(נתונים_שטוחים!O26:Z26,נתונים_שטוחים!$O$3:$Z$3,"&lt;="&amp;$F$2)</f>
        <v>52899.82</v>
      </c>
      <c r="F28" s="103" t="n">
        <f aca="false">SUMIFS(נתונים_שטוחים!AA26:AL26,נתונים_שטוחים!$AA$3:$AL$3,"&lt;="&amp;$F$2)</f>
        <v>0</v>
      </c>
      <c r="G28" s="104" t="n">
        <f aca="false">IFERROR(F28/E28-1,"-")</f>
        <v>-1</v>
      </c>
      <c r="H28" s="103" t="n">
        <f aca="false">F28-E28</f>
        <v>-52899.82</v>
      </c>
      <c r="I28" s="103" t="n">
        <f aca="false">IFERROR(INDEX('תקציב  '!$A:$AW,MATCH($B28,'תקציב  '!$C:$C,0),INDEX(נתונים_שטוחים!$AP$2:$AP$13,$F$2)),"-")</f>
        <v>50000</v>
      </c>
      <c r="J28" s="104" t="n">
        <f aca="false">IFERROR(F28/I28-1,"-")</f>
        <v>-1</v>
      </c>
      <c r="K28" s="103" t="n">
        <f aca="false">IFERROR(F28-I28,"-")</f>
        <v>-50000</v>
      </c>
      <c r="L28" s="103" t="n">
        <f aca="false">IF($F$2&lt;7,"-",IFERROR(INDEX('תקציב  '!$A:$AW,MATCH($B28,'תקציב  '!$C:$C,0),INDEX(נתונים_שטוחים!$AQ$2:$AQ$13,$F$2)),"-"))</f>
        <v>0</v>
      </c>
      <c r="M28" s="104" t="str">
        <f aca="false">IF($F$2&lt;7,"-",IFERROR(F28/L28-1,"-"))</f>
        <v>-</v>
      </c>
      <c r="N28" s="103" t="n">
        <f aca="false">IF($F$2&lt;7,"-",IFERROR(F28-L28,"-"))</f>
        <v>0</v>
      </c>
    </row>
    <row r="29" customFormat="false" ht="15" hidden="false" customHeight="true" outlineLevel="0" collapsed="false">
      <c r="A29" s="100" t="n">
        <v>207</v>
      </c>
      <c r="B29" s="101" t="str">
        <f aca="false">נתונים_שטוחים!A27</f>
        <v>SALUS</v>
      </c>
      <c r="C29" s="102" t="str">
        <f aca="false">נתונים_שטוחים!B27</f>
        <v>יצוא</v>
      </c>
      <c r="D29" s="103" t="n">
        <f aca="false">SUMIFS(נתונים_שטוחים!C27:N27,נתונים_שטוחים!$C$3:$N$3,"&lt;="&amp;$F$2)</f>
        <v>471280.16</v>
      </c>
      <c r="E29" s="103" t="n">
        <f aca="false">SUMIFS(נתונים_שטוחים!O27:Z27,נתונים_שטוחים!$O$3:$Z$3,"&lt;="&amp;$F$2)</f>
        <v>319558.55</v>
      </c>
      <c r="F29" s="103" t="n">
        <f aca="false">SUMIFS(נתונים_שטוחים!AA27:AL27,נתונים_שטוחים!$AA$3:$AL$3,"&lt;="&amp;$F$2)</f>
        <v>365555.25</v>
      </c>
      <c r="G29" s="104" t="n">
        <f aca="false">IFERROR(F29/E29-1,"-")</f>
        <v>0.143938254820595</v>
      </c>
      <c r="H29" s="103" t="n">
        <f aca="false">F29-E29</f>
        <v>45996.7</v>
      </c>
      <c r="I29" s="103" t="n">
        <f aca="false">IFERROR(INDEX('תקציב  '!$A:$AW,MATCH($B29,'תקציב  '!$C:$C,0),INDEX(נתונים_שטוחים!$AP$2:$AP$13,$F$2)),"-")</f>
        <v>450000</v>
      </c>
      <c r="J29" s="104" t="n">
        <f aca="false">IFERROR(F29/I29-1,"-")</f>
        <v>-0.187655</v>
      </c>
      <c r="K29" s="103" t="n">
        <f aca="false">IFERROR(F29-I29,"-")</f>
        <v>-84444.75</v>
      </c>
      <c r="L29" s="103" t="n">
        <f aca="false">IF($F$2&lt;7,"-",IFERROR(INDEX('תקציב  '!$A:$AW,MATCH($B29,'תקציב  '!$C:$C,0),INDEX(נתונים_שטוחים!$AQ$2:$AQ$13,$F$2)),"-"))</f>
        <v>524147.47</v>
      </c>
      <c r="M29" s="104" t="n">
        <f aca="false">IF($F$2&lt;7,"-",IFERROR(F29/L29-1,"-"))</f>
        <v>-0.30257175523522</v>
      </c>
      <c r="N29" s="103" t="n">
        <f aca="false">IF($F$2&lt;7,"-",IFERROR(F29-L29,"-"))</f>
        <v>-158592.22</v>
      </c>
    </row>
    <row r="30" customFormat="false" ht="15" hidden="false" customHeight="true" outlineLevel="0" collapsed="false">
      <c r="A30" s="100" t="n">
        <v>216</v>
      </c>
      <c r="B30" s="101" t="str">
        <f aca="false">נתונים_שטוחים!A28</f>
        <v>MAX KONNARIS LTD</v>
      </c>
      <c r="C30" s="102" t="str">
        <f aca="false">נתונים_שטוחים!B28</f>
        <v>יצוא</v>
      </c>
      <c r="D30" s="103" t="n">
        <f aca="false">SUMIFS(נתונים_שטוחים!C28:N28,נתונים_שטוחים!$C$3:$N$3,"&lt;="&amp;$F$2)</f>
        <v>162967.91</v>
      </c>
      <c r="E30" s="103" t="n">
        <f aca="false">SUMIFS(נתונים_שטוחים!O28:Z28,נתונים_שטוחים!$O$3:$Z$3,"&lt;="&amp;$F$2)</f>
        <v>86855.65</v>
      </c>
      <c r="F30" s="103" t="n">
        <f aca="false">SUMIFS(נתונים_שטוחים!AA28:AL28,נתונים_שטוחים!$AA$3:$AL$3,"&lt;="&amp;$F$2)</f>
        <v>84503.15</v>
      </c>
      <c r="G30" s="104" t="n">
        <f aca="false">IFERROR(F30/E30-1,"-")</f>
        <v>-0.0270851694737188</v>
      </c>
      <c r="H30" s="103" t="n">
        <f aca="false">F30-E30</f>
        <v>-2352.5</v>
      </c>
      <c r="I30" s="103" t="n">
        <f aca="false">IFERROR(INDEX('תקציב  '!$A:$AW,MATCH($B30,'תקציב  '!$C:$C,0),INDEX(נתונים_שטוחים!$AP$2:$AP$13,$F$2)),"-")</f>
        <v>200000</v>
      </c>
      <c r="J30" s="104" t="n">
        <f aca="false">IFERROR(F30/I30-1,"-")</f>
        <v>-0.57748425</v>
      </c>
      <c r="K30" s="103" t="n">
        <f aca="false">IFERROR(F30-I30,"-")</f>
        <v>-115496.85</v>
      </c>
      <c r="L30" s="103" t="n">
        <f aca="false">IF($F$2&lt;7,"-",IFERROR(INDEX('תקציב  '!$A:$AW,MATCH($B30,'תקציב  '!$C:$C,0),INDEX(נתונים_שטוחים!$AQ$2:$AQ$13,$F$2)),"-"))</f>
        <v>100694.01</v>
      </c>
      <c r="M30" s="104" t="n">
        <f aca="false">IF($F$2&lt;7,"-",IFERROR(F30/L30-1,"-"))</f>
        <v>-0.160792682702775</v>
      </c>
      <c r="N30" s="103" t="n">
        <f aca="false">IF($F$2&lt;7,"-",IFERROR(F30-L30,"-"))</f>
        <v>-16190.86</v>
      </c>
    </row>
    <row r="31" customFormat="false" ht="15" hidden="false" customHeight="true" outlineLevel="0" collapsed="false">
      <c r="A31" s="100" t="n">
        <v>208</v>
      </c>
      <c r="B31" s="101" t="str">
        <f aca="false">נתונים_שטוחים!A29</f>
        <v>MEDIPAL COMPANY</v>
      </c>
      <c r="C31" s="102" t="str">
        <f aca="false">נתונים_שטוחים!B29</f>
        <v>יצוא</v>
      </c>
      <c r="D31" s="103" t="n">
        <f aca="false">SUMIFS(נתונים_שטוחים!C29:N29,נתונים_שטוחים!$C$3:$N$3,"&lt;="&amp;$F$2)</f>
        <v>370614.64</v>
      </c>
      <c r="E31" s="103" t="n">
        <f aca="false">SUMIFS(נתונים_שטוחים!O29:Z29,נתונים_שטוחים!$O$3:$Z$3,"&lt;="&amp;$F$2)</f>
        <v>256772.1</v>
      </c>
      <c r="F31" s="103" t="n">
        <f aca="false">SUMIFS(נתונים_שטוחים!AA29:AL29,נתונים_שטוחים!$AA$3:$AL$3,"&lt;="&amp;$F$2)</f>
        <v>0</v>
      </c>
      <c r="G31" s="104" t="n">
        <f aca="false">IFERROR(F31/E31-1,"-")</f>
        <v>-1</v>
      </c>
      <c r="H31" s="103" t="n">
        <f aca="false">F31-E31</f>
        <v>-256772.1</v>
      </c>
      <c r="I31" s="103" t="n">
        <f aca="false">IFERROR(INDEX('תקציב  '!$A:$AW,MATCH($B31,'תקציב  '!$C:$C,0),INDEX(נתונים_שטוחים!$AP$2:$AP$13,$F$2)),"-")</f>
        <v>250000</v>
      </c>
      <c r="J31" s="104" t="n">
        <f aca="false">IFERROR(F31/I31-1,"-")</f>
        <v>-1</v>
      </c>
      <c r="K31" s="103" t="n">
        <f aca="false">IFERROR(F31-I31,"-")</f>
        <v>-250000</v>
      </c>
      <c r="L31" s="103" t="n">
        <f aca="false">IF($F$2&lt;7,"-",IFERROR(INDEX('תקציב  '!$A:$AW,MATCH($B31,'תקציב  '!$C:$C,0),INDEX(נתונים_שטוחים!$AQ$2:$AQ$13,$F$2)),"-"))</f>
        <v>250000</v>
      </c>
      <c r="M31" s="104" t="n">
        <f aca="false">IF($F$2&lt;7,"-",IFERROR(F31/L31-1,"-"))</f>
        <v>-1</v>
      </c>
      <c r="N31" s="103" t="n">
        <f aca="false">IF($F$2&lt;7,"-",IFERROR(F31-L31,"-"))</f>
        <v>-250000</v>
      </c>
    </row>
    <row r="32" customFormat="false" ht="15" hidden="false" customHeight="true" outlineLevel="0" collapsed="false">
      <c r="A32" s="100" t="n">
        <v>209</v>
      </c>
      <c r="B32" s="101" t="str">
        <f aca="false">נתונים_שטוחים!A30</f>
        <v>ORTOPROFIL PROD. ROMANIA</v>
      </c>
      <c r="C32" s="102" t="str">
        <f aca="false">נתונים_שטוחים!B30</f>
        <v>יצוא</v>
      </c>
      <c r="D32" s="103" t="n">
        <f aca="false">SUMIFS(נתונים_שטוחים!C30:N30,נתונים_שטוחים!$C$3:$N$3,"&lt;="&amp;$F$2)</f>
        <v>348874.04</v>
      </c>
      <c r="E32" s="103" t="n">
        <f aca="false">SUMIFS(נתונים_שטוחים!O30:Z30,נתונים_שטוחים!$O$3:$Z$3,"&lt;="&amp;$F$2)</f>
        <v>405953.63</v>
      </c>
      <c r="F32" s="103" t="n">
        <f aca="false">SUMIFS(נתונים_שטוחים!AA30:AL30,נתונים_שטוחים!$AA$3:$AL$3,"&lt;="&amp;$F$2)</f>
        <v>300835.11</v>
      </c>
      <c r="G32" s="104" t="n">
        <f aca="false">IFERROR(F32/E32-1,"-")</f>
        <v>-0.258942185096362</v>
      </c>
      <c r="H32" s="103" t="n">
        <f aca="false">F32-E32</f>
        <v>-105118.52</v>
      </c>
      <c r="I32" s="103" t="n">
        <f aca="false">IFERROR(INDEX('תקציב  '!$A:$AW,MATCH($B32,'תקציב  '!$C:$C,0),INDEX(נתונים_שטוחים!$AP$2:$AP$13,$F$2)),"-")</f>
        <v>450000</v>
      </c>
      <c r="J32" s="104" t="n">
        <f aca="false">IFERROR(F32/I32-1,"-")</f>
        <v>-0.331477533333333</v>
      </c>
      <c r="K32" s="103" t="n">
        <f aca="false">IFERROR(F32-I32,"-")</f>
        <v>-149164.89</v>
      </c>
      <c r="L32" s="103" t="n">
        <f aca="false">IF($F$2&lt;7,"-",IFERROR(INDEX('תקציב  '!$A:$AW,MATCH($B32,'תקציב  '!$C:$C,0),INDEX(נתונים_שטוחים!$AQ$2:$AQ$13,$F$2)),"-"))</f>
        <v>378207.09</v>
      </c>
      <c r="M32" s="104" t="n">
        <f aca="false">IF($F$2&lt;7,"-",IFERROR(F32/L32-1,"-"))</f>
        <v>-0.204575699519541</v>
      </c>
      <c r="N32" s="103" t="n">
        <f aca="false">IF($F$2&lt;7,"-",IFERROR(F32-L32,"-"))</f>
        <v>-77371.98</v>
      </c>
    </row>
    <row r="33" customFormat="false" ht="15" hidden="false" customHeight="true" outlineLevel="0" collapsed="false">
      <c r="A33" s="100" t="n">
        <v>210</v>
      </c>
      <c r="B33" s="101" t="str">
        <f aca="false">נתונים_שטוחים!A31</f>
        <v>OY. EA. AB.</v>
      </c>
      <c r="C33" s="102" t="str">
        <f aca="false">נתונים_שטוחים!B31</f>
        <v>יצוא</v>
      </c>
      <c r="D33" s="103" t="n">
        <f aca="false">SUMIFS(נתונים_שטוחים!C31:N31,נתונים_שטוחים!$C$3:$N$3,"&lt;="&amp;$F$2)</f>
        <v>107690.85</v>
      </c>
      <c r="E33" s="103" t="n">
        <f aca="false">SUMIFS(נתונים_שטוחים!O31:Z31,נתונים_שטוחים!$O$3:$Z$3,"&lt;="&amp;$F$2)</f>
        <v>64554.59</v>
      </c>
      <c r="F33" s="103" t="n">
        <f aca="false">SUMIFS(נתונים_שטוחים!AA31:AL31,נתונים_שטוחים!$AA$3:$AL$3,"&lt;="&amp;$F$2)</f>
        <v>43116.44</v>
      </c>
      <c r="G33" s="104" t="n">
        <f aca="false">IFERROR(F33/E33-1,"-")</f>
        <v>-0.332093349210335</v>
      </c>
      <c r="H33" s="103" t="n">
        <f aca="false">F33-E33</f>
        <v>-21438.15</v>
      </c>
      <c r="I33" s="103" t="n">
        <f aca="false">IFERROR(INDEX('תקציב  '!$A:$AW,MATCH($B33,'תקציב  '!$C:$C,0),INDEX(נתונים_שטוחים!$AP$2:$AP$13,$F$2)),"-")</f>
        <v>70000</v>
      </c>
      <c r="J33" s="104" t="n">
        <f aca="false">IFERROR(F33/I33-1,"-")</f>
        <v>-0.384050857142857</v>
      </c>
      <c r="K33" s="103" t="n">
        <f aca="false">IFERROR(F33-I33,"-")</f>
        <v>-26883.56</v>
      </c>
      <c r="L33" s="103" t="n">
        <f aca="false">IF($F$2&lt;7,"-",IFERROR(INDEX('תקציב  '!$A:$AW,MATCH($B33,'תקציב  '!$C:$C,0),INDEX(נתונים_שטוחים!$AQ$2:$AQ$13,$F$2)),"-"))</f>
        <v>73116.44</v>
      </c>
      <c r="M33" s="104" t="n">
        <f aca="false">IF($F$2&lt;7,"-",IFERROR(F33/L33-1,"-"))</f>
        <v>-0.410304440424069</v>
      </c>
      <c r="N33" s="103" t="n">
        <f aca="false">IF($F$2&lt;7,"-",IFERROR(F33-L33,"-"))</f>
        <v>-30000</v>
      </c>
    </row>
    <row r="34" customFormat="false" ht="15" hidden="false" customHeight="true" outlineLevel="0" collapsed="false">
      <c r="A34" s="100" t="n">
        <v>201</v>
      </c>
      <c r="B34" s="101" t="str">
        <f aca="false">נתונים_שטוחים!A32</f>
        <v>SEVEN GEAR</v>
      </c>
      <c r="C34" s="102" t="str">
        <f aca="false">נתונים_שטוחים!B32</f>
        <v>יצוא</v>
      </c>
      <c r="D34" s="103" t="n">
        <f aca="false">SUMIFS(נתונים_שטוחים!C32:N32,נתונים_שטוחים!$C$3:$N$3,"&lt;="&amp;$F$2)</f>
        <v>41028.36</v>
      </c>
      <c r="E34" s="103" t="n">
        <f aca="false">SUMIFS(נתונים_שטוחים!O32:Z32,נתונים_שטוחים!$O$3:$Z$3,"&lt;="&amp;$F$2)</f>
        <v>60908.2</v>
      </c>
      <c r="F34" s="103" t="n">
        <f aca="false">SUMIFS(נתונים_שטוחים!AA32:AL32,נתונים_שטוחים!$AA$3:$AL$3,"&lt;="&amp;$F$2)</f>
        <v>39400.13</v>
      </c>
      <c r="G34" s="104" t="n">
        <f aca="false">IFERROR(F34/E34-1,"-")</f>
        <v>-0.353122732242949</v>
      </c>
      <c r="H34" s="103" t="n">
        <f aca="false">F34-E34</f>
        <v>-21508.07</v>
      </c>
      <c r="I34" s="103" t="n">
        <f aca="false">IFERROR(INDEX('תקציב  '!$A:$AW,MATCH($B34,'תקציב  '!$C:$C,0),INDEX(נתונים_שטוחים!$AP$2:$AP$13,$F$2)),"-")</f>
        <v>59793</v>
      </c>
      <c r="J34" s="104" t="n">
        <f aca="false">IFERROR(F34/I34-1,"-")</f>
        <v>-0.341057816132323</v>
      </c>
      <c r="K34" s="103" t="n">
        <f aca="false">IFERROR(F34-I34,"-")</f>
        <v>-20392.87</v>
      </c>
      <c r="L34" s="103" t="n">
        <f aca="false">IF($F$2&lt;7,"-",IFERROR(INDEX('תקציב  '!$A:$AW,MATCH($B34,'תקציב  '!$C:$C,0),INDEX(נתונים_שטוחים!$AQ$2:$AQ$13,$F$2)),"-"))</f>
        <v>42809.5</v>
      </c>
      <c r="M34" s="104" t="n">
        <f aca="false">IF($F$2&lt;7,"-",IFERROR(F34/L34-1,"-"))</f>
        <v>-0.0796405003562293</v>
      </c>
      <c r="N34" s="103" t="n">
        <f aca="false">IF($F$2&lt;7,"-",IFERROR(F34-L34,"-"))</f>
        <v>-3409.37</v>
      </c>
    </row>
    <row r="35" customFormat="false" ht="15" hidden="false" customHeight="true" outlineLevel="0" collapsed="false">
      <c r="A35" s="100" t="n">
        <v>211</v>
      </c>
      <c r="B35" s="101" t="str">
        <f aca="false">נתונים_שטוחים!A33</f>
        <v>PHARMAG LACHMAIR GES. MBH</v>
      </c>
      <c r="C35" s="102" t="str">
        <f aca="false">נתונים_שטוחים!B33</f>
        <v>יצוא</v>
      </c>
      <c r="D35" s="103" t="n">
        <f aca="false">SUMIFS(נתונים_שטוחים!C33:N33,נתונים_שטוחים!$C$3:$N$3,"&lt;="&amp;$F$2)</f>
        <v>31722.98</v>
      </c>
      <c r="E35" s="103" t="n">
        <f aca="false">SUMIFS(נתונים_שטוחים!O33:Z33,נתונים_שטוחים!$O$3:$Z$3,"&lt;="&amp;$F$2)</f>
        <v>81786.57</v>
      </c>
      <c r="F35" s="103" t="n">
        <f aca="false">SUMIFS(נתונים_שטוחים!AA33:AL33,נתונים_שטוחים!$AA$3:$AL$3,"&lt;="&amp;$F$2)</f>
        <v>10037.15</v>
      </c>
      <c r="G35" s="104" t="n">
        <f aca="false">IFERROR(F35/E35-1,"-")</f>
        <v>-0.877276305877603</v>
      </c>
      <c r="H35" s="103" t="n">
        <f aca="false">F35-E35</f>
        <v>-71749.42</v>
      </c>
      <c r="I35" s="103" t="n">
        <f aca="false">IFERROR(INDEX('תקציב  '!$A:$AW,MATCH($B35,'תקציב  '!$C:$C,0),INDEX(נתונים_שטוחים!$AP$2:$AP$13,$F$2)),"-")</f>
        <v>85000</v>
      </c>
      <c r="J35" s="104" t="n">
        <f aca="false">IFERROR(F35/I35-1,"-")</f>
        <v>-0.881915882352941</v>
      </c>
      <c r="K35" s="103" t="n">
        <f aca="false">IFERROR(F35-I35,"-")</f>
        <v>-74962.85</v>
      </c>
      <c r="L35" s="103" t="n">
        <f aca="false">IF($F$2&lt;7,"-",IFERROR(INDEX('תקציב  '!$A:$AW,MATCH($B35,'תקציב  '!$C:$C,0),INDEX(נתונים_שטוחים!$AQ$2:$AQ$13,$F$2)),"-"))</f>
        <v>17500</v>
      </c>
      <c r="M35" s="104" t="n">
        <f aca="false">IF($F$2&lt;7,"-",IFERROR(F35/L35-1,"-"))</f>
        <v>-0.426448571428571</v>
      </c>
      <c r="N35" s="103" t="n">
        <f aca="false">IF($F$2&lt;7,"-",IFERROR(F35-L35,"-"))</f>
        <v>-7462.85</v>
      </c>
    </row>
    <row r="36" customFormat="false" ht="15" hidden="false" customHeight="true" outlineLevel="0" collapsed="false">
      <c r="A36" s="100" t="n">
        <v>304</v>
      </c>
      <c r="B36" s="101" t="str">
        <f aca="false">נתונים_שטוחים!A34</f>
        <v>REMEDICARE B.V.</v>
      </c>
      <c r="C36" s="102" t="str">
        <f aca="false">נתונים_שטוחים!B34</f>
        <v>יצוא</v>
      </c>
      <c r="D36" s="103" t="n">
        <f aca="false">SUMIFS(נתונים_שטוחים!C34:N34,נתונים_שטוחים!$C$3:$N$3,"&lt;="&amp;$F$2)</f>
        <v>0</v>
      </c>
      <c r="E36" s="103" t="n">
        <f aca="false">SUMIFS(נתונים_שטוחים!O34:Z34,נתונים_שטוחים!$O$3:$Z$3,"&lt;="&amp;$F$2)</f>
        <v>0</v>
      </c>
      <c r="F36" s="103" t="n">
        <f aca="false">SUMIFS(נתונים_שטוחים!AA34:AL34,נתונים_שטוחים!$AA$3:$AL$3,"&lt;="&amp;$F$2)</f>
        <v>0</v>
      </c>
      <c r="G36" s="104" t="str">
        <f aca="false">IFERROR(F36/E36-1,"-")</f>
        <v>-</v>
      </c>
      <c r="H36" s="103" t="n">
        <f aca="false">F36-E36</f>
        <v>0</v>
      </c>
      <c r="I36" s="103" t="str">
        <f aca="false">IFERROR(INDEX('תקציב  '!$A:$AW,MATCH($B36,'תקציב  '!$C:$C,0),INDEX(נתונים_שטוחים!$AP$2:$AP$13,$F$2)),"-")</f>
        <v>-</v>
      </c>
      <c r="J36" s="104" t="str">
        <f aca="false">IFERROR(F36/I36-1,"-")</f>
        <v>-</v>
      </c>
      <c r="K36" s="103" t="str">
        <f aca="false">IFERROR(F36-I36,"-")</f>
        <v>-</v>
      </c>
      <c r="L36" s="103" t="str">
        <f aca="false">IF($F$2&lt;7,"-",IFERROR(INDEX('תקציב  '!$A:$AW,MATCH($B36,'תקציב  '!$C:$C,0),INDEX(נתונים_שטוחים!$AQ$2:$AQ$13,$F$2)),"-"))</f>
        <v>-</v>
      </c>
      <c r="M36" s="104" t="str">
        <f aca="false">IF($F$2&lt;7,"-",IFERROR(F36/L36-1,"-"))</f>
        <v>-</v>
      </c>
      <c r="N36" s="103" t="str">
        <f aca="false">IF($F$2&lt;7,"-",IFERROR(F36-L36,"-"))</f>
        <v>-</v>
      </c>
    </row>
    <row r="37" customFormat="false" ht="15" hidden="false" customHeight="true" outlineLevel="0" collapsed="false">
      <c r="A37" s="100" t="n">
        <v>213</v>
      </c>
      <c r="B37" s="101" t="str">
        <f aca="false">נתונים_שטוחים!A35</f>
        <v>E.F.M.O.</v>
      </c>
      <c r="C37" s="102" t="str">
        <f aca="false">נתונים_שטוחים!B35</f>
        <v>יצוא</v>
      </c>
      <c r="D37" s="103" t="n">
        <f aca="false">SUMIFS(נתונים_שטוחים!C35:N35,נתונים_שטוחים!$C$3:$N$3,"&lt;="&amp;$F$2)</f>
        <v>35826.78</v>
      </c>
      <c r="E37" s="103" t="n">
        <f aca="false">SUMIFS(נתונים_שטוחים!O35:Z35,נתונים_שטוחים!$O$3:$Z$3,"&lt;="&amp;$F$2)</f>
        <v>39713.57</v>
      </c>
      <c r="F37" s="103" t="n">
        <f aca="false">SUMIFS(נתונים_שטוחים!AA35:AL35,נתונים_שטוחים!$AA$3:$AL$3,"&lt;="&amp;$F$2)</f>
        <v>37142.71</v>
      </c>
      <c r="G37" s="104" t="n">
        <f aca="false">IFERROR(F37/E37-1,"-")</f>
        <v>-0.0647350515201731</v>
      </c>
      <c r="H37" s="103" t="n">
        <f aca="false">F37-E37</f>
        <v>-2570.86</v>
      </c>
      <c r="I37" s="103" t="n">
        <f aca="false">IFERROR(INDEX('תקציב  '!$A:$AW,MATCH($B37,'תקציב  '!$C:$C,0),INDEX(נתונים_שטוחים!$AP$2:$AP$13,$F$2)),"-")</f>
        <v>40000</v>
      </c>
      <c r="J37" s="104" t="n">
        <f aca="false">IFERROR(F37/I37-1,"-")</f>
        <v>-0.07143225</v>
      </c>
      <c r="K37" s="103" t="n">
        <f aca="false">IFERROR(F37-I37,"-")</f>
        <v>-2857.29</v>
      </c>
      <c r="L37" s="103" t="n">
        <f aca="false">IF($F$2&lt;7,"-",IFERROR(INDEX('תקציב  '!$A:$AW,MATCH($B37,'תקציב  '!$C:$C,0),INDEX(נתונים_שטוחים!$AQ$2:$AQ$13,$F$2)),"-"))</f>
        <v>38792.66</v>
      </c>
      <c r="M37" s="104" t="n">
        <f aca="false">IF($F$2&lt;7,"-",IFERROR(F37/L37-1,"-"))</f>
        <v>-0.0425325306385281</v>
      </c>
      <c r="N37" s="103" t="n">
        <f aca="false">IF($F$2&lt;7,"-",IFERROR(F37-L37,"-"))</f>
        <v>-1649.95</v>
      </c>
    </row>
    <row r="38" customFormat="false" ht="15" hidden="false" customHeight="true" outlineLevel="0" collapsed="false">
      <c r="A38" s="100" t="n">
        <v>214</v>
      </c>
      <c r="B38" s="101" t="str">
        <f aca="false">נתונים_שטוחים!A36</f>
        <v>ALFRED GERA</v>
      </c>
      <c r="C38" s="102" t="str">
        <f aca="false">נתונים_שטוחים!B36</f>
        <v>יצוא</v>
      </c>
      <c r="D38" s="103" t="n">
        <f aca="false">SUMIFS(נתונים_שטוחים!C36:N36,נתונים_שטוחים!$C$3:$N$3,"&lt;="&amp;$F$2)</f>
        <v>59175.03</v>
      </c>
      <c r="E38" s="103" t="n">
        <f aca="false">SUMIFS(נתונים_שטוחים!O36:Z36,נתונים_שטוחים!$O$3:$Z$3,"&lt;="&amp;$F$2)</f>
        <v>53863.18</v>
      </c>
      <c r="F38" s="103" t="n">
        <f aca="false">SUMIFS(נתונים_שטוחים!AA36:AL36,נתונים_שטוחים!$AA$3:$AL$3,"&lt;="&amp;$F$2)</f>
        <v>26105.72</v>
      </c>
      <c r="G38" s="104" t="n">
        <f aca="false">IFERROR(F38/E38-1,"-")</f>
        <v>-0.515332737502687</v>
      </c>
      <c r="H38" s="103" t="n">
        <f aca="false">F38-E38</f>
        <v>-27757.46</v>
      </c>
      <c r="I38" s="103" t="n">
        <f aca="false">IFERROR(INDEX('תקציב  '!$A:$AW,MATCH($B38,'תקציב  '!$C:$C,0),INDEX(נתונים_שטוחים!$AP$2:$AP$13,$F$2)),"-")</f>
        <v>80000</v>
      </c>
      <c r="J38" s="104" t="n">
        <f aca="false">IFERROR(F38/I38-1,"-")</f>
        <v>-0.6736785</v>
      </c>
      <c r="K38" s="103" t="n">
        <f aca="false">IFERROR(F38-I38,"-")</f>
        <v>-53894.28</v>
      </c>
      <c r="L38" s="103" t="n">
        <f aca="false">IF($F$2&lt;7,"-",IFERROR(INDEX('תקציב  '!$A:$AW,MATCH($B38,'תקציב  '!$C:$C,0),INDEX(נתונים_שטוחים!$AQ$2:$AQ$13,$F$2)),"-"))</f>
        <v>25000</v>
      </c>
      <c r="M38" s="104" t="n">
        <f aca="false">IF($F$2&lt;7,"-",IFERROR(F38/L38-1,"-"))</f>
        <v>0.0442288</v>
      </c>
      <c r="N38" s="103" t="n">
        <f aca="false">IF($F$2&lt;7,"-",IFERROR(F38-L38,"-"))</f>
        <v>1105.72</v>
      </c>
    </row>
    <row r="39" customFormat="false" ht="15" hidden="false" customHeight="true" outlineLevel="0" collapsed="false">
      <c r="A39" s="100" t="n">
        <v>212</v>
      </c>
      <c r="B39" s="101" t="str">
        <f aca="false">נתונים_שטוחים!A37</f>
        <v>QUADRIFOGLIO MEDICAL</v>
      </c>
      <c r="C39" s="102" t="str">
        <f aca="false">נתונים_שטוחים!B37</f>
        <v>יצוא</v>
      </c>
      <c r="D39" s="103" t="n">
        <f aca="false">SUMIFS(נתונים_שטוחים!C37:N37,נתונים_שטוחים!$C$3:$N$3,"&lt;="&amp;$F$2)</f>
        <v>41531.96</v>
      </c>
      <c r="E39" s="103" t="n">
        <f aca="false">SUMIFS(נתונים_שטוחים!O37:Z37,נתונים_שטוחים!$O$3:$Z$3,"&lt;="&amp;$F$2)</f>
        <v>0</v>
      </c>
      <c r="F39" s="103" t="n">
        <f aca="false">SUMIFS(נתונים_שטוחים!AA37:AL37,נתונים_שטוחים!$AA$3:$AL$3,"&lt;="&amp;$F$2)</f>
        <v>0</v>
      </c>
      <c r="G39" s="104" t="str">
        <f aca="false">IFERROR(F39/E39-1,"-")</f>
        <v>-</v>
      </c>
      <c r="H39" s="103" t="n">
        <f aca="false">F39-E39</f>
        <v>0</v>
      </c>
      <c r="I39" s="103" t="str">
        <f aca="false">IFERROR(INDEX('תקציב  '!$A:$AW,MATCH($B39,'תקציב  '!$C:$C,0),INDEX(נתונים_שטוחים!$AP$2:$AP$13,$F$2)),"-")</f>
        <v>-</v>
      </c>
      <c r="J39" s="104" t="str">
        <f aca="false">IFERROR(F39/I39-1,"-")</f>
        <v>-</v>
      </c>
      <c r="K39" s="103" t="str">
        <f aca="false">IFERROR(F39-I39,"-")</f>
        <v>-</v>
      </c>
      <c r="L39" s="103" t="str">
        <f aca="false">IF($F$2&lt;7,"-",IFERROR(INDEX('תקציב  '!$A:$AW,MATCH($B39,'תקציב  '!$C:$C,0),INDEX(נתונים_שטוחים!$AQ$2:$AQ$13,$F$2)),"-"))</f>
        <v>-</v>
      </c>
      <c r="M39" s="104" t="str">
        <f aca="false">IF($F$2&lt;7,"-",IFERROR(F39/L39-1,"-"))</f>
        <v>-</v>
      </c>
      <c r="N39" s="103" t="str">
        <f aca="false">IF($F$2&lt;7,"-",IFERROR(F39-L39,"-"))</f>
        <v>-</v>
      </c>
    </row>
    <row r="40" customFormat="false" ht="15" hidden="false" customHeight="true" outlineLevel="0" collapsed="false">
      <c r="A40" s="100" t="n">
        <v>215</v>
      </c>
      <c r="B40" s="101" t="str">
        <f aca="false">נתונים_שטוחים!A38</f>
        <v>YOUNG IN HEALTHCARE CO.,</v>
      </c>
      <c r="C40" s="102" t="str">
        <f aca="false">נתונים_שטוחים!B38</f>
        <v>יצוא</v>
      </c>
      <c r="D40" s="103" t="n">
        <f aca="false">SUMIFS(נתונים_שטוחים!C38:N38,נתונים_שטוחים!$C$3:$N$3,"&lt;="&amp;$F$2)</f>
        <v>22310.96</v>
      </c>
      <c r="E40" s="103" t="n">
        <f aca="false">SUMIFS(נתונים_שטוחים!O38:Z38,נתונים_שטוחים!$O$3:$Z$3,"&lt;="&amp;$F$2)</f>
        <v>0</v>
      </c>
      <c r="F40" s="103" t="n">
        <f aca="false">SUMIFS(נתונים_שטוחים!AA38:AL38,נתונים_שטוחים!$AA$3:$AL$3,"&lt;="&amp;$F$2)</f>
        <v>0</v>
      </c>
      <c r="G40" s="104" t="str">
        <f aca="false">IFERROR(F40/E40-1,"-")</f>
        <v>-</v>
      </c>
      <c r="H40" s="103" t="n">
        <f aca="false">F40-E40</f>
        <v>0</v>
      </c>
      <c r="I40" s="103" t="n">
        <f aca="false">IFERROR(INDEX('תקציב  '!$A:$AW,MATCH($B40,'תקציב  '!$C:$C,0),INDEX(נתונים_שטוחים!$AP$2:$AP$13,$F$2)),"-")</f>
        <v>0</v>
      </c>
      <c r="J40" s="104" t="str">
        <f aca="false">IFERROR(F40/I40-1,"-")</f>
        <v>-</v>
      </c>
      <c r="K40" s="103" t="n">
        <f aca="false">IFERROR(F40-I40,"-")</f>
        <v>0</v>
      </c>
      <c r="L40" s="103" t="n">
        <f aca="false">IF($F$2&lt;7,"-",IFERROR(INDEX('תקציב  '!$A:$AW,MATCH($B40,'תקציב  '!$C:$C,0),INDEX(נתונים_שטוחים!$AQ$2:$AQ$13,$F$2)),"-"))</f>
        <v>0</v>
      </c>
      <c r="M40" s="104" t="str">
        <f aca="false">IF($F$2&lt;7,"-",IFERROR(F40/L40-1,"-"))</f>
        <v>-</v>
      </c>
      <c r="N40" s="103" t="n">
        <f aca="false">IF($F$2&lt;7,"-",IFERROR(F40-L40,"-"))</f>
        <v>0</v>
      </c>
    </row>
    <row r="41" customFormat="false" ht="15" hidden="false" customHeight="true" outlineLevel="0" collapsed="false">
      <c r="A41" s="100" t="n">
        <v>217</v>
      </c>
      <c r="B41" s="101" t="str">
        <f aca="false">נתונים_שטוחים!A39</f>
        <v>HANS</v>
      </c>
      <c r="C41" s="102" t="str">
        <f aca="false">נתונים_שטוחים!B39</f>
        <v>יצוא</v>
      </c>
      <c r="D41" s="103" t="n">
        <f aca="false">SUMIFS(נתונים_שטוחים!C39:N39,נתונים_שטוחים!$C$3:$N$3,"&lt;="&amp;$F$2)</f>
        <v>161574.82</v>
      </c>
      <c r="E41" s="103" t="n">
        <f aca="false">SUMIFS(נתונים_שטוחים!O39:Z39,נתונים_שטוחים!$O$3:$Z$3,"&lt;="&amp;$F$2)</f>
        <v>248.59</v>
      </c>
      <c r="F41" s="103" t="n">
        <f aca="false">SUMIFS(נתונים_שטוחים!AA39:AL39,נתונים_שטוחים!$AA$3:$AL$3,"&lt;="&amp;$F$2)</f>
        <v>0</v>
      </c>
      <c r="G41" s="104" t="n">
        <f aca="false">IFERROR(F41/E41-1,"-")</f>
        <v>-1</v>
      </c>
      <c r="H41" s="103" t="n">
        <f aca="false">F41-E41</f>
        <v>-248.59</v>
      </c>
      <c r="I41" s="103" t="n">
        <f aca="false">IFERROR(INDEX('תקציב  '!$A:$AW,MATCH($B41,'תקציב  '!$C:$C,0),INDEX(נתונים_שטוחים!$AP$2:$AP$13,$F$2)),"-")</f>
        <v>600000</v>
      </c>
      <c r="J41" s="104" t="n">
        <f aca="false">IFERROR(F41/I41-1,"-")</f>
        <v>-1</v>
      </c>
      <c r="K41" s="103" t="n">
        <f aca="false">IFERROR(F41-I41,"-")</f>
        <v>-600000</v>
      </c>
      <c r="L41" s="103" t="n">
        <f aca="false">IF($F$2&lt;7,"-",IFERROR(INDEX('תקציב  '!$A:$AW,MATCH($B41,'תקציב  '!$C:$C,0),INDEX(נתונים_שטוחים!$AQ$2:$AQ$13,$F$2)),"-"))</f>
        <v>0</v>
      </c>
      <c r="M41" s="104" t="str">
        <f aca="false">IF($F$2&lt;7,"-",IFERROR(F41/L41-1,"-"))</f>
        <v>-</v>
      </c>
      <c r="N41" s="103" t="n">
        <f aca="false">IF($F$2&lt;7,"-",IFERROR(F41-L41,"-"))</f>
        <v>0</v>
      </c>
    </row>
    <row r="42" customFormat="false" ht="15" hidden="false" customHeight="true" outlineLevel="0" collapsed="false">
      <c r="A42" s="100" t="n">
        <v>303</v>
      </c>
      <c r="B42" s="101" t="str">
        <f aca="false">נתונים_שטוחים!A40</f>
        <v>NEW DISTRIBUTORS</v>
      </c>
      <c r="C42" s="102" t="str">
        <f aca="false">נתונים_שטוחים!B40</f>
        <v>יצוא</v>
      </c>
      <c r="D42" s="103" t="n">
        <f aca="false">SUMIFS(נתונים_שטוחים!C40:N40,נתונים_שטוחים!$C$3:$N$3,"&lt;="&amp;$F$2)</f>
        <v>0</v>
      </c>
      <c r="E42" s="103" t="n">
        <f aca="false">SUMIFS(נתונים_שטוחים!O40:Z40,נתונים_שטוחים!$O$3:$Z$3,"&lt;="&amp;$F$2)</f>
        <v>0</v>
      </c>
      <c r="F42" s="103" t="n">
        <f aca="false">SUMIFS(נתונים_שטוחים!AA40:AL40,נתונים_שטוחים!$AA$3:$AL$3,"&lt;="&amp;$F$2)</f>
        <v>0</v>
      </c>
      <c r="G42" s="104" t="str">
        <f aca="false">IFERROR(F42/E42-1,"-")</f>
        <v>-</v>
      </c>
      <c r="H42" s="103" t="n">
        <f aca="false">F42-E42</f>
        <v>0</v>
      </c>
      <c r="I42" s="103" t="n">
        <f aca="false">IFERROR(INDEX('תקציב  '!$A:$AW,MATCH($B42,'תקציב  '!$C:$C,0),INDEX(נתונים_שטוחים!$AP$2:$AP$13,$F$2)),"-")</f>
        <v>400000</v>
      </c>
      <c r="J42" s="104" t="n">
        <f aca="false">IFERROR(F42/I42-1,"-")</f>
        <v>-1</v>
      </c>
      <c r="K42" s="103" t="n">
        <f aca="false">IFERROR(F42-I42,"-")</f>
        <v>-400000</v>
      </c>
      <c r="L42" s="103" t="n">
        <f aca="false">IF($F$2&lt;7,"-",IFERROR(INDEX('תקציב  '!$A:$AW,MATCH($B42,'תקציב  '!$C:$C,0),INDEX(נתונים_שטוחים!$AQ$2:$AQ$13,$F$2)),"-"))</f>
        <v>100000</v>
      </c>
      <c r="M42" s="104" t="n">
        <f aca="false">IF($F$2&lt;7,"-",IFERROR(F42/L42-1,"-"))</f>
        <v>-1</v>
      </c>
      <c r="N42" s="103" t="n">
        <f aca="false">IF($F$2&lt;7,"-",IFERROR(F42-L42,"-"))</f>
        <v>-100000</v>
      </c>
    </row>
    <row r="43" customFormat="false" ht="15" hidden="false" customHeight="true" outlineLevel="0" collapsed="false">
      <c r="A43" s="100" t="n">
        <v>305</v>
      </c>
      <c r="B43" s="101" t="str">
        <f aca="false">נתונים_שטוחים!A41</f>
        <v>BAKU</v>
      </c>
      <c r="C43" s="102" t="str">
        <f aca="false">נתונים_שטוחים!B41</f>
        <v>יצוא</v>
      </c>
      <c r="D43" s="103" t="n">
        <f aca="false">SUMIFS(נתונים_שטוחים!C41:N41,נתונים_שטוחים!$C$3:$N$3,"&lt;="&amp;$F$2)</f>
        <v>0</v>
      </c>
      <c r="E43" s="103" t="n">
        <f aca="false">SUMIFS(נתונים_שטוחים!O41:Z41,נתונים_שטוחים!$O$3:$Z$3,"&lt;="&amp;$F$2)</f>
        <v>0</v>
      </c>
      <c r="F43" s="103" t="n">
        <f aca="false">SUMIFS(נתונים_שטוחים!AA41:AL41,נתונים_שטוחים!$AA$3:$AL$3,"&lt;="&amp;$F$2)</f>
        <v>0</v>
      </c>
      <c r="G43" s="104" t="str">
        <f aca="false">IFERROR(F43/E43-1,"-")</f>
        <v>-</v>
      </c>
      <c r="H43" s="103" t="n">
        <f aca="false">F43-E43</f>
        <v>0</v>
      </c>
      <c r="I43" s="103" t="str">
        <f aca="false">IFERROR(INDEX('תקציב  '!$A:$AW,MATCH($B43,'תקציב  '!$C:$C,0),INDEX(נתונים_שטוחים!$AP$2:$AP$13,$F$2)),"-")</f>
        <v>-</v>
      </c>
      <c r="J43" s="104" t="str">
        <f aca="false">IFERROR(F43/I43-1,"-")</f>
        <v>-</v>
      </c>
      <c r="K43" s="103" t="str">
        <f aca="false">IFERROR(F43-I43,"-")</f>
        <v>-</v>
      </c>
      <c r="L43" s="103" t="str">
        <f aca="false">IF($F$2&lt;7,"-",IFERROR(INDEX('תקציב  '!$A:$AW,MATCH($B43,'תקציב  '!$C:$C,0),INDEX(נתונים_שטוחים!$AQ$2:$AQ$13,$F$2)),"-"))</f>
        <v>-</v>
      </c>
      <c r="M43" s="104" t="str">
        <f aca="false">IF($F$2&lt;7,"-",IFERROR(F43/L43-1,"-"))</f>
        <v>-</v>
      </c>
      <c r="N43" s="103" t="str">
        <f aca="false">IF($F$2&lt;7,"-",IFERROR(F43-L43,"-"))</f>
        <v>-</v>
      </c>
    </row>
    <row r="44" customFormat="false" ht="15" hidden="false" customHeight="true" outlineLevel="0" collapsed="false">
      <c r="A44" s="100" t="n">
        <v>302</v>
      </c>
      <c r="B44" s="101" t="str">
        <f aca="false">נתונים_שטוחים!A42</f>
        <v>MEXICO</v>
      </c>
      <c r="C44" s="102" t="str">
        <f aca="false">נתונים_שטוחים!B42</f>
        <v>יצוא</v>
      </c>
      <c r="D44" s="103" t="n">
        <f aca="false">SUMIFS(נתונים_שטוחים!C42:N42,נתונים_שטוחים!$C$3:$N$3,"&lt;="&amp;$F$2)</f>
        <v>0</v>
      </c>
      <c r="E44" s="103" t="n">
        <f aca="false">SUMIFS(נתונים_שטוחים!O42:Z42,נתונים_שטוחים!$O$3:$Z$3,"&lt;="&amp;$F$2)</f>
        <v>0</v>
      </c>
      <c r="F44" s="103" t="n">
        <f aca="false">SUMIFS(נתונים_שטוחים!AA42:AL42,נתונים_שטוחים!$AA$3:$AL$3,"&lt;="&amp;$F$2)</f>
        <v>0</v>
      </c>
      <c r="G44" s="104" t="str">
        <f aca="false">IFERROR(F44/E44-1,"-")</f>
        <v>-</v>
      </c>
      <c r="H44" s="103" t="n">
        <f aca="false">F44-E44</f>
        <v>0</v>
      </c>
      <c r="I44" s="103" t="str">
        <f aca="false">IFERROR(INDEX('תקציב  '!$A:$AW,MATCH($B44,'תקציב  '!$C:$C,0),INDEX(נתונים_שטוחים!$AP$2:$AP$13,$F$2)),"-")</f>
        <v>-</v>
      </c>
      <c r="J44" s="104" t="str">
        <f aca="false">IFERROR(F44/I44-1,"-")</f>
        <v>-</v>
      </c>
      <c r="K44" s="103" t="str">
        <f aca="false">IFERROR(F44-I44,"-")</f>
        <v>-</v>
      </c>
      <c r="L44" s="103" t="str">
        <f aca="false">IF($F$2&lt;7,"-",IFERROR(INDEX('תקציב  '!$A:$AW,MATCH($B44,'תקציב  '!$C:$C,0),INDEX(נתונים_שטוחים!$AQ$2:$AQ$13,$F$2)),"-"))</f>
        <v>-</v>
      </c>
      <c r="M44" s="104" t="str">
        <f aca="false">IF($F$2&lt;7,"-",IFERROR(F44/L44-1,"-"))</f>
        <v>-</v>
      </c>
      <c r="N44" s="103" t="str">
        <f aca="false">IF($F$2&lt;7,"-",IFERROR(F44-L44,"-"))</f>
        <v>-</v>
      </c>
    </row>
    <row r="45" customFormat="false" ht="15" hidden="false" customHeight="true" outlineLevel="0" collapsed="false">
      <c r="A45" s="105"/>
      <c r="B45" s="106" t="s">
        <v>98</v>
      </c>
      <c r="C45" s="107"/>
      <c r="D45" s="108" t="n">
        <f aca="false">SUM(D23:D44)</f>
        <v>7648509.62</v>
      </c>
      <c r="E45" s="108" t="n">
        <f aca="false">SUM(E23:E44)</f>
        <v>5973375.8</v>
      </c>
      <c r="F45" s="108" t="n">
        <f aca="false">SUM(F23:F44)</f>
        <v>4119875</v>
      </c>
      <c r="G45" s="109" t="n">
        <f aca="false">IFERROR(F45/E45-1,"-")</f>
        <v>-0.310293686862963</v>
      </c>
      <c r="H45" s="108" t="n">
        <f aca="false">SUM(H23:H44)</f>
        <v>-1853500.8</v>
      </c>
      <c r="I45" s="108" t="n">
        <f aca="false">SUM(I23:I44)</f>
        <v>9781372.5132875</v>
      </c>
      <c r="J45" s="109" t="n">
        <f aca="false">IFERROR(F45/I45-1,"-")</f>
        <v>-0.578803997659494</v>
      </c>
      <c r="K45" s="108" t="n">
        <f aca="false">IFERROR(F45-I45,"-")</f>
        <v>-5661497.5132875</v>
      </c>
      <c r="L45" s="108" t="n">
        <f aca="false">IF($F$2&lt;7,"-",SUMIF(L23:L44,"&lt;&gt;-"))</f>
        <v>6772380.94</v>
      </c>
      <c r="M45" s="109" t="n">
        <f aca="false">IF($F$2&lt;7,"-",IFERROR(F45/L45-1,"-"))</f>
        <v>-0.391665200687899</v>
      </c>
      <c r="N45" s="108" t="n">
        <f aca="false">IF($F$2&lt;7,"-",IFERROR(F45-L45,"-"))</f>
        <v>-2652505.94</v>
      </c>
    </row>
    <row r="46" customFormat="false" ht="15" hidden="false" customHeight="true" outlineLevel="0" collapsed="false">
      <c r="A46" s="110"/>
      <c r="B46" s="111" t="s">
        <v>116</v>
      </c>
      <c r="C46" s="112"/>
      <c r="D46" s="113" t="n">
        <f aca="false">SUM(D5:D18)+SUM(D20:D21)+SUM(D23:D44)</f>
        <v>25012791.934</v>
      </c>
      <c r="E46" s="113" t="n">
        <f aca="false">SUM(E5:E18)+SUM(E20:E21)+SUM(E23:E44)</f>
        <v>24119651.232</v>
      </c>
      <c r="F46" s="113" t="n">
        <f aca="false">SUM(F5:F18)+SUM(F20:F21)+SUM(F23:F44)</f>
        <v>19647883.189</v>
      </c>
      <c r="G46" s="114" t="n">
        <f aca="false">IFERROR(F46/E46-1,"-")</f>
        <v>-0.185399365852655</v>
      </c>
      <c r="H46" s="113" t="n">
        <f aca="false">SUM(H5:H18)+SUM(H20:H21)+SUM(H23:H44)</f>
        <v>-4471768.04300001</v>
      </c>
      <c r="I46" s="113" t="n">
        <f aca="false">SUM(I5:I18)+SUM(I20:I21)+SUM(I23:I44)</f>
        <v>41241479.2126095</v>
      </c>
      <c r="J46" s="114" t="n">
        <f aca="false">IFERROR(F46/I46-1,"-")</f>
        <v>-0.523589270702184</v>
      </c>
      <c r="K46" s="113" t="n">
        <f aca="false">IFERROR(F46-I46,"-")</f>
        <v>-21593596.0236095</v>
      </c>
      <c r="L46" s="113" t="n">
        <f aca="false">IF($F$2&lt;7,"-",SUMIF(L5:L18,"&lt;&gt;-")+SUMIF(L20:L21,"&lt;&gt;-")+SUMIF(L23:L44,"&lt;&gt;-"))</f>
        <v>31924454.0205594</v>
      </c>
      <c r="M46" s="114" t="n">
        <f aca="false">IF($F$2&lt;7,"-",IFERROR(F46/L46-1,"-"))</f>
        <v>-0.384550690315744</v>
      </c>
      <c r="N46" s="113" t="n">
        <f aca="false">IF($F$2&lt;7,"-",IFERROR(F46-L46,"-"))</f>
        <v>-12276570.8315593</v>
      </c>
    </row>
    <row r="47" customFormat="false" ht="15" hidden="false" customHeight="true" outlineLevel="0" collapsed="false">
      <c r="A47" s="115"/>
      <c r="B47" s="92" t="s">
        <v>117</v>
      </c>
      <c r="D47" s="116" t="n">
        <f aca="false">D45/D46</f>
        <v>0.305783922090015</v>
      </c>
      <c r="E47" s="116" t="n">
        <f aca="false">E45/E46</f>
        <v>0.247655977383081</v>
      </c>
      <c r="F47" s="116" t="n">
        <f aca="false">F45/F46</f>
        <v>0.209685438394022</v>
      </c>
    </row>
  </sheetData>
  <mergeCells count="1">
    <mergeCell ref="A1:N1"/>
  </mergeCells>
  <dataValidations count="1">
    <dataValidation allowBlank="false" error="בחר חודש מהרשימה" errorStyle="stop" operator="between" prompt="בחר חודש (ינואר עד דצמבר)" showDropDown="false" showErrorMessage="false" showInputMessage="false" sqref="D2" type="list">
      <formula1>"ינואר,פברואר,מרץ,אפריל,מאי,יוני,יולי,אוגוסט,ספטמבר,אוקטובר,נובמבר,דצמבר"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34" activeCellId="0" sqref="B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9.87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10.38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2" min="12" style="1" width="9.87"/>
    <col collapsed="false" customWidth="true" hidden="false" outlineLevel="0" max="13" min="13" style="1" width="11"/>
    <col collapsed="false" customWidth="true" hidden="false" outlineLevel="0" max="14" min="14" style="1" width="14"/>
  </cols>
  <sheetData>
    <row r="1" customFormat="false" ht="16.5" hidden="false" customHeight="true" outlineLevel="0" collapsed="false">
      <c r="A1" s="91" t="s">
        <v>118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customFormat="false" ht="15" hidden="false" customHeight="true" outlineLevel="0" collapsed="false">
      <c r="B2" s="95" t="s">
        <v>119</v>
      </c>
      <c r="D2" s="93" t="s">
        <v>120</v>
      </c>
      <c r="E2" s="94" t="s">
        <v>121</v>
      </c>
      <c r="F2" s="94" t="n">
        <f aca="false">VALUE(MID($D$2,2,1))</f>
        <v>4</v>
      </c>
      <c r="G2" s="95" t="s">
        <v>104</v>
      </c>
      <c r="H2" s="96" t="n">
        <v>46296</v>
      </c>
    </row>
    <row r="3" customFormat="false" ht="15" hidden="false" customHeight="true" outlineLevel="0" collapsed="false">
      <c r="B3" s="117"/>
    </row>
    <row r="4" customFormat="false" ht="15" hidden="false" customHeight="true" outlineLevel="0" collapsed="false">
      <c r="A4" s="98" t="s">
        <v>105</v>
      </c>
      <c r="B4" s="98" t="s">
        <v>106</v>
      </c>
      <c r="C4" s="98" t="s">
        <v>107</v>
      </c>
      <c r="D4" s="98" t="s">
        <v>122</v>
      </c>
      <c r="E4" s="98" t="s">
        <v>123</v>
      </c>
      <c r="F4" s="98" t="s">
        <v>124</v>
      </c>
      <c r="G4" s="98" t="s">
        <v>108</v>
      </c>
      <c r="H4" s="98" t="s">
        <v>109</v>
      </c>
      <c r="I4" s="98" t="s">
        <v>125</v>
      </c>
      <c r="J4" s="98" t="s">
        <v>111</v>
      </c>
      <c r="K4" s="98" t="s">
        <v>112</v>
      </c>
      <c r="L4" s="98" t="s">
        <v>126</v>
      </c>
      <c r="M4" s="98" t="s">
        <v>113</v>
      </c>
      <c r="N4" s="98" t="s">
        <v>114</v>
      </c>
    </row>
    <row r="5" customFormat="false" ht="15" hidden="false" customHeight="true" outlineLevel="0" collapsed="false">
      <c r="A5" s="100" t="n">
        <v>111</v>
      </c>
      <c r="B5" s="102" t="str">
        <f aca="false">נתונים_שטוחים!A5</f>
        <v>סופר פארם לייף</v>
      </c>
      <c r="C5" s="102" t="str">
        <f aca="false">נתונים_שטוחים!B5</f>
        <v>ישראל</v>
      </c>
      <c r="D5" s="103" t="n">
        <f aca="false">SUMIFS(נתונים_שטוחים!C5:N5,נתונים_שטוחים!$C$4:$N$4,$F$2)</f>
        <v>501891.94</v>
      </c>
      <c r="E5" s="103" t="n">
        <f aca="false">SUMIFS(נתונים_שטוחים!O5:Z5,נתונים_שטוחים!$O$4:$Z$4,$F$2)</f>
        <v>397235.16</v>
      </c>
      <c r="F5" s="103" t="n">
        <f aca="false">SUMIFS(נתונים_שטוחים!AA5:AL5,נתונים_שטוחים!$AA$4:$AL$4,$F$2)</f>
        <v>0</v>
      </c>
      <c r="G5" s="104" t="n">
        <f aca="false">IFERROR(F5/E5-1,"-")</f>
        <v>-1</v>
      </c>
      <c r="H5" s="103" t="n">
        <f aca="false">F5-E5</f>
        <v>-397235.16</v>
      </c>
      <c r="I5" s="103" t="n">
        <f aca="false">IFERROR(INDEX('תקציב  '!$A:$P,MATCH($B5,'תקציב  '!$C:$C,0),5+3*($F$2-1))+INDEX('תקציב  '!$A:$P,MATCH($B5,'תקציב  '!$C:$C,0),6+3*($F$2-1))+INDEX('תקציב  '!$A:$P,MATCH($B5,'תקציב  '!$C:$C,0),7+3*($F$2-1)),"-")</f>
        <v>705238.095238096</v>
      </c>
      <c r="J5" s="104" t="n">
        <f aca="false">IFERROR(F5/I5-1,"-")</f>
        <v>-1</v>
      </c>
      <c r="K5" s="103" t="n">
        <f aca="false">IFERROR(F5-I5,"-")</f>
        <v>-705238.095238096</v>
      </c>
      <c r="L5" s="103" t="n">
        <f aca="false">IF($F$2&lt;3,"-",IFERROR(INDEX('תקציב  '!$A:$AN,MATCH($B5,'תקציב  '!$C:$C,0),35+3*($F$2-3))+INDEX('תקציב  '!$A:$AN,MATCH($B5,'תקציב  '!$C:$C,0),36+3*($F$2-3))+INDEX('תקציב  '!$A:$AN,MATCH($B5,'תקציב  '!$C:$C,0),37+3*($F$2-3)),"-"))</f>
        <v>600000</v>
      </c>
      <c r="M5" s="104" t="n">
        <f aca="false">IF($F$2&lt;3,"-",IFERROR(F5/L5-1,"-"))</f>
        <v>-1</v>
      </c>
      <c r="N5" s="103" t="n">
        <f aca="false">IF($F$2&lt;3,"-",IFERROR(F5-L5,"-"))</f>
        <v>-600000</v>
      </c>
    </row>
    <row r="6" customFormat="false" ht="15" hidden="false" customHeight="true" outlineLevel="0" collapsed="false">
      <c r="A6" s="100" t="n">
        <v>1</v>
      </c>
      <c r="B6" s="102" t="str">
        <f aca="false">נתונים_שטוחים!A6</f>
        <v>סופרפארם</v>
      </c>
      <c r="C6" s="102" t="str">
        <f aca="false">נתונים_שטוחים!B6</f>
        <v>ישראל</v>
      </c>
      <c r="D6" s="103" t="n">
        <f aca="false">SUMIFS(נתונים_שטוחים!C6:N6,נתונים_שטוחים!$C$4:$N$4,$F$2)</f>
        <v>1256467.849</v>
      </c>
      <c r="E6" s="103" t="n">
        <f aca="false">SUMIFS(נתונים_שטוחים!O6:Z6,נתונים_שטוחים!$O$4:$Z$4,$F$2)</f>
        <v>1377947.48</v>
      </c>
      <c r="F6" s="103" t="n">
        <f aca="false">SUMIFS(נתונים_שטוחים!AA6:AL6,נתונים_שטוחים!$AA$4:$AL$4,$F$2)</f>
        <v>57325.268</v>
      </c>
      <c r="G6" s="104" t="n">
        <f aca="false">IFERROR(F6/E6-1,"-")</f>
        <v>-0.958398074794549</v>
      </c>
      <c r="H6" s="103" t="n">
        <f aca="false">F6-E6</f>
        <v>-1320622.212</v>
      </c>
      <c r="I6" s="103" t="n">
        <f aca="false">IFERROR(INDEX('תקציב  '!$A:$P,MATCH($B6,'תקציב  '!$C:$C,0),5+3*($F$2-1))+INDEX('תקציב  '!$A:$P,MATCH($B6,'תקציב  '!$C:$C,0),6+3*($F$2-1))+INDEX('תקציב  '!$A:$P,MATCH($B6,'תקציב  '!$C:$C,0),7+3*($F$2-1)),"-")</f>
        <v>1720095.23809524</v>
      </c>
      <c r="J6" s="104" t="n">
        <f aca="false">IFERROR(F6/I6-1,"-")</f>
        <v>-0.966673201151653</v>
      </c>
      <c r="K6" s="103" t="n">
        <f aca="false">IFERROR(F6-I6,"-")</f>
        <v>-1662769.97009524</v>
      </c>
      <c r="L6" s="103" t="n">
        <f aca="false">IF($F$2&lt;3,"-",IFERROR(INDEX('תקציב  '!$A:$AN,MATCH($B6,'תקציב  '!$C:$C,0),35+3*($F$2-3))+INDEX('תקציב  '!$A:$AN,MATCH($B6,'תקציב  '!$C:$C,0),36+3*($F$2-3))+INDEX('תקציב  '!$A:$AN,MATCH($B6,'תקציב  '!$C:$C,0),37+3*($F$2-3)),"-"))</f>
        <v>1650000</v>
      </c>
      <c r="M6" s="104" t="n">
        <f aca="false">IF($F$2&lt;3,"-",IFERROR(F6/L6-1,"-"))</f>
        <v>-0.965257413333333</v>
      </c>
      <c r="N6" s="103" t="n">
        <f aca="false">IF($F$2&lt;3,"-",IFERROR(F6-L6,"-"))</f>
        <v>-1592674.732</v>
      </c>
    </row>
    <row r="7" customFormat="false" ht="15" hidden="false" customHeight="true" outlineLevel="0" collapsed="false">
      <c r="A7" s="100" t="n">
        <v>2</v>
      </c>
      <c r="B7" s="102" t="str">
        <f aca="false">נתונים_שטוחים!A7</f>
        <v>BE</v>
      </c>
      <c r="C7" s="102" t="str">
        <f aca="false">נתונים_שטוחים!B7</f>
        <v>ישראל</v>
      </c>
      <c r="D7" s="103" t="n">
        <f aca="false">SUMIFS(נתונים_שטוחים!C7:N7,נתונים_שטוחים!$C$4:$N$4,$F$2)</f>
        <v>249549.937</v>
      </c>
      <c r="E7" s="103" t="n">
        <f aca="false">SUMIFS(נתונים_שטוחים!O7:Z7,נתונים_שטוחים!$O$4:$Z$4,$F$2)</f>
        <v>208571.09</v>
      </c>
      <c r="F7" s="103" t="n">
        <f aca="false">SUMIFS(נתונים_שטוחים!AA7:AL7,נתונים_שטוחים!$AA$4:$AL$4,$F$2)</f>
        <v>12263.342</v>
      </c>
      <c r="G7" s="104" t="n">
        <f aca="false">IFERROR(F7/E7-1,"-")</f>
        <v>-0.941203059350172</v>
      </c>
      <c r="H7" s="103" t="n">
        <f aca="false">F7-E7</f>
        <v>-196307.748</v>
      </c>
      <c r="I7" s="103" t="n">
        <f aca="false">IFERROR(INDEX('תקציב  '!$A:$P,MATCH($B7,'תקציב  '!$C:$C,0),5+3*($F$2-1))+INDEX('תקציב  '!$A:$P,MATCH($B7,'תקציב  '!$C:$C,0),6+3*($F$2-1))+INDEX('תקציב  '!$A:$P,MATCH($B7,'תקציב  '!$C:$C,0),7+3*($F$2-1)),"-")</f>
        <v>235714.285714286</v>
      </c>
      <c r="J7" s="104" t="n">
        <f aca="false">IFERROR(F7/I7-1,"-")</f>
        <v>-0.947973700606061</v>
      </c>
      <c r="K7" s="103" t="n">
        <f aca="false">IFERROR(F7-I7,"-")</f>
        <v>-223450.943714286</v>
      </c>
      <c r="L7" s="103" t="n">
        <f aca="false">IF($F$2&lt;3,"-",IFERROR(INDEX('תקציב  '!$A:$AN,MATCH($B7,'תקציב  '!$C:$C,0),35+3*($F$2-3))+INDEX('תקציב  '!$A:$AN,MATCH($B7,'תקציב  '!$C:$C,0),36+3*($F$2-3))+INDEX('תקציב  '!$A:$AN,MATCH($B7,'תקציב  '!$C:$C,0),37+3*($F$2-3)),"-"))</f>
        <v>300000</v>
      </c>
      <c r="M7" s="104" t="n">
        <f aca="false">IF($F$2&lt;3,"-",IFERROR(F7/L7-1,"-"))</f>
        <v>-0.959122193333333</v>
      </c>
      <c r="N7" s="103" t="n">
        <f aca="false">IF($F$2&lt;3,"-",IFERROR(F7-L7,"-"))</f>
        <v>-287736.658</v>
      </c>
    </row>
    <row r="8" customFormat="false" ht="15" hidden="false" customHeight="true" outlineLevel="0" collapsed="false">
      <c r="A8" s="100" t="n">
        <v>3</v>
      </c>
      <c r="B8" s="102" t="str">
        <f aca="false">נתונים_שטוחים!A8</f>
        <v>בתי מרקחת</v>
      </c>
      <c r="C8" s="102" t="str">
        <f aca="false">נתונים_שטוחים!B8</f>
        <v>ישראל</v>
      </c>
      <c r="D8" s="103" t="n">
        <f aca="false">SUMIFS(נתונים_שטוחים!C8:N8,נתונים_שטוחים!$C$4:$N$4,$F$2)</f>
        <v>423029.488</v>
      </c>
      <c r="E8" s="103" t="n">
        <f aca="false">SUMIFS(נתונים_שטוחים!O8:Z8,נתונים_שטוחים!$O$4:$Z$4,$F$2)</f>
        <v>462437.99</v>
      </c>
      <c r="F8" s="103" t="n">
        <f aca="false">SUMIFS(נתונים_שטוחים!AA8:AL8,נתונים_שטוחים!$AA$4:$AL$4,$F$2)</f>
        <v>27439.028</v>
      </c>
      <c r="G8" s="104" t="n">
        <f aca="false">IFERROR(F8/E8-1,"-")</f>
        <v>-0.940664416433434</v>
      </c>
      <c r="H8" s="103" t="n">
        <f aca="false">F8-E8</f>
        <v>-434998.962</v>
      </c>
      <c r="I8" s="103" t="n">
        <f aca="false">IFERROR(INDEX('תקציב  '!$A:$P,MATCH($B8,'תקציב  '!$C:$C,0),5+3*($F$2-1))+INDEX('תקציב  '!$A:$P,MATCH($B8,'תקציב  '!$C:$C,0),6+3*($F$2-1))+INDEX('תקציב  '!$A:$P,MATCH($B8,'תקציב  '!$C:$C,0),7+3*($F$2-1)),"-")</f>
        <v>506619.047619047</v>
      </c>
      <c r="J8" s="104" t="n">
        <f aca="false">IFERROR(F8/I8-1,"-")</f>
        <v>-0.945838933358398</v>
      </c>
      <c r="K8" s="103" t="n">
        <f aca="false">IFERROR(F8-I8,"-")</f>
        <v>-479180.019619047</v>
      </c>
      <c r="L8" s="103" t="n">
        <f aca="false">IF($F$2&lt;3,"-",IFERROR(INDEX('תקציב  '!$A:$AN,MATCH($B8,'תקציב  '!$C:$C,0),35+3*($F$2-3))+INDEX('תקציב  '!$A:$AN,MATCH($B8,'תקציב  '!$C:$C,0),36+3*($F$2-3))+INDEX('תקציב  '!$A:$AN,MATCH($B8,'תקציב  '!$C:$C,0),37+3*($F$2-3)),"-"))</f>
        <v>600000</v>
      </c>
      <c r="M8" s="104" t="n">
        <f aca="false">IF($F$2&lt;3,"-",IFERROR(F8/L8-1,"-"))</f>
        <v>-0.954268286666667</v>
      </c>
      <c r="N8" s="103" t="n">
        <f aca="false">IF($F$2&lt;3,"-",IFERROR(F8-L8,"-"))</f>
        <v>-572560.972</v>
      </c>
    </row>
    <row r="9" customFormat="false" ht="15" hidden="false" customHeight="true" outlineLevel="0" collapsed="false">
      <c r="A9" s="100" t="n">
        <v>112</v>
      </c>
      <c r="B9" s="102" t="str">
        <f aca="false">נתונים_שטוחים!A9</f>
        <v>כללית</v>
      </c>
      <c r="C9" s="102" t="str">
        <f aca="false">נתונים_שטוחים!B9</f>
        <v>ישראל</v>
      </c>
      <c r="D9" s="103" t="n">
        <f aca="false">SUMIFS(נתונים_שטוחים!C9:N9,נתונים_שטוחים!$C$4:$N$4,$F$2)</f>
        <v>988830.3</v>
      </c>
      <c r="E9" s="103" t="n">
        <f aca="false">SUMIFS(נתונים_שטוחים!O9:Z9,נתונים_שטוחים!$O$4:$Z$4,$F$2)</f>
        <v>860724.67</v>
      </c>
      <c r="F9" s="103" t="n">
        <f aca="false">SUMIFS(נתונים_שטוחים!AA9:AL9,נתונים_שטוחים!$AA$4:$AL$4,$F$2)</f>
        <v>65849.9</v>
      </c>
      <c r="G9" s="104" t="n">
        <f aca="false">IFERROR(F9/E9-1,"-")</f>
        <v>-0.923494815130604</v>
      </c>
      <c r="H9" s="103" t="n">
        <f aca="false">F9-E9</f>
        <v>-794874.77</v>
      </c>
      <c r="I9" s="103" t="n">
        <f aca="false">IFERROR(INDEX('תקציב  '!$A:$P,MATCH($B9,'תקציב  '!$C:$C,0),5+3*($F$2-1))+INDEX('תקציב  '!$A:$P,MATCH($B9,'תקציב  '!$C:$C,0),6+3*($F$2-1))+INDEX('תקציב  '!$A:$P,MATCH($B9,'תקציב  '!$C:$C,0),7+3*($F$2-1)),"-")</f>
        <v>1096000</v>
      </c>
      <c r="J9" s="104" t="n">
        <f aca="false">IFERROR(F9/I9-1,"-")</f>
        <v>-0.939917974452555</v>
      </c>
      <c r="K9" s="103" t="n">
        <f aca="false">IFERROR(F9-I9,"-")</f>
        <v>-1030150.1</v>
      </c>
      <c r="L9" s="103" t="n">
        <f aca="false">IF($F$2&lt;3,"-",IFERROR(INDEX('תקציב  '!$A:$AN,MATCH($B9,'תקציב  '!$C:$C,0),35+3*($F$2-3))+INDEX('תקציב  '!$A:$AN,MATCH($B9,'תקציב  '!$C:$C,0),36+3*($F$2-3))+INDEX('תקציב  '!$A:$AN,MATCH($B9,'תקציב  '!$C:$C,0),37+3*($F$2-3)),"-"))</f>
        <v>990000</v>
      </c>
      <c r="M9" s="104" t="n">
        <f aca="false">IF($F$2&lt;3,"-",IFERROR(F9/L9-1,"-"))</f>
        <v>-0.93348494949495</v>
      </c>
      <c r="N9" s="103" t="n">
        <f aca="false">IF($F$2&lt;3,"-",IFERROR(F9-L9,"-"))</f>
        <v>-924150.1</v>
      </c>
    </row>
    <row r="10" customFormat="false" ht="15" hidden="false" customHeight="true" outlineLevel="0" collapsed="false">
      <c r="A10" s="100" t="n">
        <v>113</v>
      </c>
      <c r="B10" s="102" t="str">
        <f aca="false">נתונים_שטוחים!A10</f>
        <v>מאוחדת</v>
      </c>
      <c r="C10" s="102" t="str">
        <f aca="false">נתונים_שטוחים!B10</f>
        <v>ישראל</v>
      </c>
      <c r="D10" s="103" t="n">
        <f aca="false">SUMIFS(נתונים_שטוחים!C10:N10,נתונים_שטוחים!$C$4:$N$4,$F$2)</f>
        <v>175743.18</v>
      </c>
      <c r="E10" s="103" t="n">
        <f aca="false">SUMIFS(נתונים_שטוחים!O10:Z10,נתונים_שטוחים!$O$4:$Z$4,$F$2)</f>
        <v>198828.06</v>
      </c>
      <c r="F10" s="103" t="n">
        <f aca="false">SUMIFS(נתונים_שטוחים!AA10:AL10,נתונים_שטוחים!$AA$4:$AL$4,$F$2)</f>
        <v>8841.378</v>
      </c>
      <c r="G10" s="104" t="n">
        <f aca="false">IFERROR(F10/E10-1,"-")</f>
        <v>-0.95553254404836</v>
      </c>
      <c r="H10" s="103" t="n">
        <f aca="false">F10-E10</f>
        <v>-189986.682</v>
      </c>
      <c r="I10" s="103" t="n">
        <f aca="false">IFERROR(INDEX('תקציב  '!$A:$P,MATCH($B10,'תקציב  '!$C:$C,0),5+3*($F$2-1))+INDEX('תקציב  '!$A:$P,MATCH($B10,'תקציב  '!$C:$C,0),6+3*($F$2-1))+INDEX('תקציב  '!$A:$P,MATCH($B10,'תקציב  '!$C:$C,0),7+3*($F$2-1)),"-")</f>
        <v>301904.761904761</v>
      </c>
      <c r="J10" s="104" t="n">
        <f aca="false">IFERROR(F10/I10-1,"-")</f>
        <v>-0.970714678548896</v>
      </c>
      <c r="K10" s="103" t="n">
        <f aca="false">IFERROR(F10-I10,"-")</f>
        <v>-293063.383904761</v>
      </c>
      <c r="L10" s="103" t="n">
        <f aca="false">IF($F$2&lt;3,"-",IFERROR(INDEX('תקציב  '!$A:$AN,MATCH($B10,'תקציב  '!$C:$C,0),35+3*($F$2-3))+INDEX('תקציב  '!$A:$AN,MATCH($B10,'תקציב  '!$C:$C,0),36+3*($F$2-3))+INDEX('תקציב  '!$A:$AN,MATCH($B10,'תקציב  '!$C:$C,0),37+3*($F$2-3)),"-"))</f>
        <v>300000</v>
      </c>
      <c r="M10" s="104" t="n">
        <f aca="false">IF($F$2&lt;3,"-",IFERROR(F10/L10-1,"-"))</f>
        <v>-0.97052874</v>
      </c>
      <c r="N10" s="103" t="n">
        <f aca="false">IF($F$2&lt;3,"-",IFERROR(F10-L10,"-"))</f>
        <v>-291158.622</v>
      </c>
    </row>
    <row r="11" customFormat="false" ht="15" hidden="false" customHeight="true" outlineLevel="0" collapsed="false">
      <c r="A11" s="100" t="n">
        <v>4</v>
      </c>
      <c r="B11" s="102" t="str">
        <f aca="false">נתונים_שטוחים!A11</f>
        <v>מכבי</v>
      </c>
      <c r="C11" s="102" t="str">
        <f aca="false">נתונים_שטוחים!B11</f>
        <v>ישראל</v>
      </c>
      <c r="D11" s="103" t="n">
        <f aca="false">SUMIFS(נתונים_שטוחים!C11:N11,נתונים_שטוחים!$C$4:$N$4,$F$2)</f>
        <v>0</v>
      </c>
      <c r="E11" s="103" t="n">
        <f aca="false">SUMIFS(נתונים_שטוחים!O11:Z11,נתונים_שטוחים!$O$4:$Z$4,$F$2)</f>
        <v>0</v>
      </c>
      <c r="F11" s="103" t="n">
        <f aca="false">SUMIFS(נתונים_שטוחים!AA11:AL11,נתונים_שטוחים!$AA$4:$AL$4,$F$2)</f>
        <v>0</v>
      </c>
      <c r="G11" s="104" t="str">
        <f aca="false">IFERROR(F11/E11-1,"-")</f>
        <v>-</v>
      </c>
      <c r="H11" s="103" t="n">
        <f aca="false">F11-E11</f>
        <v>0</v>
      </c>
      <c r="I11" s="103" t="str">
        <f aca="false">IFERROR(INDEX('תקציב  '!$A:$P,MATCH($B11,'תקציב  '!$C:$C,0),5+3*($F$2-1))+INDEX('תקציב  '!$A:$P,MATCH($B11,'תקציב  '!$C:$C,0),6+3*($F$2-1))+INDEX('תקציב  '!$A:$P,MATCH($B11,'תקציב  '!$C:$C,0),7+3*($F$2-1)),"-")</f>
        <v>-</v>
      </c>
      <c r="J11" s="104" t="str">
        <f aca="false">IFERROR(F11/I11-1,"-")</f>
        <v>-</v>
      </c>
      <c r="K11" s="103" t="str">
        <f aca="false">IFERROR(F11-I11,"-")</f>
        <v>-</v>
      </c>
      <c r="L11" s="103" t="str">
        <f aca="false">IF($F$2&lt;3,"-",IFERROR(INDEX('תקציב  '!$A:$AN,MATCH($B11,'תקציב  '!$C:$C,0),35+3*($F$2-3))+INDEX('תקציב  '!$A:$AN,MATCH($B11,'תקציב  '!$C:$C,0),36+3*($F$2-3))+INDEX('תקציב  '!$A:$AN,MATCH($B11,'תקציב  '!$C:$C,0),37+3*($F$2-3)),"-"))</f>
        <v>-</v>
      </c>
      <c r="M11" s="104" t="str">
        <f aca="false">IF($F$2&lt;3,"-",IFERROR(F11/L11-1,"-"))</f>
        <v>-</v>
      </c>
      <c r="N11" s="103" t="str">
        <f aca="false">IF($F$2&lt;3,"-",IFERROR(F11-L11,"-"))</f>
        <v>-</v>
      </c>
    </row>
    <row r="12" customFormat="false" ht="15" hidden="false" customHeight="true" outlineLevel="0" collapsed="false">
      <c r="A12" s="100" t="n">
        <v>102</v>
      </c>
      <c r="B12" s="102" t="str">
        <f aca="false">נתונים_שטוחים!A12</f>
        <v>מכוני אורטופדיה</v>
      </c>
      <c r="C12" s="102" t="str">
        <f aca="false">נתונים_שטוחים!B12</f>
        <v>ישראל</v>
      </c>
      <c r="D12" s="103" t="n">
        <f aca="false">SUMIFS(נתונים_שטוחים!C12:N12,נתונים_שטוחים!$C$4:$N$4,$F$2)</f>
        <v>184800.08</v>
      </c>
      <c r="E12" s="103" t="n">
        <f aca="false">SUMIFS(נתונים_שטוחים!O12:Z12,נתונים_שטוחים!$O$4:$Z$4,$F$2)</f>
        <v>223581.68</v>
      </c>
      <c r="F12" s="103" t="n">
        <f aca="false">SUMIFS(נתונים_שטוחים!AA12:AL12,נתונים_שטוחים!$AA$4:$AL$4,$F$2)</f>
        <v>12737.86</v>
      </c>
      <c r="G12" s="104" t="n">
        <f aca="false">IFERROR(F12/E12-1,"-")</f>
        <v>-0.943028158657722</v>
      </c>
      <c r="H12" s="103" t="n">
        <f aca="false">F12-E12</f>
        <v>-210843.82</v>
      </c>
      <c r="I12" s="103" t="n">
        <f aca="false">IFERROR(INDEX('תקציב  '!$A:$P,MATCH($B12,'תקציב  '!$C:$C,0),5+3*($F$2-1))+INDEX('תקציב  '!$A:$P,MATCH($B12,'תקציב  '!$C:$C,0),6+3*($F$2-1))+INDEX('תקציב  '!$A:$P,MATCH($B12,'תקציב  '!$C:$C,0),7+3*($F$2-1)),"-")</f>
        <v>528261.904761905</v>
      </c>
      <c r="J12" s="104" t="n">
        <f aca="false">IFERROR(F12/I12-1,"-")</f>
        <v>-0.975887225852977</v>
      </c>
      <c r="K12" s="103" t="n">
        <f aca="false">IFERROR(F12-I12,"-")</f>
        <v>-515524.044761905</v>
      </c>
      <c r="L12" s="103" t="n">
        <f aca="false">IF($F$2&lt;3,"-",IFERROR(INDEX('תקציב  '!$A:$AN,MATCH($B12,'תקציב  '!$C:$C,0),35+3*($F$2-3))+INDEX('תקציב  '!$A:$AN,MATCH($B12,'תקציב  '!$C:$C,0),36+3*($F$2-3))+INDEX('תקציב  '!$A:$AN,MATCH($B12,'תקציב  '!$C:$C,0),37+3*($F$2-3)),"-"))</f>
        <v>300000</v>
      </c>
      <c r="M12" s="104" t="n">
        <f aca="false">IF($F$2&lt;3,"-",IFERROR(F12/L12-1,"-"))</f>
        <v>-0.957540466666667</v>
      </c>
      <c r="N12" s="103" t="n">
        <f aca="false">IF($F$2&lt;3,"-",IFERROR(F12-L12,"-"))</f>
        <v>-287262.14</v>
      </c>
    </row>
    <row r="13" customFormat="false" ht="15" hidden="false" customHeight="true" outlineLevel="0" collapsed="false">
      <c r="A13" s="100" t="n">
        <v>101</v>
      </c>
      <c r="B13" s="102" t="str">
        <f aca="false">נתונים_שטוחים!A13</f>
        <v>לקוחות מפעל</v>
      </c>
      <c r="C13" s="102" t="str">
        <f aca="false">נתונים_שטוחים!B13</f>
        <v>ישראל</v>
      </c>
      <c r="D13" s="103" t="n">
        <f aca="false">SUMIFS(נתונים_שטוחים!C13:N13,נתונים_שטוחים!$C$4:$N$4,$F$2)</f>
        <v>38609.45</v>
      </c>
      <c r="E13" s="103" t="n">
        <f aca="false">SUMIFS(נתונים_שטוחים!O13:Z13,נתונים_שטוחים!$O$4:$Z$4,$F$2)</f>
        <v>48810.03</v>
      </c>
      <c r="F13" s="103" t="n">
        <f aca="false">SUMIFS(נתונים_שטוחים!AA13:AL13,נתונים_שטוחים!$AA$4:$AL$4,$F$2)</f>
        <v>7706.35</v>
      </c>
      <c r="G13" s="104" t="n">
        <f aca="false">IFERROR(F13/E13-1,"-")</f>
        <v>-0.842115442256438</v>
      </c>
      <c r="H13" s="103" t="n">
        <f aca="false">F13-E13</f>
        <v>-41103.68</v>
      </c>
      <c r="I13" s="103" t="n">
        <f aca="false">IFERROR(INDEX('תקציב  '!$A:$P,MATCH($B13,'תקציב  '!$C:$C,0),5+3*($F$2-1))+INDEX('תקציב  '!$A:$P,MATCH($B13,'תקציב  '!$C:$C,0),6+3*($F$2-1))+INDEX('תקציב  '!$A:$P,MATCH($B13,'תקציב  '!$C:$C,0),7+3*($F$2-1)),"-")</f>
        <v>49761.9047619047</v>
      </c>
      <c r="J13" s="104" t="n">
        <f aca="false">IFERROR(F13/I13-1,"-")</f>
        <v>-0.845135550239234</v>
      </c>
      <c r="K13" s="103" t="n">
        <f aca="false">IFERROR(F13-I13,"-")</f>
        <v>-42055.5547619047</v>
      </c>
      <c r="L13" s="103" t="n">
        <f aca="false">IF($F$2&lt;3,"-",IFERROR(INDEX('תקציב  '!$A:$AN,MATCH($B13,'תקציב  '!$C:$C,0),35+3*($F$2-3))+INDEX('תקציב  '!$A:$AN,MATCH($B13,'תקציב  '!$C:$C,0),36+3*($F$2-3))+INDEX('תקציב  '!$A:$AN,MATCH($B13,'תקציב  '!$C:$C,0),37+3*($F$2-3)),"-"))</f>
        <v>45000</v>
      </c>
      <c r="M13" s="104" t="n">
        <f aca="false">IF($F$2&lt;3,"-",IFERROR(F13/L13-1,"-"))</f>
        <v>-0.828747777777778</v>
      </c>
      <c r="N13" s="103" t="n">
        <f aca="false">IF($F$2&lt;3,"-",IFERROR(F13-L13,"-"))</f>
        <v>-37293.65</v>
      </c>
    </row>
    <row r="14" customFormat="false" ht="15" hidden="false" customHeight="true" outlineLevel="0" collapsed="false">
      <c r="A14" s="100" t="n">
        <v>109</v>
      </c>
      <c r="B14" s="102" t="str">
        <f aca="false">נתונים_שטוחים!A14</f>
        <v>חנויות פרטיות</v>
      </c>
      <c r="C14" s="102" t="str">
        <f aca="false">נתונים_שטוחים!B14</f>
        <v>ישראל</v>
      </c>
      <c r="D14" s="103" t="n">
        <f aca="false">SUMIFS(נתונים_שטוחים!C14:N14,נתונים_שטוחים!$C$4:$N$4,$F$2)</f>
        <v>39179.29</v>
      </c>
      <c r="E14" s="103" t="n">
        <f aca="false">SUMIFS(נתונים_שטוחים!O14:Z14,נתונים_שטוחים!$O$4:$Z$4,$F$2)</f>
        <v>11043.34</v>
      </c>
      <c r="F14" s="103" t="n">
        <f aca="false">SUMIFS(נתונים_שטוחים!AA14:AL14,נתונים_שטוחים!$AA$4:$AL$4,$F$2)</f>
        <v>2342.42</v>
      </c>
      <c r="G14" s="104" t="n">
        <f aca="false">IFERROR(F14/E14-1,"-")</f>
        <v>-0.787888446792365</v>
      </c>
      <c r="H14" s="103" t="n">
        <f aca="false">F14-E14</f>
        <v>-8700.92</v>
      </c>
      <c r="I14" s="103" t="n">
        <f aca="false">IFERROR(INDEX('תקציב  '!$A:$P,MATCH($B14,'תקציב  '!$C:$C,0),5+3*($F$2-1))+INDEX('תקציב  '!$A:$P,MATCH($B14,'תקציב  '!$C:$C,0),6+3*($F$2-1))+INDEX('תקציב  '!$A:$P,MATCH($B14,'תקציב  '!$C:$C,0),7+3*($F$2-1)),"-")</f>
        <v>27190.4761904762</v>
      </c>
      <c r="J14" s="104" t="n">
        <f aca="false">IFERROR(F14/I14-1,"-")</f>
        <v>-0.913851453590193</v>
      </c>
      <c r="K14" s="103" t="n">
        <f aca="false">IFERROR(F14-I14,"-")</f>
        <v>-24848.0561904762</v>
      </c>
      <c r="L14" s="103" t="n">
        <f aca="false">IF($F$2&lt;3,"-",IFERROR(INDEX('תקציב  '!$A:$AN,MATCH($B14,'תקציב  '!$C:$C,0),35+3*($F$2-3))+INDEX('תקציב  '!$A:$AN,MATCH($B14,'תקציב  '!$C:$C,0),36+3*($F$2-3))+INDEX('תקציב  '!$A:$AN,MATCH($B14,'תקציב  '!$C:$C,0),37+3*($F$2-3)),"-"))</f>
        <v>30000</v>
      </c>
      <c r="M14" s="104" t="n">
        <f aca="false">IF($F$2&lt;3,"-",IFERROR(F14/L14-1,"-"))</f>
        <v>-0.921919333333333</v>
      </c>
      <c r="N14" s="103" t="n">
        <f aca="false">IF($F$2&lt;3,"-",IFERROR(F14-L14,"-"))</f>
        <v>-27657.58</v>
      </c>
    </row>
    <row r="15" customFormat="false" ht="15" hidden="false" customHeight="true" outlineLevel="0" collapsed="false">
      <c r="A15" s="100" t="n">
        <v>105</v>
      </c>
      <c r="B15" s="102" t="str">
        <f aca="false">נתונים_שטוחים!A15</f>
        <v>מכוני פדיקור</v>
      </c>
      <c r="C15" s="102" t="str">
        <f aca="false">נתונים_שטוחים!B15</f>
        <v>ישראל</v>
      </c>
      <c r="D15" s="103" t="n">
        <f aca="false">SUMIFS(נתונים_שטוחים!C15:N15,נתונים_שטוחים!$C$4:$N$4,$F$2)</f>
        <v>850.4</v>
      </c>
      <c r="E15" s="103" t="n">
        <f aca="false">SUMIFS(נתונים_שטוחים!O15:Z15,נתונים_שטוחים!$O$4:$Z$4,$F$2)</f>
        <v>1168.54</v>
      </c>
      <c r="F15" s="103" t="n">
        <f aca="false">SUMIFS(נתונים_שטוחים!AA15:AL15,נתונים_שטוחים!$AA$4:$AL$4,$F$2)</f>
        <v>0</v>
      </c>
      <c r="G15" s="104" t="n">
        <f aca="false">IFERROR(F15/E15-1,"-")</f>
        <v>-1</v>
      </c>
      <c r="H15" s="103" t="n">
        <f aca="false">F15-E15</f>
        <v>-1168.54</v>
      </c>
      <c r="I15" s="103" t="n">
        <f aca="false">IFERROR(INDEX('תקציב  '!$A:$P,MATCH($B15,'תקציב  '!$C:$C,0),5+3*($F$2-1))+INDEX('תקציב  '!$A:$P,MATCH($B15,'תקציב  '!$C:$C,0),6+3*($F$2-1))+INDEX('תקציב  '!$A:$P,MATCH($B15,'תקציב  '!$C:$C,0),7+3*($F$2-1)),"-")</f>
        <v>0</v>
      </c>
      <c r="J15" s="104" t="str">
        <f aca="false">IFERROR(F15/I15-1,"-")</f>
        <v>-</v>
      </c>
      <c r="K15" s="103" t="n">
        <f aca="false">IFERROR(F15-I15,"-")</f>
        <v>0</v>
      </c>
      <c r="L15" s="103" t="n">
        <f aca="false">IF($F$2&lt;3,"-",IFERROR(INDEX('תקציב  '!$A:$AN,MATCH($B15,'תקציב  '!$C:$C,0),35+3*($F$2-3))+INDEX('תקציב  '!$A:$AN,MATCH($B15,'תקציב  '!$C:$C,0),36+3*($F$2-3))+INDEX('תקציב  '!$A:$AN,MATCH($B15,'תקציב  '!$C:$C,0),37+3*($F$2-3)),"-"))</f>
        <v>15000</v>
      </c>
      <c r="M15" s="104" t="n">
        <f aca="false">IF($F$2&lt;3,"-",IFERROR(F15/L15-1,"-"))</f>
        <v>-1</v>
      </c>
      <c r="N15" s="103" t="n">
        <f aca="false">IF($F$2&lt;3,"-",IFERROR(F15-L15,"-"))</f>
        <v>-15000</v>
      </c>
    </row>
    <row r="16" customFormat="false" ht="15" hidden="false" customHeight="true" outlineLevel="0" collapsed="false">
      <c r="A16" s="100" t="n">
        <v>104</v>
      </c>
      <c r="B16" s="102" t="str">
        <f aca="false">נתונים_שטוחים!A16</f>
        <v>חנויות נעליים</v>
      </c>
      <c r="C16" s="102" t="str">
        <f aca="false">נתונים_שטוחים!B16</f>
        <v>ישראל</v>
      </c>
      <c r="D16" s="103" t="n">
        <f aca="false">SUMIFS(נתונים_שטוחים!C16:N16,נתונים_שטוחים!$C$4:$N$4,$F$2)</f>
        <v>-14.28</v>
      </c>
      <c r="E16" s="103" t="n">
        <f aca="false">SUMIFS(נתונים_שטוחים!O16:Z16,נתונים_שטוחים!$O$4:$Z$4,$F$2)</f>
        <v>514.2</v>
      </c>
      <c r="F16" s="103" t="n">
        <f aca="false">SUMIFS(נתונים_שטוחים!AA16:AL16,נתונים_שטוחים!$AA$4:$AL$4,$F$2)</f>
        <v>0</v>
      </c>
      <c r="G16" s="104" t="n">
        <f aca="false">IFERROR(F16/E16-1,"-")</f>
        <v>-1</v>
      </c>
      <c r="H16" s="103" t="n">
        <f aca="false">F16-E16</f>
        <v>-514.2</v>
      </c>
      <c r="I16" s="103" t="n">
        <f aca="false">IFERROR(INDEX('תקציב  '!$A:$P,MATCH($B16,'תקציב  '!$C:$C,0),5+3*($F$2-1))+INDEX('תקציב  '!$A:$P,MATCH($B16,'תקציב  '!$C:$C,0),6+3*($F$2-1))+INDEX('תקציב  '!$A:$P,MATCH($B16,'תקציב  '!$C:$C,0),7+3*($F$2-1)),"-")</f>
        <v>12500</v>
      </c>
      <c r="J16" s="104" t="n">
        <f aca="false">IFERROR(F16/I16-1,"-")</f>
        <v>-1</v>
      </c>
      <c r="K16" s="103" t="n">
        <f aca="false">IFERROR(F16-I16,"-")</f>
        <v>-12500</v>
      </c>
      <c r="L16" s="103" t="n">
        <f aca="false">IF($F$2&lt;3,"-",IFERROR(INDEX('תקציב  '!$A:$AN,MATCH($B16,'תקציב  '!$C:$C,0),35+3*($F$2-3))+INDEX('תקציב  '!$A:$AN,MATCH($B16,'תקציב  '!$C:$C,0),36+3*($F$2-3))+INDEX('תקציב  '!$A:$AN,MATCH($B16,'תקציב  '!$C:$C,0),37+3*($F$2-3)),"-"))</f>
        <v>15000</v>
      </c>
      <c r="M16" s="104" t="n">
        <f aca="false">IF($F$2&lt;3,"-",IFERROR(F16/L16-1,"-"))</f>
        <v>-1</v>
      </c>
      <c r="N16" s="103" t="n">
        <f aca="false">IF($F$2&lt;3,"-",IFERROR(F16-L16,"-"))</f>
        <v>-15000</v>
      </c>
    </row>
    <row r="17" customFormat="false" ht="15" hidden="false" customHeight="true" outlineLevel="0" collapsed="false">
      <c r="A17" s="100" t="n">
        <v>106</v>
      </c>
      <c r="B17" s="102" t="str">
        <f aca="false">נתונים_שטוחים!A17</f>
        <v>בתי חולים ושרות</v>
      </c>
      <c r="C17" s="102" t="str">
        <f aca="false">נתונים_שטוחים!B17</f>
        <v>ישראל</v>
      </c>
      <c r="D17" s="103" t="n">
        <f aca="false">SUMIFS(נתונים_שטוחים!C17:N17,נתונים_שטוחים!$C$4:$N$4,$F$2)</f>
        <v>3722.65</v>
      </c>
      <c r="E17" s="103" t="n">
        <f aca="false">SUMIFS(נתונים_שטוחים!O17:Z17,נתונים_שטוחים!$O$4:$Z$4,$F$2)</f>
        <v>1813.57</v>
      </c>
      <c r="F17" s="103" t="n">
        <f aca="false">SUMIFS(נתונים_שטוחים!AA17:AL17,נתונים_שטוחים!$AA$4:$AL$4,$F$2)</f>
        <v>0.01</v>
      </c>
      <c r="G17" s="104" t="n">
        <f aca="false">IFERROR(F17/E17-1,"-")</f>
        <v>-0.999994486013774</v>
      </c>
      <c r="H17" s="103" t="n">
        <f aca="false">F17-E17</f>
        <v>-1813.56</v>
      </c>
      <c r="I17" s="103" t="n">
        <f aca="false">IFERROR(INDEX('תקציב  '!$A:$P,MATCH($B17,'תקציב  '!$C:$C,0),5+3*($F$2-1))+INDEX('תקציב  '!$A:$P,MATCH($B17,'תקציב  '!$C:$C,0),6+3*($F$2-1))+INDEX('תקציב  '!$A:$P,MATCH($B17,'תקציב  '!$C:$C,0),7+3*($F$2-1)),"-")</f>
        <v>100000</v>
      </c>
      <c r="J17" s="104" t="n">
        <f aca="false">IFERROR(F17/I17-1,"-")</f>
        <v>-0.9999999</v>
      </c>
      <c r="K17" s="103" t="n">
        <f aca="false">IFERROR(F17-I17,"-")</f>
        <v>-99999.99</v>
      </c>
      <c r="L17" s="103" t="n">
        <f aca="false">IF($F$2&lt;3,"-",IFERROR(INDEX('תקציב  '!$A:$AN,MATCH($B17,'תקציב  '!$C:$C,0),35+3*($F$2-3))+INDEX('תקציב  '!$A:$AN,MATCH($B17,'תקציב  '!$C:$C,0),36+3*($F$2-3))+INDEX('תקציב  '!$A:$AN,MATCH($B17,'תקציב  '!$C:$C,0),37+3*($F$2-3)),"-"))</f>
        <v>15000</v>
      </c>
      <c r="M17" s="104" t="n">
        <f aca="false">IF($F$2&lt;3,"-",IFERROR(F17/L17-1,"-"))</f>
        <v>-0.999999333333333</v>
      </c>
      <c r="N17" s="103" t="n">
        <f aca="false">IF($F$2&lt;3,"-",IFERROR(F17-L17,"-"))</f>
        <v>-14999.99</v>
      </c>
    </row>
    <row r="18" customFormat="false" ht="15" hidden="false" customHeight="true" outlineLevel="0" collapsed="false">
      <c r="A18" s="100" t="n">
        <v>103</v>
      </c>
      <c r="B18" s="102" t="str">
        <f aca="false">נתונים_שטוחים!A18</f>
        <v>מכוני פיזיותרפיה</v>
      </c>
      <c r="C18" s="102" t="str">
        <f aca="false">נתונים_שטוחים!B18</f>
        <v>ישראל</v>
      </c>
      <c r="D18" s="103" t="n">
        <f aca="false">SUMIFS(נתונים_שטוחים!C18:N18,נתונים_שטוחים!$C$4:$N$4,$F$2)</f>
        <v>11626.65</v>
      </c>
      <c r="E18" s="103" t="n">
        <f aca="false">SUMIFS(נתונים_שטוחים!O18:Z18,נתונים_שטוחים!$O$4:$Z$4,$F$2)</f>
        <v>17330.93</v>
      </c>
      <c r="F18" s="103" t="n">
        <f aca="false">SUMIFS(נתונים_שטוחים!AA18:AL18,נתונים_שטוחים!$AA$4:$AL$4,$F$2)</f>
        <v>0</v>
      </c>
      <c r="G18" s="104" t="n">
        <f aca="false">IFERROR(F18/E18-1,"-")</f>
        <v>-1</v>
      </c>
      <c r="H18" s="103" t="n">
        <f aca="false">F18-E18</f>
        <v>-17330.93</v>
      </c>
      <c r="I18" s="103" t="n">
        <f aca="false">IFERROR(INDEX('תקציב  '!$A:$P,MATCH($B18,'תקציב  '!$C:$C,0),5+3*($F$2-1))+INDEX('תקציב  '!$A:$P,MATCH($B18,'תקציב  '!$C:$C,0),6+3*($F$2-1))+INDEX('תקציב  '!$A:$P,MATCH($B18,'תקציב  '!$C:$C,0),7+3*($F$2-1)),"-")</f>
        <v>52380.9523809525</v>
      </c>
      <c r="J18" s="104" t="n">
        <f aca="false">IFERROR(F18/I18-1,"-")</f>
        <v>-1</v>
      </c>
      <c r="K18" s="103" t="n">
        <f aca="false">IFERROR(F18-I18,"-")</f>
        <v>-52380.9523809525</v>
      </c>
      <c r="L18" s="103" t="n">
        <f aca="false">IF($F$2&lt;3,"-",IFERROR(INDEX('תקציב  '!$A:$AN,MATCH($B18,'תקציב  '!$C:$C,0),35+3*($F$2-3))+INDEX('תקציב  '!$A:$AN,MATCH($B18,'תקציב  '!$C:$C,0),36+3*($F$2-3))+INDEX('תקציב  '!$A:$AN,MATCH($B18,'תקציב  '!$C:$C,0),37+3*($F$2-3)),"-"))</f>
        <v>75000</v>
      </c>
      <c r="M18" s="104" t="n">
        <f aca="false">IF($F$2&lt;3,"-",IFERROR(F18/L18-1,"-"))</f>
        <v>-1</v>
      </c>
      <c r="N18" s="103" t="n">
        <f aca="false">IF($F$2&lt;3,"-",IFERROR(F18-L18,"-"))</f>
        <v>-75000</v>
      </c>
    </row>
    <row r="19" customFormat="false" ht="15" hidden="false" customHeight="true" outlineLevel="0" collapsed="false">
      <c r="A19" s="105"/>
      <c r="B19" s="107" t="s">
        <v>115</v>
      </c>
      <c r="C19" s="107"/>
      <c r="D19" s="108" t="n">
        <f aca="false">SUM(D5:D18)</f>
        <v>3874286.934</v>
      </c>
      <c r="E19" s="108" t="n">
        <f aca="false">SUM(E5:E18)</f>
        <v>3810006.74</v>
      </c>
      <c r="F19" s="108" t="n">
        <f aca="false">SUM(F5:F18)</f>
        <v>194505.556</v>
      </c>
      <c r="G19" s="109" t="n">
        <f aca="false">IFERROR(F19/E19-1,"-")</f>
        <v>-0.948948763276991</v>
      </c>
      <c r="H19" s="108" t="n">
        <f aca="false">SUM(H5:H18)</f>
        <v>-3615501.184</v>
      </c>
      <c r="I19" s="108" t="n">
        <f aca="false">SUM(I5:I18)</f>
        <v>5335666.66666667</v>
      </c>
      <c r="J19" s="109" t="n">
        <f aca="false">IFERROR(F19/I19-1,"-")</f>
        <v>-0.963546156806397</v>
      </c>
      <c r="K19" s="108" t="n">
        <f aca="false">SUM(K5:K18)</f>
        <v>-5141161.11066667</v>
      </c>
      <c r="L19" s="108" t="n">
        <f aca="false">IF($F$2&lt;3,"-",SUM(L5:L18))</f>
        <v>4935000</v>
      </c>
      <c r="M19" s="109" t="n">
        <f aca="false">IF($F$2&lt;3,"-",IFERROR(F19/L19-1,"-"))</f>
        <v>-0.960586513475177</v>
      </c>
      <c r="N19" s="108" t="n">
        <f aca="false">IF($F$2&lt;3,"-",SUM(N5:N18))</f>
        <v>-4740494.444</v>
      </c>
    </row>
    <row r="20" customFormat="false" ht="15" hidden="false" customHeight="true" outlineLevel="0" collapsed="false">
      <c r="A20" s="100" t="n">
        <v>114</v>
      </c>
      <c r="B20" s="102" t="str">
        <f aca="false">נתונים_שטוחים!A19</f>
        <v>לקוחות אינטרנט</v>
      </c>
      <c r="C20" s="102" t="str">
        <f aca="false">נתונים_שטוחים!B19</f>
        <v>ישראל</v>
      </c>
      <c r="D20" s="103" t="n">
        <f aca="false">SUMIFS(נתונים_שטוחים!C19:N19,נתונים_שטוחים!$C$4:$N$4,$F$2)</f>
        <v>253937.589999999</v>
      </c>
      <c r="E20" s="103" t="n">
        <f aca="false">SUMIFS(נתונים_שטוחים!O19:Z19,נתונים_שטוחים!$O$4:$Z$4,$F$2)</f>
        <v>599115.08</v>
      </c>
      <c r="F20" s="103" t="n">
        <f aca="false">SUMIFS(נתונים_שטוחים!AA19:AL19,נתונים_שטוחים!$AA$4:$AL$4,$F$2)</f>
        <v>60416.76</v>
      </c>
      <c r="G20" s="104" t="n">
        <f aca="false">IFERROR(F20/E20-1,"-")</f>
        <v>-0.899156669533339</v>
      </c>
      <c r="H20" s="103" t="n">
        <f aca="false">F20-E20</f>
        <v>-538698.32</v>
      </c>
      <c r="I20" s="103" t="n">
        <f aca="false">IFERROR(INDEX('תקציב  '!$A:$P,MATCH($B20,'תקציב  '!$C:$C,0),5+3*($F$2-1))+INDEX('תקציב  '!$A:$P,MATCH($B20,'תקציב  '!$C:$C,0),6+3*($F$2-1))+INDEX('תקציב  '!$A:$P,MATCH($B20,'תקציב  '!$C:$C,0),7+3*($F$2-1)),"-")</f>
        <v>4474216.10169492</v>
      </c>
      <c r="J20" s="104" t="n">
        <f aca="false">IFERROR(F20/I20-1,"-")</f>
        <v>-0.986496682630704</v>
      </c>
      <c r="K20" s="103" t="n">
        <f aca="false">IFERROR(F20-I20,"-")</f>
        <v>-4413799.34169492</v>
      </c>
      <c r="L20" s="103" t="n">
        <f aca="false">IF($F$2&lt;3,"-",IFERROR(INDEX('תקציב  '!$A:$AN,MATCH($B20,'תקציב  '!$C:$C,0),35+3*($F$2-3))+INDEX('תקציב  '!$A:$AN,MATCH($B20,'תקציב  '!$C:$C,0),36+3*($F$2-3))+INDEX('תקציב  '!$A:$AN,MATCH($B20,'תקציב  '!$C:$C,0),37+3*($F$2-3)),"-"))</f>
        <v>3472877.9661017</v>
      </c>
      <c r="M20" s="104" t="n">
        <f aca="false">IF($F$2&lt;3,"-",IFERROR(F20/L20-1,"-"))</f>
        <v>-0.982603258568334</v>
      </c>
      <c r="N20" s="103" t="n">
        <f aca="false">IF($F$2&lt;3,"-",IFERROR(F20-L20,"-"))</f>
        <v>-3412461.2061017</v>
      </c>
    </row>
    <row r="21" customFormat="false" ht="15" hidden="false" customHeight="true" outlineLevel="0" collapsed="false">
      <c r="A21" s="100" t="n">
        <v>115</v>
      </c>
      <c r="B21" s="102" t="str">
        <f aca="false">נתונים_שטוחים!A20</f>
        <v>סופר פארם מרקט פלייס</v>
      </c>
      <c r="C21" s="102" t="str">
        <f aca="false">נתונים_שטוחים!B20</f>
        <v>ישראל</v>
      </c>
      <c r="D21" s="103" t="n">
        <f aca="false">SUMIFS(נתונים_שטוחים!C20:N20,נתונים_שטוחים!$C$4:$N$4,$F$2)</f>
        <v>10454.96</v>
      </c>
      <c r="E21" s="103" t="n">
        <f aca="false">SUMIFS(נתונים_שטוחים!O20:Z20,נתונים_שטוחים!$O$4:$Z$4,$F$2)</f>
        <v>4382.6</v>
      </c>
      <c r="F21" s="103" t="n">
        <f aca="false">SUMIFS(נתונים_שטוחים!AA20:AL20,נתונים_שטוחים!$AA$4:$AL$4,$F$2)</f>
        <v>342.2</v>
      </c>
      <c r="G21" s="104" t="n">
        <f aca="false">IFERROR(F21/E21-1,"-")</f>
        <v>-0.921918495870032</v>
      </c>
      <c r="H21" s="103" t="n">
        <f aca="false">F21-E21</f>
        <v>-4040.4</v>
      </c>
      <c r="I21" s="103" t="n">
        <f aca="false">IFERROR(INDEX('תקציב  '!$A:$P,MATCH($B21,'תקציב  '!$C:$C,0),5+3*($F$2-1))+INDEX('תקציב  '!$A:$P,MATCH($B21,'תקציב  '!$C:$C,0),6+3*($F$2-1))+INDEX('תקציב  '!$A:$P,MATCH($B21,'תקציב  '!$C:$C,0),7+3*($F$2-1)),"-")</f>
        <v>7610.78499999999</v>
      </c>
      <c r="J21" s="104" t="n">
        <f aca="false">IFERROR(F21/I21-1,"-")</f>
        <v>-0.955037489562509</v>
      </c>
      <c r="K21" s="103" t="n">
        <f aca="false">IFERROR(F21-I21,"-")</f>
        <v>-7268.58499999999</v>
      </c>
      <c r="L21" s="103" t="n">
        <f aca="false">IF($F$2&lt;3,"-",IFERROR(INDEX('תקציב  '!$A:$AN,MATCH($B21,'תקציב  '!$C:$C,0),35+3*($F$2-3))+INDEX('תקציב  '!$A:$AN,MATCH($B21,'תקציב  '!$C:$C,0),36+3*($F$2-3))+INDEX('תקציב  '!$A:$AN,MATCH($B21,'תקציב  '!$C:$C,0),37+3*($F$2-3)),"-"))</f>
        <v>15000</v>
      </c>
      <c r="M21" s="104" t="n">
        <f aca="false">IF($F$2&lt;3,"-",IFERROR(F21/L21-1,"-"))</f>
        <v>-0.977186666666667</v>
      </c>
      <c r="N21" s="103" t="n">
        <f aca="false">IF($F$2&lt;3,"-",IFERROR(F21-L21,"-"))</f>
        <v>-14657.8</v>
      </c>
    </row>
    <row r="22" customFormat="false" ht="15" hidden="false" customHeight="true" outlineLevel="0" collapsed="false">
      <c r="A22" s="105"/>
      <c r="B22" s="107" t="s">
        <v>48</v>
      </c>
      <c r="C22" s="107"/>
      <c r="D22" s="108" t="n">
        <f aca="false">SUM(D5:D18)+SUM(D20:D21)</f>
        <v>4138679.484</v>
      </c>
      <c r="E22" s="108" t="n">
        <f aca="false">SUM(E5:E18)+SUM(E20:E21)</f>
        <v>4413504.42</v>
      </c>
      <c r="F22" s="108" t="n">
        <f aca="false">SUM(F5:F18)+SUM(F20:F21)</f>
        <v>255264.516</v>
      </c>
      <c r="G22" s="109" t="n">
        <f aca="false">IFERROR(F22/E22-1,"-")</f>
        <v>-0.942162850264009</v>
      </c>
      <c r="H22" s="108" t="n">
        <f aca="false">SUM(H5:H18)+SUM(H20:H21)</f>
        <v>-4158239.904</v>
      </c>
      <c r="I22" s="108" t="n">
        <f aca="false">SUM(I5:I18)+SUM(I20:I21)</f>
        <v>9817493.55336159</v>
      </c>
      <c r="J22" s="109" t="n">
        <f aca="false">IFERROR(F22/I22-1,"-")</f>
        <v>-0.973999013636979</v>
      </c>
      <c r="K22" s="108" t="n">
        <f aca="false">SUM(K5:K18)+SUM(K20:K21)</f>
        <v>-9562229.03736159</v>
      </c>
      <c r="L22" s="108" t="n">
        <f aca="false">IF($F$2&lt;3,"-",SUM(L5:L18)+SUM(L20:L21))</f>
        <v>8422877.9661017</v>
      </c>
      <c r="M22" s="109" t="n">
        <f aca="false">IF($F$2&lt;3,"-",IFERROR(F22/L22-1,"-"))</f>
        <v>-0.96969390782731</v>
      </c>
      <c r="N22" s="108" t="n">
        <f aca="false">IF($F$2&lt;3,"-",SUM(N5:N18)+SUM(N20:N21))</f>
        <v>-8167613.4501017</v>
      </c>
    </row>
    <row r="23" customFormat="false" ht="15" hidden="false" customHeight="true" outlineLevel="0" collapsed="false">
      <c r="A23" s="100" t="n">
        <v>301</v>
      </c>
      <c r="B23" s="102" t="str">
        <f aca="false">נתונים_שטוחים!A21</f>
        <v>AMAZON</v>
      </c>
      <c r="C23" s="102" t="str">
        <f aca="false">נתונים_שטוחים!B21</f>
        <v>יצוא</v>
      </c>
      <c r="D23" s="103" t="n">
        <f aca="false">SUMIFS(נתונים_שטוחים!C21:N21,נתונים_שטוחים!$C$4:$N$4,$F$2)</f>
        <v>594913.85</v>
      </c>
      <c r="E23" s="103" t="n">
        <f aca="false">SUMIFS(נתונים_שטוחים!O21:Z21,נתונים_שטוחים!$O$4:$Z$4,$F$2)</f>
        <v>676973.71</v>
      </c>
      <c r="F23" s="103" t="n">
        <f aca="false">SUMIFS(נתונים_שטוחים!AA21:AL21,נתונים_שטוחים!$AA$4:$AL$4,$F$2)</f>
        <v>45504.03</v>
      </c>
      <c r="G23" s="104" t="n">
        <f aca="false">IFERROR(F23/E23-1,"-")</f>
        <v>-0.932783165242857</v>
      </c>
      <c r="H23" s="103" t="n">
        <f aca="false">F23-E23</f>
        <v>-631469.68</v>
      </c>
      <c r="I23" s="103" t="n">
        <f aca="false">IFERROR(INDEX('תקציב  '!$A:$P,MATCH($B23,'תקציב  '!$C:$C,0),5+3*($F$2-1))+INDEX('תקציב  '!$A:$P,MATCH($B23,'תקציב  '!$C:$C,0),6+3*($F$2-1))+INDEX('תקציב  '!$A:$P,MATCH($B23,'תקציב  '!$C:$C,0),7+3*($F$2-1)),"-")</f>
        <v>1244673.12915</v>
      </c>
      <c r="J23" s="104" t="n">
        <f aca="false">IFERROR(F23/I23-1,"-")</f>
        <v>-0.963440979857037</v>
      </c>
      <c r="K23" s="103" t="n">
        <f aca="false">IFERROR(F23-I23,"-")</f>
        <v>-1199169.09915</v>
      </c>
      <c r="L23" s="103" t="n">
        <f aca="false">IF($F$2&lt;3,"-",IFERROR(INDEX('תקציב  '!$A:$AN,MATCH($B23,'תקציב  '!$C:$C,0),35+3*($F$2-3))+INDEX('תקציב  '!$A:$AN,MATCH($B23,'תקציב  '!$C:$C,0),36+3*($F$2-3))+INDEX('תקציב  '!$A:$AN,MATCH($B23,'תקציב  '!$C:$C,0),37+3*($F$2-3)),"-"))</f>
        <v>945572.1</v>
      </c>
      <c r="M23" s="104" t="n">
        <f aca="false">IF($F$2&lt;3,"-",IFERROR(F23/L23-1,"-"))</f>
        <v>-0.951876720981933</v>
      </c>
      <c r="N23" s="103" t="n">
        <f aca="false">IF($F$2&lt;3,"-",IFERROR(F23-L23,"-"))</f>
        <v>-900068.07</v>
      </c>
    </row>
    <row r="24" customFormat="false" ht="15" hidden="false" customHeight="true" outlineLevel="0" collapsed="false">
      <c r="A24" s="100" t="n">
        <v>202</v>
      </c>
      <c r="B24" s="102" t="str">
        <f aca="false">נתונים_שטוחים!A22</f>
        <v>SUPER PHARM POLAND</v>
      </c>
      <c r="C24" s="102" t="str">
        <f aca="false">נתונים_שטוחים!B22</f>
        <v>יצוא</v>
      </c>
      <c r="D24" s="103" t="n">
        <f aca="false">SUMIFS(נתונים_שטוחים!C22:N22,נתונים_שטוחים!$C$4:$N$4,$F$2)</f>
        <v>137974.18</v>
      </c>
      <c r="E24" s="103" t="n">
        <f aca="false">SUMIFS(נתונים_שטוחים!O22:Z22,נתונים_שטוחים!$O$4:$Z$4,$F$2)</f>
        <v>284867.18</v>
      </c>
      <c r="F24" s="103" t="n">
        <f aca="false">SUMIFS(נתונים_שטוחים!AA22:AL22,נתונים_שטוחים!$AA$4:$AL$4,$F$2)</f>
        <v>0</v>
      </c>
      <c r="G24" s="104" t="n">
        <f aca="false">IFERROR(F24/E24-1,"-")</f>
        <v>-1</v>
      </c>
      <c r="H24" s="103" t="n">
        <f aca="false">F24-E24</f>
        <v>-284867.18</v>
      </c>
      <c r="I24" s="103" t="n">
        <f aca="false">IFERROR(INDEX('תקציב  '!$A:$P,MATCH($B24,'תקציב  '!$C:$C,0),5+3*($F$2-1))+INDEX('תקציב  '!$A:$P,MATCH($B24,'תקציב  '!$C:$C,0),6+3*($F$2-1))+INDEX('תקציב  '!$A:$P,MATCH($B24,'תקציב  '!$C:$C,0),7+3*($F$2-1)),"-")</f>
        <v>303800</v>
      </c>
      <c r="J24" s="104" t="n">
        <f aca="false">IFERROR(F24/I24-1,"-")</f>
        <v>-1</v>
      </c>
      <c r="K24" s="103" t="n">
        <f aca="false">IFERROR(F24-I24,"-")</f>
        <v>-303800</v>
      </c>
      <c r="L24" s="103" t="n">
        <f aca="false">IF($F$2&lt;3,"-",IFERROR(INDEX('תקציב  '!$A:$AN,MATCH($B24,'תקציב  '!$C:$C,0),35+3*($F$2-3))+INDEX('תקציב  '!$A:$AN,MATCH($B24,'תקציב  '!$C:$C,0),36+3*($F$2-3))+INDEX('תקציב  '!$A:$AN,MATCH($B24,'תקציב  '!$C:$C,0),37+3*($F$2-3)),"-"))</f>
        <v>450000</v>
      </c>
      <c r="M24" s="104" t="n">
        <f aca="false">IF($F$2&lt;3,"-",IFERROR(F24/L24-1,"-"))</f>
        <v>-1</v>
      </c>
      <c r="N24" s="103" t="n">
        <f aca="false">IF($F$2&lt;3,"-",IFERROR(F24-L24,"-"))</f>
        <v>-450000</v>
      </c>
    </row>
    <row r="25" customFormat="false" ht="15" hidden="false" customHeight="true" outlineLevel="0" collapsed="false">
      <c r="A25" s="100" t="n">
        <v>203</v>
      </c>
      <c r="B25" s="102" t="str">
        <f aca="false">נתונים_שטוחים!A23</f>
        <v>ORTHO- PARTNER AG.</v>
      </c>
      <c r="C25" s="102" t="str">
        <f aca="false">נתונים_שטוחים!B23</f>
        <v>יצוא</v>
      </c>
      <c r="D25" s="103" t="n">
        <f aca="false">SUMIFS(נתונים_שטוחים!C23:N23,נתונים_שטוחים!$C$4:$N$4,$F$2)</f>
        <v>220830.5</v>
      </c>
      <c r="E25" s="103" t="n">
        <f aca="false">SUMIFS(נתונים_שטוחים!O23:Z23,נתונים_שטוחים!$O$4:$Z$4,$F$2)</f>
        <v>54650.07</v>
      </c>
      <c r="F25" s="103" t="n">
        <f aca="false">SUMIFS(נתונים_שטוחים!AA23:AL23,נתונים_שטוחים!$AA$4:$AL$4,$F$2)</f>
        <v>0</v>
      </c>
      <c r="G25" s="104" t="n">
        <f aca="false">IFERROR(F25/E25-1,"-")</f>
        <v>-1</v>
      </c>
      <c r="H25" s="103" t="n">
        <f aca="false">F25-E25</f>
        <v>-54650.07</v>
      </c>
      <c r="I25" s="103" t="n">
        <f aca="false">IFERROR(INDEX('תקציב  '!$A:$P,MATCH($B25,'תקציב  '!$C:$C,0),5+3*($F$2-1))+INDEX('תקציב  '!$A:$P,MATCH($B25,'תקציב  '!$C:$C,0),6+3*($F$2-1))+INDEX('תקציב  '!$A:$P,MATCH($B25,'תקציב  '!$C:$C,0),7+3*($F$2-1)),"-")</f>
        <v>200000</v>
      </c>
      <c r="J25" s="104" t="n">
        <f aca="false">IFERROR(F25/I25-1,"-")</f>
        <v>-1</v>
      </c>
      <c r="K25" s="103" t="n">
        <f aca="false">IFERROR(F25-I25,"-")</f>
        <v>-200000</v>
      </c>
      <c r="L25" s="103" t="n">
        <f aca="false">IF($F$2&lt;3,"-",IFERROR(INDEX('תקציב  '!$A:$AN,MATCH($B25,'תקציב  '!$C:$C,0),35+3*($F$2-3))+INDEX('תקציב  '!$A:$AN,MATCH($B25,'תקציב  '!$C:$C,0),36+3*($F$2-3))+INDEX('תקציב  '!$A:$AN,MATCH($B25,'תקציב  '!$C:$C,0),37+3*($F$2-3)),"-"))</f>
        <v>220000</v>
      </c>
      <c r="M25" s="104" t="n">
        <f aca="false">IF($F$2&lt;3,"-",IFERROR(F25/L25-1,"-"))</f>
        <v>-1</v>
      </c>
      <c r="N25" s="103" t="n">
        <f aca="false">IF($F$2&lt;3,"-",IFERROR(F25-L25,"-"))</f>
        <v>-220000</v>
      </c>
    </row>
    <row r="26" customFormat="false" ht="15" hidden="false" customHeight="true" outlineLevel="0" collapsed="false">
      <c r="A26" s="100" t="n">
        <v>204</v>
      </c>
      <c r="B26" s="102" t="str">
        <f aca="false">נתונים_שטוחים!A24</f>
        <v>SANAFLEX ANATOMIC</v>
      </c>
      <c r="C26" s="102" t="str">
        <f aca="false">נתונים_שטוחים!B24</f>
        <v>יצוא</v>
      </c>
      <c r="D26" s="103" t="n">
        <f aca="false">SUMIFS(נתונים_שטוחים!C24:N24,נתונים_שטוחים!$C$4:$N$4,$F$2)</f>
        <v>167224.53</v>
      </c>
      <c r="E26" s="103" t="n">
        <f aca="false">SUMIFS(נתונים_שטוחים!O24:Z24,נתונים_שטוחים!$O$4:$Z$4,$F$2)</f>
        <v>83397.79</v>
      </c>
      <c r="F26" s="103" t="n">
        <f aca="false">SUMIFS(נתונים_שטוחים!AA24:AL24,נתונים_שטוחים!$AA$4:$AL$4,$F$2)</f>
        <v>0</v>
      </c>
      <c r="G26" s="104" t="n">
        <f aca="false">IFERROR(F26/E26-1,"-")</f>
        <v>-1</v>
      </c>
      <c r="H26" s="103" t="n">
        <f aca="false">F26-E26</f>
        <v>-83397.79</v>
      </c>
      <c r="I26" s="103" t="n">
        <f aca="false">IFERROR(INDEX('תקציב  '!$A:$P,MATCH($B26,'תקציב  '!$C:$C,0),5+3*($F$2-1))+INDEX('תקציב  '!$A:$P,MATCH($B26,'תקציב  '!$C:$C,0),6+3*($F$2-1))+INDEX('תקציב  '!$A:$P,MATCH($B26,'תקציב  '!$C:$C,0),7+3*($F$2-1)),"-")</f>
        <v>82841</v>
      </c>
      <c r="J26" s="104" t="n">
        <f aca="false">IFERROR(F26/I26-1,"-")</f>
        <v>-1</v>
      </c>
      <c r="K26" s="103" t="n">
        <f aca="false">IFERROR(F26-I26,"-")</f>
        <v>-82841</v>
      </c>
      <c r="L26" s="103" t="n">
        <f aca="false">IF($F$2&lt;3,"-",IFERROR(INDEX('תקציב  '!$A:$AN,MATCH($B26,'תקציב  '!$C:$C,0),35+3*($F$2-3))+INDEX('תקציב  '!$A:$AN,MATCH($B26,'תקציב  '!$C:$C,0),36+3*($F$2-3))+INDEX('תקציב  '!$A:$AN,MATCH($B26,'תקציב  '!$C:$C,0),37+3*($F$2-3)),"-"))</f>
        <v>75000</v>
      </c>
      <c r="M26" s="104" t="n">
        <f aca="false">IF($F$2&lt;3,"-",IFERROR(F26/L26-1,"-"))</f>
        <v>-1</v>
      </c>
      <c r="N26" s="103" t="n">
        <f aca="false">IF($F$2&lt;3,"-",IFERROR(F26-L26,"-"))</f>
        <v>-75000</v>
      </c>
    </row>
    <row r="27" customFormat="false" ht="15" hidden="false" customHeight="true" outlineLevel="0" collapsed="false">
      <c r="A27" s="100" t="n">
        <v>205</v>
      </c>
      <c r="B27" s="102" t="str">
        <f aca="false">נתונים_שטוחים!A25</f>
        <v>HEALTH CARE PROD. GMBH</v>
      </c>
      <c r="C27" s="102" t="str">
        <f aca="false">נתונים_שטוחים!B25</f>
        <v>יצוא</v>
      </c>
      <c r="D27" s="103" t="n">
        <f aca="false">SUMIFS(נתונים_שטוחים!C25:N25,נתונים_שטוחים!$C$4:$N$4,$F$2)</f>
        <v>17813.97</v>
      </c>
      <c r="E27" s="103" t="n">
        <f aca="false">SUMIFS(נתונים_שטוחים!O25:Z25,נתונים_שטוחים!$O$4:$Z$4,$F$2)</f>
        <v>31158.35</v>
      </c>
      <c r="F27" s="103" t="n">
        <f aca="false">SUMIFS(נתונים_שטוחים!AA25:AL25,נתונים_שטוחים!$AA$4:$AL$4,$F$2)</f>
        <v>0</v>
      </c>
      <c r="G27" s="104" t="n">
        <f aca="false">IFERROR(F27/E27-1,"-")</f>
        <v>-1</v>
      </c>
      <c r="H27" s="103" t="n">
        <f aca="false">F27-E27</f>
        <v>-31158.35</v>
      </c>
      <c r="I27" s="103" t="n">
        <f aca="false">IFERROR(INDEX('תקציב  '!$A:$P,MATCH($B27,'תקציב  '!$C:$C,0),5+3*($F$2-1))+INDEX('תקציב  '!$A:$P,MATCH($B27,'תקציב  '!$C:$C,0),6+3*($F$2-1))+INDEX('תקציב  '!$A:$P,MATCH($B27,'תקציב  '!$C:$C,0),7+3*($F$2-1)),"-")</f>
        <v>26225</v>
      </c>
      <c r="J27" s="104" t="n">
        <f aca="false">IFERROR(F27/I27-1,"-")</f>
        <v>-1</v>
      </c>
      <c r="K27" s="103" t="n">
        <f aca="false">IFERROR(F27-I27,"-")</f>
        <v>-26225</v>
      </c>
      <c r="L27" s="103" t="n">
        <f aca="false">IF($F$2&lt;3,"-",IFERROR(INDEX('תקציב  '!$A:$AN,MATCH($B27,'תקציב  '!$C:$C,0),35+3*($F$2-3))+INDEX('תקציב  '!$A:$AN,MATCH($B27,'תקציב  '!$C:$C,0),36+3*($F$2-3))+INDEX('תקציב  '!$A:$AN,MATCH($B27,'תקציב  '!$C:$C,0),37+3*($F$2-3)),"-"))</f>
        <v>20000</v>
      </c>
      <c r="M27" s="104" t="n">
        <f aca="false">IF($F$2&lt;3,"-",IFERROR(F27/L27-1,"-"))</f>
        <v>-1</v>
      </c>
      <c r="N27" s="103" t="n">
        <f aca="false">IF($F$2&lt;3,"-",IFERROR(F27-L27,"-"))</f>
        <v>-20000</v>
      </c>
    </row>
    <row r="28" customFormat="false" ht="15" hidden="false" customHeight="true" outlineLevel="0" collapsed="false">
      <c r="A28" s="100" t="n">
        <v>206</v>
      </c>
      <c r="B28" s="102" t="str">
        <f aca="false">נתונים_שטוחים!A26</f>
        <v>ORTHOMED  LTD</v>
      </c>
      <c r="C28" s="102" t="str">
        <f aca="false">נתונים_שטוחים!B26</f>
        <v>יצוא</v>
      </c>
      <c r="D28" s="103" t="n">
        <f aca="false">SUMIFS(נתונים_שטוחים!C26:N26,נתונים_שטוחים!$C$4:$N$4,$F$2)</f>
        <v>44572.45</v>
      </c>
      <c r="E28" s="103" t="n">
        <f aca="false">SUMIFS(נתונים_שטוחים!O26:Z26,נתונים_שטוחים!$O$4:$Z$4,$F$2)</f>
        <v>0</v>
      </c>
      <c r="F28" s="103" t="n">
        <f aca="false">SUMIFS(נתונים_שטוחים!AA26:AL26,נתונים_שטוחים!$AA$4:$AL$4,$F$2)</f>
        <v>0</v>
      </c>
      <c r="G28" s="104" t="str">
        <f aca="false">IFERROR(F28/E28-1,"-")</f>
        <v>-</v>
      </c>
      <c r="H28" s="103" t="n">
        <f aca="false">F28-E28</f>
        <v>0</v>
      </c>
      <c r="I28" s="103" t="n">
        <f aca="false">IFERROR(INDEX('תקציב  '!$A:$P,MATCH($B28,'תקציב  '!$C:$C,0),5+3*($F$2-1))+INDEX('תקציב  '!$A:$P,MATCH($B28,'תקציב  '!$C:$C,0),6+3*($F$2-1))+INDEX('תקציב  '!$A:$P,MATCH($B28,'תקציב  '!$C:$C,0),7+3*($F$2-1)),"-")</f>
        <v>15000</v>
      </c>
      <c r="J28" s="104" t="n">
        <f aca="false">IFERROR(F28/I28-1,"-")</f>
        <v>-1</v>
      </c>
      <c r="K28" s="103" t="n">
        <f aca="false">IFERROR(F28-I28,"-")</f>
        <v>-15000</v>
      </c>
      <c r="L28" s="103" t="n">
        <f aca="false">IF($F$2&lt;3,"-",IFERROR(INDEX('תקציב  '!$A:$AN,MATCH($B28,'תקציב  '!$C:$C,0),35+3*($F$2-3))+INDEX('תקציב  '!$A:$AN,MATCH($B28,'תקציב  '!$C:$C,0),36+3*($F$2-3))+INDEX('תקציב  '!$A:$AN,MATCH($B28,'תקציב  '!$C:$C,0),37+3*($F$2-3)),"-"))</f>
        <v>0</v>
      </c>
      <c r="M28" s="104" t="str">
        <f aca="false">IF($F$2&lt;3,"-",IFERROR(F28/L28-1,"-"))</f>
        <v>-</v>
      </c>
      <c r="N28" s="103" t="n">
        <f aca="false">IF($F$2&lt;3,"-",IFERROR(F28-L28,"-"))</f>
        <v>0</v>
      </c>
    </row>
    <row r="29" customFormat="false" ht="15" hidden="false" customHeight="true" outlineLevel="0" collapsed="false">
      <c r="A29" s="100" t="n">
        <v>207</v>
      </c>
      <c r="B29" s="102" t="str">
        <f aca="false">נתונים_שטוחים!A27</f>
        <v>SALUS</v>
      </c>
      <c r="C29" s="102" t="str">
        <f aca="false">נתונים_שטוחים!B27</f>
        <v>יצוא</v>
      </c>
      <c r="D29" s="103" t="n">
        <f aca="false">SUMIFS(נתונים_שטוחים!C27:N27,נתונים_שטוחים!$C$4:$N$4,$F$2)</f>
        <v>222074.04</v>
      </c>
      <c r="E29" s="103" t="n">
        <f aca="false">SUMIFS(נתונים_שטוחים!O27:Z27,נתונים_שטוחים!$O$4:$Z$4,$F$2)</f>
        <v>146752.62</v>
      </c>
      <c r="F29" s="103" t="n">
        <f aca="false">SUMIFS(נתונים_שטוחים!AA27:AL27,נתונים_שטוחים!$AA$4:$AL$4,$F$2)</f>
        <v>0</v>
      </c>
      <c r="G29" s="104" t="n">
        <f aca="false">IFERROR(F29/E29-1,"-")</f>
        <v>-1</v>
      </c>
      <c r="H29" s="103" t="n">
        <f aca="false">F29-E29</f>
        <v>-146752.62</v>
      </c>
      <c r="I29" s="103" t="n">
        <f aca="false">IFERROR(INDEX('תקציב  '!$A:$P,MATCH($B29,'תקציב  '!$C:$C,0),5+3*($F$2-1))+INDEX('תקציב  '!$A:$P,MATCH($B29,'תקציב  '!$C:$C,0),6+3*($F$2-1))+INDEX('תקציב  '!$A:$P,MATCH($B29,'תקציב  '!$C:$C,0),7+3*($F$2-1)),"-")</f>
        <v>150000</v>
      </c>
      <c r="J29" s="104" t="n">
        <f aca="false">IFERROR(F29/I29-1,"-")</f>
        <v>-1</v>
      </c>
      <c r="K29" s="103" t="n">
        <f aca="false">IFERROR(F29-I29,"-")</f>
        <v>-150000</v>
      </c>
      <c r="L29" s="103" t="n">
        <f aca="false">IF($F$2&lt;3,"-",IFERROR(INDEX('תקציב  '!$A:$AN,MATCH($B29,'תקציב  '!$C:$C,0),35+3*($F$2-3))+INDEX('תקציב  '!$A:$AN,MATCH($B29,'תקציב  '!$C:$C,0),36+3*($F$2-3))+INDEX('תקציב  '!$A:$AN,MATCH($B29,'תקציב  '!$C:$C,0),37+3*($F$2-3)),"-"))</f>
        <v>70000</v>
      </c>
      <c r="M29" s="104" t="n">
        <f aca="false">IF($F$2&lt;3,"-",IFERROR(F29/L29-1,"-"))</f>
        <v>-1</v>
      </c>
      <c r="N29" s="103" t="n">
        <f aca="false">IF($F$2&lt;3,"-",IFERROR(F29-L29,"-"))</f>
        <v>-70000</v>
      </c>
    </row>
    <row r="30" customFormat="false" ht="15" hidden="false" customHeight="true" outlineLevel="0" collapsed="false">
      <c r="A30" s="100" t="n">
        <v>216</v>
      </c>
      <c r="B30" s="102" t="str">
        <f aca="false">נתונים_שטוחים!A28</f>
        <v>MAX KONNARIS LTD</v>
      </c>
      <c r="C30" s="102" t="str">
        <f aca="false">נתונים_שטוחים!B28</f>
        <v>יצוא</v>
      </c>
      <c r="D30" s="103" t="n">
        <f aca="false">SUMIFS(נתונים_שטוחים!C28:N28,נתונים_שטוחים!$C$4:$N$4,$F$2)</f>
        <v>20724.08</v>
      </c>
      <c r="E30" s="103" t="n">
        <f aca="false">SUMIFS(נתונים_שטוחים!O28:Z28,נתונים_שטוחים!$O$4:$Z$4,$F$2)</f>
        <v>20604.23</v>
      </c>
      <c r="F30" s="103" t="n">
        <f aca="false">SUMIFS(נתונים_שטוחים!AA28:AL28,נתונים_שטוחים!$AA$4:$AL$4,$F$2)</f>
        <v>23809.14</v>
      </c>
      <c r="G30" s="104" t="n">
        <f aca="false">IFERROR(F30/E30-1,"-")</f>
        <v>0.155546215510116</v>
      </c>
      <c r="H30" s="103" t="n">
        <f aca="false">F30-E30</f>
        <v>3204.91</v>
      </c>
      <c r="I30" s="103" t="n">
        <f aca="false">IFERROR(INDEX('תקציב  '!$A:$P,MATCH($B30,'תקציב  '!$C:$C,0),5+3*($F$2-1))+INDEX('תקציב  '!$A:$P,MATCH($B30,'תקציב  '!$C:$C,0),6+3*($F$2-1))+INDEX('תקציב  '!$A:$P,MATCH($B30,'תקציב  '!$C:$C,0),7+3*($F$2-1)),"-")</f>
        <v>40000</v>
      </c>
      <c r="J30" s="104" t="n">
        <f aca="false">IFERROR(F30/I30-1,"-")</f>
        <v>-0.4047715</v>
      </c>
      <c r="K30" s="103" t="n">
        <f aca="false">IFERROR(F30-I30,"-")</f>
        <v>-16190.86</v>
      </c>
      <c r="L30" s="103" t="n">
        <f aca="false">IF($F$2&lt;3,"-",IFERROR(INDEX('תקציב  '!$A:$AN,MATCH($B30,'תקציב  '!$C:$C,0),35+3*($F$2-3))+INDEX('תקציב  '!$A:$AN,MATCH($B30,'תקציב  '!$C:$C,0),36+3*($F$2-3))+INDEX('תקציב  '!$A:$AN,MATCH($B30,'תקציב  '!$C:$C,0),37+3*($F$2-3)),"-"))</f>
        <v>20000</v>
      </c>
      <c r="M30" s="104" t="n">
        <f aca="false">IF($F$2&lt;3,"-",IFERROR(F30/L30-1,"-"))</f>
        <v>0.190457</v>
      </c>
      <c r="N30" s="103" t="n">
        <f aca="false">IF($F$2&lt;3,"-",IFERROR(F30-L30,"-"))</f>
        <v>3809.14</v>
      </c>
    </row>
    <row r="31" customFormat="false" ht="15" hidden="false" customHeight="true" outlineLevel="0" collapsed="false">
      <c r="A31" s="100" t="n">
        <v>208</v>
      </c>
      <c r="B31" s="102" t="str">
        <f aca="false">נתונים_שטוחים!A29</f>
        <v>MEDIPAL COMPANY</v>
      </c>
      <c r="C31" s="102" t="str">
        <f aca="false">נתונים_שטוחים!B29</f>
        <v>יצוא</v>
      </c>
      <c r="D31" s="103" t="n">
        <f aca="false">SUMIFS(נתונים_שטוחים!C29:N29,נתונים_שטוחים!$C$4:$N$4,$F$2)</f>
        <v>198800.83</v>
      </c>
      <c r="E31" s="103" t="n">
        <f aca="false">SUMIFS(נתונים_שטוחים!O29:Z29,נתונים_שטוחים!$O$4:$Z$4,$F$2)</f>
        <v>256771.88</v>
      </c>
      <c r="F31" s="103" t="n">
        <f aca="false">SUMIFS(נתונים_שטוחים!AA29:AL29,נתונים_שטוחים!$AA$4:$AL$4,$F$2)</f>
        <v>0</v>
      </c>
      <c r="G31" s="104" t="n">
        <f aca="false">IFERROR(F31/E31-1,"-")</f>
        <v>-1</v>
      </c>
      <c r="H31" s="103" t="n">
        <f aca="false">F31-E31</f>
        <v>-256771.88</v>
      </c>
      <c r="I31" s="103" t="n">
        <f aca="false">IFERROR(INDEX('תקציב  '!$A:$P,MATCH($B31,'תקציב  '!$C:$C,0),5+3*($F$2-1))+INDEX('תקציב  '!$A:$P,MATCH($B31,'תקציב  '!$C:$C,0),6+3*($F$2-1))+INDEX('תקציב  '!$A:$P,MATCH($B31,'תקציב  '!$C:$C,0),7+3*($F$2-1)),"-")</f>
        <v>0</v>
      </c>
      <c r="J31" s="104" t="str">
        <f aca="false">IFERROR(F31/I31-1,"-")</f>
        <v>-</v>
      </c>
      <c r="K31" s="103" t="n">
        <f aca="false">IFERROR(F31-I31,"-")</f>
        <v>0</v>
      </c>
      <c r="L31" s="103" t="n">
        <f aca="false">IF($F$2&lt;3,"-",IFERROR(INDEX('תקציב  '!$A:$AN,MATCH($B31,'תקציב  '!$C:$C,0),35+3*($F$2-3))+INDEX('תקציב  '!$A:$AN,MATCH($B31,'תקציב  '!$C:$C,0),36+3*($F$2-3))+INDEX('תקציב  '!$A:$AN,MATCH($B31,'תקציב  '!$C:$C,0),37+3*($F$2-3)),"-"))</f>
        <v>100000</v>
      </c>
      <c r="M31" s="104" t="n">
        <f aca="false">IF($F$2&lt;3,"-",IFERROR(F31/L31-1,"-"))</f>
        <v>-1</v>
      </c>
      <c r="N31" s="103" t="n">
        <f aca="false">IF($F$2&lt;3,"-",IFERROR(F31-L31,"-"))</f>
        <v>-100000</v>
      </c>
    </row>
    <row r="32" customFormat="false" ht="15" hidden="false" customHeight="true" outlineLevel="0" collapsed="false">
      <c r="A32" s="100" t="n">
        <v>209</v>
      </c>
      <c r="B32" s="102" t="str">
        <f aca="false">נתונים_שטוחים!A30</f>
        <v>ORTOPROFIL PROD. ROMANIA</v>
      </c>
      <c r="C32" s="102" t="str">
        <f aca="false">נתונים_שטוחים!B30</f>
        <v>יצוא</v>
      </c>
      <c r="D32" s="103" t="n">
        <f aca="false">SUMIFS(נתונים_שטוחים!C30:N30,נתונים_שטוחים!$C$4:$N$4,$F$2)</f>
        <v>62633.86</v>
      </c>
      <c r="E32" s="103" t="n">
        <f aca="false">SUMIFS(נתונים_שטוחים!O30:Z30,נתונים_שטוחים!$O$4:$Z$4,$F$2)</f>
        <v>106882.54</v>
      </c>
      <c r="F32" s="103" t="n">
        <f aca="false">SUMIFS(נתונים_שטוחים!AA30:AL30,נתונים_שטוחים!$AA$4:$AL$4,$F$2)</f>
        <v>0</v>
      </c>
      <c r="G32" s="104" t="n">
        <f aca="false">IFERROR(F32/E32-1,"-")</f>
        <v>-1</v>
      </c>
      <c r="H32" s="103" t="n">
        <f aca="false">F32-E32</f>
        <v>-106882.54</v>
      </c>
      <c r="I32" s="103" t="n">
        <f aca="false">IFERROR(INDEX('תקציב  '!$A:$P,MATCH($B32,'תקציב  '!$C:$C,0),5+3*($F$2-1))+INDEX('תקציב  '!$A:$P,MATCH($B32,'תקציב  '!$C:$C,0),6+3*($F$2-1))+INDEX('תקציב  '!$A:$P,MATCH($B32,'תקציב  '!$C:$C,0),7+3*($F$2-1)),"-")</f>
        <v>119295.228</v>
      </c>
      <c r="J32" s="104" t="n">
        <f aca="false">IFERROR(F32/I32-1,"-")</f>
        <v>-1</v>
      </c>
      <c r="K32" s="103" t="n">
        <f aca="false">IFERROR(F32-I32,"-")</f>
        <v>-119295.228</v>
      </c>
      <c r="L32" s="103" t="n">
        <f aca="false">IF($F$2&lt;3,"-",IFERROR(INDEX('תקציב  '!$A:$AN,MATCH($B32,'תקציב  '!$C:$C,0),35+3*($F$2-3))+INDEX('תקציב  '!$A:$AN,MATCH($B32,'תקציב  '!$C:$C,0),36+3*($F$2-3))+INDEX('תקציב  '!$A:$AN,MATCH($B32,'תקציב  '!$C:$C,0),37+3*($F$2-3)),"-"))</f>
        <v>75000</v>
      </c>
      <c r="M32" s="104" t="n">
        <f aca="false">IF($F$2&lt;3,"-",IFERROR(F32/L32-1,"-"))</f>
        <v>-1</v>
      </c>
      <c r="N32" s="103" t="n">
        <f aca="false">IF($F$2&lt;3,"-",IFERROR(F32-L32,"-"))</f>
        <v>-75000</v>
      </c>
    </row>
    <row r="33" customFormat="false" ht="15" hidden="false" customHeight="true" outlineLevel="0" collapsed="false">
      <c r="A33" s="100" t="n">
        <v>210</v>
      </c>
      <c r="B33" s="102" t="str">
        <f aca="false">נתונים_שטוחים!A31</f>
        <v>OY. EA. AB.</v>
      </c>
      <c r="C33" s="102" t="str">
        <f aca="false">נתונים_שטוחים!B31</f>
        <v>יצוא</v>
      </c>
      <c r="D33" s="103" t="n">
        <f aca="false">SUMIFS(נתונים_שטוחים!C31:N31,נתונים_שטוחים!$C$4:$N$4,$F$2)</f>
        <v>3920.16</v>
      </c>
      <c r="E33" s="103" t="n">
        <f aca="false">SUMIFS(נתונים_שטוחים!O31:Z31,נתונים_שטוחים!$O$4:$Z$4,$F$2)</f>
        <v>32544.41</v>
      </c>
      <c r="F33" s="103" t="n">
        <f aca="false">SUMIFS(נתונים_שטוחים!AA31:AL31,נתונים_שטוחים!$AA$4:$AL$4,$F$2)</f>
        <v>0</v>
      </c>
      <c r="G33" s="104" t="n">
        <f aca="false">IFERROR(F33/E33-1,"-")</f>
        <v>-1</v>
      </c>
      <c r="H33" s="103" t="n">
        <f aca="false">F33-E33</f>
        <v>-32544.41</v>
      </c>
      <c r="I33" s="103" t="n">
        <f aca="false">IFERROR(INDEX('תקציב  '!$A:$P,MATCH($B33,'תקציב  '!$C:$C,0),5+3*($F$2-1))+INDEX('תקציב  '!$A:$P,MATCH($B33,'תקציב  '!$C:$C,0),6+3*($F$2-1))+INDEX('תקציב  '!$A:$P,MATCH($B33,'תקציב  '!$C:$C,0),7+3*($F$2-1)),"-")</f>
        <v>35000</v>
      </c>
      <c r="J33" s="104" t="n">
        <f aca="false">IFERROR(F33/I33-1,"-")</f>
        <v>-1</v>
      </c>
      <c r="K33" s="103" t="n">
        <f aca="false">IFERROR(F33-I33,"-")</f>
        <v>-35000</v>
      </c>
      <c r="L33" s="103" t="n">
        <f aca="false">IF($F$2&lt;3,"-",IFERROR(INDEX('תקציב  '!$A:$AN,MATCH($B33,'תקציב  '!$C:$C,0),35+3*($F$2-3))+INDEX('תקציב  '!$A:$AN,MATCH($B33,'תקציב  '!$C:$C,0),36+3*($F$2-3))+INDEX('תקציב  '!$A:$AN,MATCH($B33,'תקציב  '!$C:$C,0),37+3*($F$2-3)),"-"))</f>
        <v>30000</v>
      </c>
      <c r="M33" s="104" t="n">
        <f aca="false">IF($F$2&lt;3,"-",IFERROR(F33/L33-1,"-"))</f>
        <v>-1</v>
      </c>
      <c r="N33" s="103" t="n">
        <f aca="false">IF($F$2&lt;3,"-",IFERROR(F33-L33,"-"))</f>
        <v>-30000</v>
      </c>
    </row>
    <row r="34" customFormat="false" ht="15" hidden="false" customHeight="true" outlineLevel="0" collapsed="false">
      <c r="A34" s="100" t="n">
        <v>201</v>
      </c>
      <c r="B34" s="102" t="str">
        <f aca="false">נתונים_שטוחים!A32</f>
        <v>SEVEN GEAR</v>
      </c>
      <c r="C34" s="102" t="str">
        <f aca="false">נתונים_שטוחים!B32</f>
        <v>יצוא</v>
      </c>
      <c r="D34" s="103" t="n">
        <f aca="false">SUMIFS(נתונים_שטוחים!C32:N32,נתונים_שטוחים!$C$4:$N$4,$F$2)</f>
        <v>0</v>
      </c>
      <c r="E34" s="103" t="n">
        <f aca="false">SUMIFS(נתונים_שטוחים!O32:Z32,נתונים_שטוחים!$O$4:$Z$4,$F$2)</f>
        <v>22174.9</v>
      </c>
      <c r="F34" s="103" t="n">
        <f aca="false">SUMIFS(נתונים_שטוחים!AA32:AL32,נתונים_שטוחים!$AA$4:$AL$4,$F$2)</f>
        <v>0</v>
      </c>
      <c r="G34" s="104" t="n">
        <f aca="false">IFERROR(F34/E34-1,"-")</f>
        <v>-1</v>
      </c>
      <c r="H34" s="103" t="n">
        <f aca="false">F34-E34</f>
        <v>-22174.9</v>
      </c>
      <c r="I34" s="103" t="n">
        <f aca="false">IFERROR(INDEX('תקציב  '!$A:$P,MATCH($B34,'תקציב  '!$C:$C,0),5+3*($F$2-1))+INDEX('תקציב  '!$A:$P,MATCH($B34,'תקציב  '!$C:$C,0),6+3*($F$2-1))+INDEX('תקציב  '!$A:$P,MATCH($B34,'תקציב  '!$C:$C,0),7+3*($F$2-1)),"-")</f>
        <v>19793</v>
      </c>
      <c r="J34" s="104" t="n">
        <f aca="false">IFERROR(F34/I34-1,"-")</f>
        <v>-1</v>
      </c>
      <c r="K34" s="103" t="n">
        <f aca="false">IFERROR(F34-I34,"-")</f>
        <v>-19793</v>
      </c>
      <c r="L34" s="103" t="n">
        <f aca="false">IF($F$2&lt;3,"-",IFERROR(INDEX('תקציב  '!$A:$AN,MATCH($B34,'תקציב  '!$C:$C,0),35+3*($F$2-3))+INDEX('תקציב  '!$A:$AN,MATCH($B34,'תקציב  '!$C:$C,0),36+3*($F$2-3))+INDEX('תקציב  '!$A:$AN,MATCH($B34,'תקציב  '!$C:$C,0),37+3*($F$2-3)),"-"))</f>
        <v>0</v>
      </c>
      <c r="M34" s="104" t="str">
        <f aca="false">IF($F$2&lt;3,"-",IFERROR(F34/L34-1,"-"))</f>
        <v>-</v>
      </c>
      <c r="N34" s="103" t="n">
        <f aca="false">IF($F$2&lt;3,"-",IFERROR(F34-L34,"-"))</f>
        <v>0</v>
      </c>
    </row>
    <row r="35" customFormat="false" ht="15" hidden="false" customHeight="true" outlineLevel="0" collapsed="false">
      <c r="A35" s="100" t="n">
        <v>211</v>
      </c>
      <c r="B35" s="102" t="str">
        <f aca="false">נתונים_שטוחים!A33</f>
        <v>PHARMAG LACHMAIR GES. MBH</v>
      </c>
      <c r="C35" s="102" t="str">
        <f aca="false">נתונים_שטוחים!B33</f>
        <v>יצוא</v>
      </c>
      <c r="D35" s="103" t="n">
        <f aca="false">SUMIFS(נתונים_שטוחים!C33:N33,נתונים_שטוחים!$C$4:$N$4,$F$2)</f>
        <v>0</v>
      </c>
      <c r="E35" s="103" t="n">
        <f aca="false">SUMIFS(נתונים_שטוחים!O33:Z33,נתונים_שטוחים!$O$4:$Z$4,$F$2)</f>
        <v>0</v>
      </c>
      <c r="F35" s="103" t="n">
        <f aca="false">SUMIFS(נתונים_שטוחים!AA33:AL33,נתונים_שטוחים!$AA$4:$AL$4,$F$2)</f>
        <v>0</v>
      </c>
      <c r="G35" s="104" t="str">
        <f aca="false">IFERROR(F35/E35-1,"-")</f>
        <v>-</v>
      </c>
      <c r="H35" s="103" t="n">
        <f aca="false">F35-E35</f>
        <v>0</v>
      </c>
      <c r="I35" s="103" t="n">
        <f aca="false">IFERROR(INDEX('תקציב  '!$A:$P,MATCH($B35,'תקציב  '!$C:$C,0),5+3*($F$2-1))+INDEX('תקציב  '!$A:$P,MATCH($B35,'תקציב  '!$C:$C,0),6+3*($F$2-1))+INDEX('תקציב  '!$A:$P,MATCH($B35,'תקציב  '!$C:$C,0),7+3*($F$2-1)),"-")</f>
        <v>0</v>
      </c>
      <c r="J35" s="104" t="str">
        <f aca="false">IFERROR(F35/I35-1,"-")</f>
        <v>-</v>
      </c>
      <c r="K35" s="103" t="n">
        <f aca="false">IFERROR(F35-I35,"-")</f>
        <v>0</v>
      </c>
      <c r="L35" s="103" t="n">
        <f aca="false">IF($F$2&lt;3,"-",IFERROR(INDEX('תקציב  '!$A:$AN,MATCH($B35,'תקציב  '!$C:$C,0),35+3*($F$2-3))+INDEX('תקציב  '!$A:$AN,MATCH($B35,'תקציב  '!$C:$C,0),36+3*($F$2-3))+INDEX('תקציב  '!$A:$AN,MATCH($B35,'תקציב  '!$C:$C,0),37+3*($F$2-3)),"-"))</f>
        <v>0</v>
      </c>
      <c r="M35" s="104" t="str">
        <f aca="false">IF($F$2&lt;3,"-",IFERROR(F35/L35-1,"-"))</f>
        <v>-</v>
      </c>
      <c r="N35" s="103" t="n">
        <f aca="false">IF($F$2&lt;3,"-",IFERROR(F35-L35,"-"))</f>
        <v>0</v>
      </c>
    </row>
    <row r="36" customFormat="false" ht="15" hidden="false" customHeight="true" outlineLevel="0" collapsed="false">
      <c r="A36" s="100" t="n">
        <v>304</v>
      </c>
      <c r="B36" s="102" t="str">
        <f aca="false">נתונים_שטוחים!A34</f>
        <v>REMEDICARE B.V.</v>
      </c>
      <c r="C36" s="102" t="str">
        <f aca="false">נתונים_שטוחים!B34</f>
        <v>יצוא</v>
      </c>
      <c r="D36" s="103" t="n">
        <f aca="false">SUMIFS(נתונים_שטוחים!C34:N34,נתונים_שטוחים!$C$4:$N$4,$F$2)</f>
        <v>0</v>
      </c>
      <c r="E36" s="103" t="n">
        <f aca="false">SUMIFS(נתונים_שטוחים!O34:Z34,נתונים_שטוחים!$O$4:$Z$4,$F$2)</f>
        <v>0</v>
      </c>
      <c r="F36" s="103" t="n">
        <f aca="false">SUMIFS(נתונים_שטוחים!AA34:AL34,נתונים_שטוחים!$AA$4:$AL$4,$F$2)</f>
        <v>0</v>
      </c>
      <c r="G36" s="104" t="str">
        <f aca="false">IFERROR(F36/E36-1,"-")</f>
        <v>-</v>
      </c>
      <c r="H36" s="103" t="n">
        <f aca="false">F36-E36</f>
        <v>0</v>
      </c>
      <c r="I36" s="103" t="str">
        <f aca="false">IFERROR(INDEX('תקציב  '!$A:$P,MATCH($B36,'תקציב  '!$C:$C,0),5+3*($F$2-1))+INDEX('תקציב  '!$A:$P,MATCH($B36,'תקציב  '!$C:$C,0),6+3*($F$2-1))+INDEX('תקציב  '!$A:$P,MATCH($B36,'תקציב  '!$C:$C,0),7+3*($F$2-1)),"-")</f>
        <v>-</v>
      </c>
      <c r="J36" s="104" t="str">
        <f aca="false">IFERROR(F36/I36-1,"-")</f>
        <v>-</v>
      </c>
      <c r="K36" s="103" t="str">
        <f aca="false">IFERROR(F36-I36,"-")</f>
        <v>-</v>
      </c>
      <c r="L36" s="103" t="str">
        <f aca="false">IF($F$2&lt;3,"-",IFERROR(INDEX('תקציב  '!$A:$AN,MATCH($B36,'תקציב  '!$C:$C,0),35+3*($F$2-3))+INDEX('תקציב  '!$A:$AN,MATCH($B36,'תקציב  '!$C:$C,0),36+3*($F$2-3))+INDEX('תקציב  '!$A:$AN,MATCH($B36,'תקציב  '!$C:$C,0),37+3*($F$2-3)),"-"))</f>
        <v>-</v>
      </c>
      <c r="M36" s="104" t="str">
        <f aca="false">IF($F$2&lt;3,"-",IFERROR(F36/L36-1,"-"))</f>
        <v>-</v>
      </c>
      <c r="N36" s="103" t="str">
        <f aca="false">IF($F$2&lt;3,"-",IFERROR(F36-L36,"-"))</f>
        <v>-</v>
      </c>
    </row>
    <row r="37" customFormat="false" ht="15" hidden="false" customHeight="true" outlineLevel="0" collapsed="false">
      <c r="A37" s="100" t="n">
        <v>213</v>
      </c>
      <c r="B37" s="102" t="str">
        <f aca="false">נתונים_שטוחים!A35</f>
        <v>E.F.M.O.</v>
      </c>
      <c r="C37" s="102" t="str">
        <f aca="false">נתונים_שטוחים!B35</f>
        <v>יצוא</v>
      </c>
      <c r="D37" s="103" t="n">
        <f aca="false">SUMIFS(נתונים_שטוחים!C35:N35,נתונים_שטוחים!$C$4:$N$4,$F$2)</f>
        <v>0</v>
      </c>
      <c r="E37" s="103" t="n">
        <f aca="false">SUMIFS(נתונים_שטוחים!O35:Z35,נתונים_שטוחים!$O$4:$Z$4,$F$2)</f>
        <v>0</v>
      </c>
      <c r="F37" s="103" t="n">
        <f aca="false">SUMIFS(נתונים_שטוחים!AA35:AL35,נתונים_שטוחים!$AA$4:$AL$4,$F$2)</f>
        <v>0</v>
      </c>
      <c r="G37" s="104" t="str">
        <f aca="false">IFERROR(F37/E37-1,"-")</f>
        <v>-</v>
      </c>
      <c r="H37" s="103" t="n">
        <f aca="false">F37-E37</f>
        <v>0</v>
      </c>
      <c r="I37" s="103" t="n">
        <f aca="false">IFERROR(INDEX('תקציב  '!$A:$P,MATCH($B37,'תקציב  '!$C:$C,0),5+3*($F$2-1))+INDEX('תקציב  '!$A:$P,MATCH($B37,'תקציב  '!$C:$C,0),6+3*($F$2-1))+INDEX('תקציב  '!$A:$P,MATCH($B37,'תקציב  '!$C:$C,0),7+3*($F$2-1)),"-")</f>
        <v>0</v>
      </c>
      <c r="J37" s="104" t="str">
        <f aca="false">IFERROR(F37/I37-1,"-")</f>
        <v>-</v>
      </c>
      <c r="K37" s="103" t="n">
        <f aca="false">IFERROR(F37-I37,"-")</f>
        <v>0</v>
      </c>
      <c r="L37" s="103" t="n">
        <f aca="false">IF($F$2&lt;3,"-",IFERROR(INDEX('תקציב  '!$A:$AN,MATCH($B37,'תקציב  '!$C:$C,0),35+3*($F$2-3))+INDEX('תקציב  '!$A:$AN,MATCH($B37,'תקציב  '!$C:$C,0),36+3*($F$2-3))+INDEX('תקציב  '!$A:$AN,MATCH($B37,'תקציב  '!$C:$C,0),37+3*($F$2-3)),"-"))</f>
        <v>0</v>
      </c>
      <c r="M37" s="104" t="str">
        <f aca="false">IF($F$2&lt;3,"-",IFERROR(F37/L37-1,"-"))</f>
        <v>-</v>
      </c>
      <c r="N37" s="103" t="n">
        <f aca="false">IF($F$2&lt;3,"-",IFERROR(F37-L37,"-"))</f>
        <v>0</v>
      </c>
    </row>
    <row r="38" customFormat="false" ht="15" hidden="false" customHeight="true" outlineLevel="0" collapsed="false">
      <c r="A38" s="100" t="n">
        <v>214</v>
      </c>
      <c r="B38" s="102" t="str">
        <f aca="false">נתונים_שטוחים!A36</f>
        <v>ALFRED GERA</v>
      </c>
      <c r="C38" s="102" t="str">
        <f aca="false">נתונים_שטוחים!B36</f>
        <v>יצוא</v>
      </c>
      <c r="D38" s="103" t="n">
        <f aca="false">SUMIFS(נתונים_שטוחים!C36:N36,נתונים_שטוחים!$C$4:$N$4,$F$2)</f>
        <v>0</v>
      </c>
      <c r="E38" s="103" t="n">
        <f aca="false">SUMIFS(נתונים_שטוחים!O36:Z36,נתונים_שטוחים!$O$4:$Z$4,$F$2)</f>
        <v>23331.65</v>
      </c>
      <c r="F38" s="103" t="n">
        <f aca="false">SUMIFS(נתונים_שטוחים!AA36:AL36,נתונים_שטוחים!$AA$4:$AL$4,$F$2)</f>
        <v>0</v>
      </c>
      <c r="G38" s="104" t="n">
        <f aca="false">IFERROR(F38/E38-1,"-")</f>
        <v>-1</v>
      </c>
      <c r="H38" s="103" t="n">
        <f aca="false">F38-E38</f>
        <v>-23331.65</v>
      </c>
      <c r="I38" s="103" t="n">
        <f aca="false">IFERROR(INDEX('תקציב  '!$A:$P,MATCH($B38,'תקציב  '!$C:$C,0),5+3*($F$2-1))+INDEX('תקציב  '!$A:$P,MATCH($B38,'תקציב  '!$C:$C,0),6+3*($F$2-1))+INDEX('תקציב  '!$A:$P,MATCH($B38,'תקציב  '!$C:$C,0),7+3*($F$2-1)),"-")</f>
        <v>40000</v>
      </c>
      <c r="J38" s="104" t="n">
        <f aca="false">IFERROR(F38/I38-1,"-")</f>
        <v>-1</v>
      </c>
      <c r="K38" s="103" t="n">
        <f aca="false">IFERROR(F38-I38,"-")</f>
        <v>-40000</v>
      </c>
      <c r="L38" s="103" t="n">
        <f aca="false">IF($F$2&lt;3,"-",IFERROR(INDEX('תקציב  '!$A:$AN,MATCH($B38,'תקציב  '!$C:$C,0),35+3*($F$2-3))+INDEX('תקציב  '!$A:$AN,MATCH($B38,'תקציב  '!$C:$C,0),36+3*($F$2-3))+INDEX('תקציב  '!$A:$AN,MATCH($B38,'תקציב  '!$C:$C,0),37+3*($F$2-3)),"-"))</f>
        <v>25000</v>
      </c>
      <c r="M38" s="104" t="n">
        <f aca="false">IF($F$2&lt;3,"-",IFERROR(F38/L38-1,"-"))</f>
        <v>-1</v>
      </c>
      <c r="N38" s="103" t="n">
        <f aca="false">IF($F$2&lt;3,"-",IFERROR(F38-L38,"-"))</f>
        <v>-25000</v>
      </c>
    </row>
    <row r="39" customFormat="false" ht="15" hidden="false" customHeight="true" outlineLevel="0" collapsed="false">
      <c r="A39" s="100" t="n">
        <v>212</v>
      </c>
      <c r="B39" s="102" t="str">
        <f aca="false">נתונים_שטוחים!A37</f>
        <v>QUADRIFOGLIO MEDICAL</v>
      </c>
      <c r="C39" s="102" t="str">
        <f aca="false">נתונים_שטוחים!B37</f>
        <v>יצוא</v>
      </c>
      <c r="D39" s="103" t="n">
        <f aca="false">SUMIFS(נתונים_שטוחים!C37:N37,נתונים_שטוחים!$C$4:$N$4,$F$2)</f>
        <v>0</v>
      </c>
      <c r="E39" s="103" t="n">
        <f aca="false">SUMIFS(נתונים_שטוחים!O37:Z37,נתונים_שטוחים!$O$4:$Z$4,$F$2)</f>
        <v>0</v>
      </c>
      <c r="F39" s="103" t="n">
        <f aca="false">SUMIFS(נתונים_שטוחים!AA37:AL37,נתונים_שטוחים!$AA$4:$AL$4,$F$2)</f>
        <v>0</v>
      </c>
      <c r="G39" s="104" t="str">
        <f aca="false">IFERROR(F39/E39-1,"-")</f>
        <v>-</v>
      </c>
      <c r="H39" s="103" t="n">
        <f aca="false">F39-E39</f>
        <v>0</v>
      </c>
      <c r="I39" s="103" t="str">
        <f aca="false">IFERROR(INDEX('תקציב  '!$A:$P,MATCH($B39,'תקציב  '!$C:$C,0),5+3*($F$2-1))+INDEX('תקציב  '!$A:$P,MATCH($B39,'תקציב  '!$C:$C,0),6+3*($F$2-1))+INDEX('תקציב  '!$A:$P,MATCH($B39,'תקציב  '!$C:$C,0),7+3*($F$2-1)),"-")</f>
        <v>-</v>
      </c>
      <c r="J39" s="104" t="str">
        <f aca="false">IFERROR(F39/I39-1,"-")</f>
        <v>-</v>
      </c>
      <c r="K39" s="103" t="str">
        <f aca="false">IFERROR(F39-I39,"-")</f>
        <v>-</v>
      </c>
      <c r="L39" s="103" t="str">
        <f aca="false">IF($F$2&lt;3,"-",IFERROR(INDEX('תקציב  '!$A:$AN,MATCH($B39,'תקציב  '!$C:$C,0),35+3*($F$2-3))+INDEX('תקציב  '!$A:$AN,MATCH($B39,'תקציב  '!$C:$C,0),36+3*($F$2-3))+INDEX('תקציב  '!$A:$AN,MATCH($B39,'תקציב  '!$C:$C,0),37+3*($F$2-3)),"-"))</f>
        <v>-</v>
      </c>
      <c r="M39" s="104" t="str">
        <f aca="false">IF($F$2&lt;3,"-",IFERROR(F39/L39-1,"-"))</f>
        <v>-</v>
      </c>
      <c r="N39" s="103" t="str">
        <f aca="false">IF($F$2&lt;3,"-",IFERROR(F39-L39,"-"))</f>
        <v>-</v>
      </c>
    </row>
    <row r="40" customFormat="false" ht="15" hidden="false" customHeight="true" outlineLevel="0" collapsed="false">
      <c r="A40" s="100" t="n">
        <v>215</v>
      </c>
      <c r="B40" s="102" t="str">
        <f aca="false">נתונים_שטוחים!A38</f>
        <v>YOUNG IN HEALTHCARE CO.,</v>
      </c>
      <c r="C40" s="102" t="str">
        <f aca="false">נתונים_שטוחים!B38</f>
        <v>יצוא</v>
      </c>
      <c r="D40" s="103" t="n">
        <f aca="false">SUMIFS(נתונים_שטוחים!C38:N38,נתונים_שטוחים!$C$4:$N$4,$F$2)</f>
        <v>0</v>
      </c>
      <c r="E40" s="103" t="n">
        <f aca="false">SUMIFS(נתונים_שטוחים!O38:Z38,נתונים_שטוחים!$O$4:$Z$4,$F$2)</f>
        <v>0</v>
      </c>
      <c r="F40" s="103" t="n">
        <f aca="false">SUMIFS(נתונים_שטוחים!AA38:AL38,נתונים_שטוחים!$AA$4:$AL$4,$F$2)</f>
        <v>0</v>
      </c>
      <c r="G40" s="104" t="str">
        <f aca="false">IFERROR(F40/E40-1,"-")</f>
        <v>-</v>
      </c>
      <c r="H40" s="103" t="n">
        <f aca="false">F40-E40</f>
        <v>0</v>
      </c>
      <c r="I40" s="103" t="n">
        <f aca="false">IFERROR(INDEX('תקציב  '!$A:$P,MATCH($B40,'תקציב  '!$C:$C,0),5+3*($F$2-1))+INDEX('תקציב  '!$A:$P,MATCH($B40,'תקציב  '!$C:$C,0),6+3*($F$2-1))+INDEX('תקציב  '!$A:$P,MATCH($B40,'תקציב  '!$C:$C,0),7+3*($F$2-1)),"-")</f>
        <v>20000</v>
      </c>
      <c r="J40" s="104" t="n">
        <f aca="false">IFERROR(F40/I40-1,"-")</f>
        <v>-1</v>
      </c>
      <c r="K40" s="103" t="n">
        <f aca="false">IFERROR(F40-I40,"-")</f>
        <v>-20000</v>
      </c>
      <c r="L40" s="103" t="n">
        <f aca="false">IF($F$2&lt;3,"-",IFERROR(INDEX('תקציב  '!$A:$AN,MATCH($B40,'תקציב  '!$C:$C,0),35+3*($F$2-3))+INDEX('תקציב  '!$A:$AN,MATCH($B40,'תקציב  '!$C:$C,0),36+3*($F$2-3))+INDEX('תקציב  '!$A:$AN,MATCH($B40,'תקציב  '!$C:$C,0),37+3*($F$2-3)),"-"))</f>
        <v>0</v>
      </c>
      <c r="M40" s="104" t="str">
        <f aca="false">IF($F$2&lt;3,"-",IFERROR(F40/L40-1,"-"))</f>
        <v>-</v>
      </c>
      <c r="N40" s="103" t="n">
        <f aca="false">IF($F$2&lt;3,"-",IFERROR(F40-L40,"-"))</f>
        <v>0</v>
      </c>
    </row>
    <row r="41" customFormat="false" ht="15" hidden="false" customHeight="true" outlineLevel="0" collapsed="false">
      <c r="A41" s="100" t="n">
        <v>217</v>
      </c>
      <c r="B41" s="102" t="str">
        <f aca="false">נתונים_שטוחים!A39</f>
        <v>HANS</v>
      </c>
      <c r="C41" s="102" t="str">
        <f aca="false">נתונים_שטוחים!B39</f>
        <v>יצוא</v>
      </c>
      <c r="D41" s="103" t="n">
        <f aca="false">SUMIFS(נתונים_שטוחים!C39:N39,נתונים_שטוחים!$C$4:$N$4,$F$2)</f>
        <v>161576.19</v>
      </c>
      <c r="E41" s="103" t="n">
        <f aca="false">SUMIFS(נתונים_שטוחים!O39:Z39,נתונים_שטוחים!$O$4:$Z$4,$F$2)</f>
        <v>0</v>
      </c>
      <c r="F41" s="103" t="n">
        <f aca="false">SUMIFS(נתונים_שטוחים!AA39:AL39,נתונים_שטוחים!$AA$4:$AL$4,$F$2)</f>
        <v>0</v>
      </c>
      <c r="G41" s="104" t="str">
        <f aca="false">IFERROR(F41/E41-1,"-")</f>
        <v>-</v>
      </c>
      <c r="H41" s="103" t="n">
        <f aca="false">F41-E41</f>
        <v>0</v>
      </c>
      <c r="I41" s="103" t="n">
        <f aca="false">IFERROR(INDEX('תקציב  '!$A:$P,MATCH($B41,'תקציב  '!$C:$C,0),5+3*($F$2-1))+INDEX('תקציב  '!$A:$P,MATCH($B41,'תקציב  '!$C:$C,0),6+3*($F$2-1))+INDEX('תקציב  '!$A:$P,MATCH($B41,'תקציב  '!$C:$C,0),7+3*($F$2-1)),"-")</f>
        <v>200000</v>
      </c>
      <c r="J41" s="104" t="n">
        <f aca="false">IFERROR(F41/I41-1,"-")</f>
        <v>-1</v>
      </c>
      <c r="K41" s="103" t="n">
        <f aca="false">IFERROR(F41-I41,"-")</f>
        <v>-200000</v>
      </c>
      <c r="L41" s="103" t="n">
        <f aca="false">IF($F$2&lt;3,"-",IFERROR(INDEX('תקציב  '!$A:$AN,MATCH($B41,'תקציב  '!$C:$C,0),35+3*($F$2-3))+INDEX('תקציב  '!$A:$AN,MATCH($B41,'תקציב  '!$C:$C,0),36+3*($F$2-3))+INDEX('תקציב  '!$A:$AN,MATCH($B41,'תקציב  '!$C:$C,0),37+3*($F$2-3)),"-"))</f>
        <v>0</v>
      </c>
      <c r="M41" s="104" t="str">
        <f aca="false">IF($F$2&lt;3,"-",IFERROR(F41/L41-1,"-"))</f>
        <v>-</v>
      </c>
      <c r="N41" s="103" t="n">
        <f aca="false">IF($F$2&lt;3,"-",IFERROR(F41-L41,"-"))</f>
        <v>0</v>
      </c>
    </row>
    <row r="42" customFormat="false" ht="15" hidden="false" customHeight="true" outlineLevel="0" collapsed="false">
      <c r="A42" s="100" t="n">
        <v>303</v>
      </c>
      <c r="B42" s="102" t="str">
        <f aca="false">נתונים_שטוחים!A40</f>
        <v>NEW DISTRIBUTORS</v>
      </c>
      <c r="C42" s="102" t="str">
        <f aca="false">נתונים_שטוחים!B40</f>
        <v>יצוא</v>
      </c>
      <c r="D42" s="103" t="n">
        <f aca="false">SUMIFS(נתונים_שטוחים!C40:N40,נתונים_שטוחים!$C$4:$N$4,$F$2)</f>
        <v>0</v>
      </c>
      <c r="E42" s="103" t="n">
        <f aca="false">SUMIFS(נתונים_שטוחים!O40:Z40,נתונים_שטוחים!$O$4:$Z$4,$F$2)</f>
        <v>0</v>
      </c>
      <c r="F42" s="103" t="n">
        <f aca="false">SUMIFS(נתונים_שטוחים!AA40:AL40,נתונים_שטוחים!$AA$4:$AL$4,$F$2)</f>
        <v>0</v>
      </c>
      <c r="G42" s="104" t="str">
        <f aca="false">IFERROR(F42/E42-1,"-")</f>
        <v>-</v>
      </c>
      <c r="H42" s="103" t="n">
        <f aca="false">F42-E42</f>
        <v>0</v>
      </c>
      <c r="I42" s="103" t="n">
        <f aca="false">IFERROR(INDEX('תקציב  '!$A:$P,MATCH($B42,'תקציב  '!$C:$C,0),5+3*($F$2-1))+INDEX('תקציב  '!$A:$P,MATCH($B42,'תקציב  '!$C:$C,0),6+3*($F$2-1))+INDEX('תקציב  '!$A:$P,MATCH($B42,'תקציב  '!$C:$C,0),7+3*($F$2-1)),"-")</f>
        <v>200000</v>
      </c>
      <c r="J42" s="104" t="n">
        <f aca="false">IFERROR(F42/I42-1,"-")</f>
        <v>-1</v>
      </c>
      <c r="K42" s="103" t="n">
        <f aca="false">IFERROR(F42-I42,"-")</f>
        <v>-200000</v>
      </c>
      <c r="L42" s="103" t="n">
        <f aca="false">IF($F$2&lt;3,"-",IFERROR(INDEX('תקציב  '!$A:$AN,MATCH($B42,'תקציב  '!$C:$C,0),35+3*($F$2-3))+INDEX('תקציב  '!$A:$AN,MATCH($B42,'תקציב  '!$C:$C,0),36+3*($F$2-3))+INDEX('תקציב  '!$A:$AN,MATCH($B42,'תקציב  '!$C:$C,0),37+3*($F$2-3)),"-"))</f>
        <v>100000</v>
      </c>
      <c r="M42" s="104" t="n">
        <f aca="false">IF($F$2&lt;3,"-",IFERROR(F42/L42-1,"-"))</f>
        <v>-1</v>
      </c>
      <c r="N42" s="103" t="n">
        <f aca="false">IF($F$2&lt;3,"-",IFERROR(F42-L42,"-"))</f>
        <v>-100000</v>
      </c>
    </row>
    <row r="43" customFormat="false" ht="15" hidden="false" customHeight="true" outlineLevel="0" collapsed="false">
      <c r="A43" s="100" t="n">
        <v>305</v>
      </c>
      <c r="B43" s="102" t="str">
        <f aca="false">נתונים_שטוחים!A41</f>
        <v>BAKU</v>
      </c>
      <c r="C43" s="102" t="str">
        <f aca="false">נתונים_שטוחים!B41</f>
        <v>יצוא</v>
      </c>
      <c r="D43" s="103" t="n">
        <f aca="false">SUMIFS(נתונים_שטוחים!C41:N41,נתונים_שטוחים!$C$4:$N$4,$F$2)</f>
        <v>0</v>
      </c>
      <c r="E43" s="103" t="n">
        <f aca="false">SUMIFS(נתונים_שטוחים!O41:Z41,נתונים_שטוחים!$O$4:$Z$4,$F$2)</f>
        <v>0</v>
      </c>
      <c r="F43" s="103" t="n">
        <f aca="false">SUMIFS(נתונים_שטוחים!AA41:AL41,נתונים_שטוחים!$AA$4:$AL$4,$F$2)</f>
        <v>0</v>
      </c>
      <c r="G43" s="104" t="str">
        <f aca="false">IFERROR(F43/E43-1,"-")</f>
        <v>-</v>
      </c>
      <c r="H43" s="103" t="n">
        <f aca="false">F43-E43</f>
        <v>0</v>
      </c>
      <c r="I43" s="103" t="str">
        <f aca="false">IFERROR(INDEX('תקציב  '!$A:$P,MATCH($B43,'תקציב  '!$C:$C,0),5+3*($F$2-1))+INDEX('תקציב  '!$A:$P,MATCH($B43,'תקציב  '!$C:$C,0),6+3*($F$2-1))+INDEX('תקציב  '!$A:$P,MATCH($B43,'תקציב  '!$C:$C,0),7+3*($F$2-1)),"-")</f>
        <v>-</v>
      </c>
      <c r="J43" s="104" t="str">
        <f aca="false">IFERROR(F43/I43-1,"-")</f>
        <v>-</v>
      </c>
      <c r="K43" s="103" t="str">
        <f aca="false">IFERROR(F43-I43,"-")</f>
        <v>-</v>
      </c>
      <c r="L43" s="103" t="str">
        <f aca="false">IF($F$2&lt;3,"-",IFERROR(INDEX('תקציב  '!$A:$AN,MATCH($B43,'תקציב  '!$C:$C,0),35+3*($F$2-3))+INDEX('תקציב  '!$A:$AN,MATCH($B43,'תקציב  '!$C:$C,0),36+3*($F$2-3))+INDEX('תקציב  '!$A:$AN,MATCH($B43,'תקציב  '!$C:$C,0),37+3*($F$2-3)),"-"))</f>
        <v>-</v>
      </c>
      <c r="M43" s="104" t="str">
        <f aca="false">IF($F$2&lt;3,"-",IFERROR(F43/L43-1,"-"))</f>
        <v>-</v>
      </c>
      <c r="N43" s="103" t="str">
        <f aca="false">IF($F$2&lt;3,"-",IFERROR(F43-L43,"-"))</f>
        <v>-</v>
      </c>
    </row>
    <row r="44" customFormat="false" ht="15" hidden="false" customHeight="true" outlineLevel="0" collapsed="false">
      <c r="A44" s="100" t="n">
        <v>302</v>
      </c>
      <c r="B44" s="102" t="str">
        <f aca="false">נתונים_שטוחים!A42</f>
        <v>MEXICO</v>
      </c>
      <c r="C44" s="102" t="str">
        <f aca="false">נתונים_שטוחים!B42</f>
        <v>יצוא</v>
      </c>
      <c r="D44" s="103" t="n">
        <f aca="false">SUMIFS(נתונים_שטוחים!C42:N42,נתונים_שטוחים!$C$4:$N$4,$F$2)</f>
        <v>0</v>
      </c>
      <c r="E44" s="103" t="n">
        <f aca="false">SUMIFS(נתונים_שטוחים!O42:Z42,נתונים_שטוחים!$O$4:$Z$4,$F$2)</f>
        <v>0</v>
      </c>
      <c r="F44" s="103" t="n">
        <f aca="false">SUMIFS(נתונים_שטוחים!AA42:AL42,נתונים_שטוחים!$AA$4:$AL$4,$F$2)</f>
        <v>0</v>
      </c>
      <c r="G44" s="104" t="str">
        <f aca="false">IFERROR(F44/E44-1,"-")</f>
        <v>-</v>
      </c>
      <c r="H44" s="103" t="n">
        <f aca="false">F44-E44</f>
        <v>0</v>
      </c>
      <c r="I44" s="103" t="str">
        <f aca="false">IFERROR(INDEX('תקציב  '!$A:$P,MATCH($B44,'תקציב  '!$C:$C,0),5+3*($F$2-1))+INDEX('תקציב  '!$A:$P,MATCH($B44,'תקציב  '!$C:$C,0),6+3*($F$2-1))+INDEX('תקציב  '!$A:$P,MATCH($B44,'תקציב  '!$C:$C,0),7+3*($F$2-1)),"-")</f>
        <v>-</v>
      </c>
      <c r="J44" s="104" t="str">
        <f aca="false">IFERROR(F44/I44-1,"-")</f>
        <v>-</v>
      </c>
      <c r="K44" s="103" t="str">
        <f aca="false">IFERROR(F44-I44,"-")</f>
        <v>-</v>
      </c>
      <c r="L44" s="103" t="str">
        <f aca="false">IF($F$2&lt;3,"-",IFERROR(INDEX('תקציב  '!$A:$AN,MATCH($B44,'תקציב  '!$C:$C,0),35+3*($F$2-3))+INDEX('תקציב  '!$A:$AN,MATCH($B44,'תקציב  '!$C:$C,0),36+3*($F$2-3))+INDEX('תקציב  '!$A:$AN,MATCH($B44,'תקציב  '!$C:$C,0),37+3*($F$2-3)),"-"))</f>
        <v>-</v>
      </c>
      <c r="M44" s="104" t="str">
        <f aca="false">IF($F$2&lt;3,"-",IFERROR(F44/L44-1,"-"))</f>
        <v>-</v>
      </c>
      <c r="N44" s="103" t="str">
        <f aca="false">IF($F$2&lt;3,"-",IFERROR(F44-L44,"-"))</f>
        <v>-</v>
      </c>
    </row>
    <row r="45" customFormat="false" ht="15" hidden="false" customHeight="true" outlineLevel="0" collapsed="false">
      <c r="A45" s="105"/>
      <c r="B45" s="107" t="s">
        <v>98</v>
      </c>
      <c r="C45" s="107"/>
      <c r="D45" s="108" t="n">
        <f aca="false">SUM(D23:D44)</f>
        <v>1853058.64</v>
      </c>
      <c r="E45" s="108" t="n">
        <f aca="false">SUM(E23:E44)</f>
        <v>1740109.33</v>
      </c>
      <c r="F45" s="108" t="n">
        <f aca="false">SUM(F23:F44)</f>
        <v>69313.17</v>
      </c>
      <c r="G45" s="109" t="n">
        <f aca="false">IFERROR(F45/E45-1,"-")</f>
        <v>-0.960167347645909</v>
      </c>
      <c r="H45" s="108" t="n">
        <f aca="false">SUM(H23:H44)</f>
        <v>-1670796.16</v>
      </c>
      <c r="I45" s="108" t="n">
        <f aca="false">SUM(I23:I44)</f>
        <v>2696627.35715</v>
      </c>
      <c r="J45" s="109" t="n">
        <f aca="false">IFERROR(F45/I45-1,"-")</f>
        <v>-0.974296348430858</v>
      </c>
      <c r="K45" s="108" t="n">
        <f aca="false">SUM(K23:K44)</f>
        <v>-2627314.18715</v>
      </c>
      <c r="L45" s="108" t="n">
        <f aca="false">IF($F$2&lt;3,"-",SUM(L23:L44))</f>
        <v>2130572.1</v>
      </c>
      <c r="M45" s="109" t="n">
        <f aca="false">IF($F$2&lt;3,"-",IFERROR(F45/L45-1,"-"))</f>
        <v>-0.96746734363038</v>
      </c>
      <c r="N45" s="108" t="n">
        <f aca="false">IF($F$2&lt;3,"-",SUM(N23:N44))</f>
        <v>-2061258.93</v>
      </c>
    </row>
    <row r="46" customFormat="false" ht="15" hidden="false" customHeight="true" outlineLevel="0" collapsed="false">
      <c r="A46" s="110"/>
      <c r="B46" s="112" t="s">
        <v>116</v>
      </c>
      <c r="C46" s="112"/>
      <c r="D46" s="113" t="n">
        <f aca="false">SUM(D5:D18)+SUM(D20:D21)+SUM(D23:D44)</f>
        <v>5991738.124</v>
      </c>
      <c r="E46" s="113" t="n">
        <f aca="false">SUM(E5:E18)+SUM(E20:E21)+SUM(E23:E44)</f>
        <v>6153613.75</v>
      </c>
      <c r="F46" s="113" t="n">
        <f aca="false">SUM(F5:F18)+SUM(F20:F21)+SUM(F23:F44)</f>
        <v>324577.686</v>
      </c>
      <c r="G46" s="114" t="n">
        <f aca="false">IFERROR(F46/E46-1,"-")</f>
        <v>-0.947254134044406</v>
      </c>
      <c r="H46" s="113" t="n">
        <f aca="false">SUM(H5:H18)+SUM(H20:H21)+SUM(H23:H44)</f>
        <v>-5829036.064</v>
      </c>
      <c r="I46" s="113" t="n">
        <f aca="false">SUM(I5:I18)+SUM(I20:I21)+SUM(I23:I44)</f>
        <v>12514120.9105116</v>
      </c>
      <c r="J46" s="114" t="n">
        <f aca="false">IFERROR(F46/I46-1,"-")</f>
        <v>-0.97406308534806</v>
      </c>
      <c r="K46" s="113" t="n">
        <f aca="false">SUM(K5:K18)+SUM(K20:K21)+SUM(K23:K44)</f>
        <v>-12189543.2245116</v>
      </c>
      <c r="L46" s="113" t="n">
        <f aca="false">IF($F$2&lt;3,"-",SUM(L5:L18)+SUM(L20:L21)+SUM(L23:L44))</f>
        <v>10553450.0661017</v>
      </c>
      <c r="M46" s="114" t="n">
        <f aca="false">IF($F$2&lt;3,"-",IFERROR(F46/L46-1,"-"))</f>
        <v>-0.969244400270338</v>
      </c>
      <c r="N46" s="113" t="n">
        <f aca="false">IF($F$2&lt;3,"-",SUM(N5:N18)+SUM(N20:N21)+SUM(N23:N44))</f>
        <v>-10228872.3801017</v>
      </c>
    </row>
    <row r="47" customFormat="false" ht="15" hidden="false" customHeight="true" outlineLevel="0" collapsed="false">
      <c r="A47" s="115"/>
      <c r="B47" s="95" t="s">
        <v>117</v>
      </c>
      <c r="D47" s="116" t="n">
        <f aca="false">D45/D46</f>
        <v>0.309268963638038</v>
      </c>
      <c r="E47" s="116" t="n">
        <f aca="false">E45/E46</f>
        <v>0.282778445429728</v>
      </c>
      <c r="F47" s="116" t="n">
        <f aca="false">F45/F46</f>
        <v>0.213548783510645</v>
      </c>
    </row>
  </sheetData>
  <mergeCells count="1">
    <mergeCell ref="A1:N1"/>
  </mergeCells>
  <dataValidations count="1">
    <dataValidation allowBlank="false" error="בחר רבעון מהרשימה (Q1-Q4)" errorStyle="stop" operator="between" prompt="בחר רבעון" showDropDown="false" showErrorMessage="false" showInputMessage="false" sqref="D2" type="list">
      <formula1>"Q1,Q2,Q3,Q4"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F37" activeCellId="0" sqref="F37"/>
    </sheetView>
  </sheetViews>
  <sheetFormatPr defaultColWidth="8.625" defaultRowHeight="14.25" zeroHeight="false" outlineLevelRow="0" outlineLevelCol="0"/>
  <cols>
    <col collapsed="false" customWidth="true" hidden="true" outlineLevel="0" max="1" min="1" style="1" width="15.38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8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8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19" t="s">
        <v>127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customFormat="false" ht="15" hidden="false" customHeight="true" outlineLevel="0" collapsed="false">
      <c r="B2" s="77"/>
      <c r="C2" s="10"/>
      <c r="D2" s="10" t="s">
        <v>3</v>
      </c>
      <c r="E2" s="120" t="n">
        <v>1.2024</v>
      </c>
      <c r="F2" s="120" t="n">
        <v>1.2025</v>
      </c>
      <c r="G2" s="120" t="n">
        <v>1.2026</v>
      </c>
      <c r="H2" s="121" t="s">
        <v>128</v>
      </c>
      <c r="I2" s="122" t="s">
        <v>129</v>
      </c>
      <c r="J2" s="122" t="s">
        <v>130</v>
      </c>
      <c r="K2" s="123" t="s">
        <v>111</v>
      </c>
      <c r="L2" s="124" t="s">
        <v>112</v>
      </c>
    </row>
    <row r="3" customFormat="false" ht="14.25" hidden="false" customHeight="true" outlineLevel="0" collapsed="false">
      <c r="A3" s="85" t="s">
        <v>131</v>
      </c>
      <c r="B3" s="24" t="s">
        <v>31</v>
      </c>
      <c r="C3" s="24" t="s">
        <v>31</v>
      </c>
      <c r="D3" s="26" t="s">
        <v>32</v>
      </c>
      <c r="E3" s="125" t="n">
        <v>-594.08</v>
      </c>
      <c r="F3" s="125" t="n">
        <v>58427.8</v>
      </c>
      <c r="G3" s="125" t="n">
        <v>63104</v>
      </c>
      <c r="H3" s="126" t="n">
        <f aca="false">G3/F3-1</f>
        <v>0.0800338195174215</v>
      </c>
      <c r="I3" s="127" t="n">
        <f aca="false">G3-F3</f>
        <v>4676.2</v>
      </c>
      <c r="J3" s="128" t="n">
        <f aca="false">VLOOKUP(B3,'תקציב  '!$B:$S,4,0)*1</f>
        <v>176666.666666667</v>
      </c>
      <c r="K3" s="126" t="n">
        <f aca="false">G3/J3-1</f>
        <v>-0.642807547169812</v>
      </c>
      <c r="L3" s="129" t="n">
        <f aca="false">G3-J3</f>
        <v>-113562.666666667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25" t="n">
        <v>452441.08</v>
      </c>
      <c r="F4" s="125" t="n">
        <v>670882.199700005</v>
      </c>
      <c r="G4" s="125" t="n">
        <f aca="false">465886*0.91</f>
        <v>423956.26</v>
      </c>
      <c r="H4" s="126" t="n">
        <f aca="false">G4/F4-1</f>
        <v>-0.36806154614092</v>
      </c>
      <c r="I4" s="127" t="n">
        <f aca="false">G4-F4</f>
        <v>-246925.939700005</v>
      </c>
      <c r="J4" s="128" t="n">
        <f aca="false">VLOOKUP(B4,'תקציב  '!$B:$S,4,0)*1</f>
        <v>536666.666666667</v>
      </c>
      <c r="K4" s="126" t="n">
        <f aca="false">G4/J4-1</f>
        <v>-0.210019391304348</v>
      </c>
      <c r="L4" s="129" t="n">
        <f aca="false">G4-J4</f>
        <v>-112710.406666667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25" t="n">
        <v>63301.42</v>
      </c>
      <c r="F5" s="125" t="n">
        <v>54489.89</v>
      </c>
      <c r="G5" s="125" t="n">
        <f aca="false">(74936-611)*0.91</f>
        <v>67635.75</v>
      </c>
      <c r="H5" s="126" t="n">
        <f aca="false">G5/F5-1</f>
        <v>0.241253193941115</v>
      </c>
      <c r="I5" s="127" t="n">
        <f aca="false">G5-F5</f>
        <v>13145.86</v>
      </c>
      <c r="J5" s="128" t="n">
        <f aca="false">VLOOKUP(B5,'תקציב  '!$B:$S,4,0)*1</f>
        <v>73000</v>
      </c>
      <c r="K5" s="126" t="n">
        <f aca="false">G5/J5-1</f>
        <v>-0.0734828767123288</v>
      </c>
      <c r="L5" s="129" t="n">
        <f aca="false">G5-J5</f>
        <v>-5364.25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25" t="n">
        <v>164714.584</v>
      </c>
      <c r="F6" s="125" t="n">
        <v>136160.380299998</v>
      </c>
      <c r="G6" s="125" t="n">
        <f aca="false">675284.8-G5-G4+8477</f>
        <v>192169.79</v>
      </c>
      <c r="H6" s="126" t="n">
        <f aca="false">G6/F6-1</f>
        <v>0.411348804818246</v>
      </c>
      <c r="I6" s="127" t="n">
        <f aca="false">G6-F6</f>
        <v>56009.409700002</v>
      </c>
      <c r="J6" s="128" t="n">
        <f aca="false">VLOOKUP(A6,'תקציב  '!$B:$S,4,0)*1</f>
        <v>152333.333333333</v>
      </c>
      <c r="K6" s="126" t="n">
        <f aca="false">G6/J6-1</f>
        <v>0.261508468271338</v>
      </c>
      <c r="L6" s="129" t="n">
        <f aca="false">G6-J6</f>
        <v>39836.456666667</v>
      </c>
    </row>
    <row r="7" customFormat="false" ht="14.25" hidden="false" customHeight="true" outlineLevel="0" collapsed="false">
      <c r="A7" s="85" t="s">
        <v>132</v>
      </c>
      <c r="B7" s="24" t="s">
        <v>36</v>
      </c>
      <c r="C7" s="24" t="s">
        <v>36</v>
      </c>
      <c r="D7" s="26" t="s">
        <v>32</v>
      </c>
      <c r="E7" s="125" t="n">
        <v>414961</v>
      </c>
      <c r="F7" s="125" t="n">
        <v>326467.5</v>
      </c>
      <c r="G7" s="125" t="n">
        <v>320186.2</v>
      </c>
      <c r="H7" s="126" t="n">
        <f aca="false">G7/F7-1</f>
        <v>-0.0192402000199101</v>
      </c>
      <c r="I7" s="127" t="n">
        <f aca="false">G7-F7</f>
        <v>-6281.29999999999</v>
      </c>
      <c r="J7" s="128" t="n">
        <f aca="false">VLOOKUP(B7,'תקציב  '!$B:$S,4,0)*1</f>
        <v>365000</v>
      </c>
      <c r="K7" s="126" t="n">
        <f aca="false">G7/J7-1</f>
        <v>-0.122777534246575</v>
      </c>
      <c r="L7" s="129" t="n">
        <f aca="false">G7-J7</f>
        <v>-44813.8</v>
      </c>
    </row>
    <row r="8" customFormat="false" ht="14.25" hidden="false" customHeight="true" outlineLevel="0" collapsed="false">
      <c r="A8" s="85" t="s">
        <v>133</v>
      </c>
      <c r="B8" s="24" t="s">
        <v>37</v>
      </c>
      <c r="C8" s="24" t="s">
        <v>37</v>
      </c>
      <c r="D8" s="26" t="s">
        <v>32</v>
      </c>
      <c r="E8" s="125" t="n">
        <v>74817.97</v>
      </c>
      <c r="F8" s="125" t="n">
        <v>57834.64</v>
      </c>
      <c r="G8" s="125" t="n">
        <v>60425.14</v>
      </c>
      <c r="H8" s="126" t="n">
        <f aca="false">G8/F8-1</f>
        <v>0.0447914952008002</v>
      </c>
      <c r="I8" s="127" t="n">
        <f aca="false">G8-F8</f>
        <v>2590.5</v>
      </c>
      <c r="J8" s="128" t="n">
        <f aca="false">VLOOKUP(B8,'תקציב  '!$B:$S,4,0)*1</f>
        <v>83333.3333333333</v>
      </c>
      <c r="K8" s="126" t="n">
        <f aca="false">G8/J8-1</f>
        <v>-0.27489832</v>
      </c>
      <c r="L8" s="129" t="n">
        <f aca="false">G8-J8</f>
        <v>-22908.1933333333</v>
      </c>
    </row>
    <row r="9" customFormat="false" ht="14.25" hidden="false" customHeight="true" outlineLevel="0" collapsed="false">
      <c r="A9" s="85" t="s">
        <v>134</v>
      </c>
      <c r="B9" s="24" t="s">
        <v>38</v>
      </c>
      <c r="C9" s="24" t="s">
        <v>38</v>
      </c>
      <c r="D9" s="26" t="s">
        <v>32</v>
      </c>
      <c r="E9" s="125" t="n">
        <v>91890.1</v>
      </c>
      <c r="F9" s="125" t="n">
        <v>72633.3</v>
      </c>
      <c r="G9" s="125" t="n">
        <v>86618.03</v>
      </c>
      <c r="H9" s="126" t="n">
        <f aca="false">G9/F9-1</f>
        <v>0.192538821725021</v>
      </c>
      <c r="I9" s="127" t="n">
        <f aca="false">G9-F9</f>
        <v>13984.73</v>
      </c>
      <c r="J9" s="128" t="n">
        <f aca="false">VLOOKUP(B9,'תקציב  '!$B:$S,4,0)*1</f>
        <v>127583.333333333</v>
      </c>
      <c r="K9" s="126" t="n">
        <f aca="false">G9/J9-1</f>
        <v>-0.321086636185498</v>
      </c>
      <c r="L9" s="129" t="n">
        <f aca="false">G9-J9</f>
        <v>-40965.303333333</v>
      </c>
    </row>
    <row r="10" customFormat="false" ht="14.25" hidden="false" customHeight="true" outlineLevel="0" collapsed="false">
      <c r="A10" s="85" t="s">
        <v>135</v>
      </c>
      <c r="B10" s="36" t="s">
        <v>39</v>
      </c>
      <c r="C10" s="36" t="s">
        <v>39</v>
      </c>
      <c r="D10" s="26" t="s">
        <v>32</v>
      </c>
      <c r="E10" s="125" t="n">
        <v>15878.93</v>
      </c>
      <c r="F10" s="125" t="n">
        <v>16402.68</v>
      </c>
      <c r="G10" s="125" t="n">
        <v>18073.66</v>
      </c>
      <c r="H10" s="126" t="n">
        <f aca="false">G10/F10-1</f>
        <v>0.101872376953035</v>
      </c>
      <c r="I10" s="127" t="n">
        <f aca="false">G10-F10</f>
        <v>1670.98</v>
      </c>
      <c r="J10" s="128" t="n">
        <f aca="false">VLOOKUP(B10,'תקציב  '!$B:$S,4,0)*1</f>
        <v>15833.3333333333</v>
      </c>
      <c r="K10" s="126" t="n">
        <f aca="false">G10/J10-1</f>
        <v>0.141494315789476</v>
      </c>
      <c r="L10" s="129" t="n">
        <f aca="false">G10-J10</f>
        <v>2240.3266666667</v>
      </c>
    </row>
    <row r="11" customFormat="false" ht="14.25" hidden="false" customHeight="true" outlineLevel="0" collapsed="false">
      <c r="A11" s="85" t="s">
        <v>136</v>
      </c>
      <c r="B11" s="24" t="s">
        <v>40</v>
      </c>
      <c r="C11" s="24" t="s">
        <v>40</v>
      </c>
      <c r="D11" s="26" t="s">
        <v>32</v>
      </c>
      <c r="E11" s="125" t="n">
        <v>5667.68</v>
      </c>
      <c r="F11" s="125" t="n">
        <v>6025.5</v>
      </c>
      <c r="G11" s="125" t="n">
        <v>5894.68</v>
      </c>
      <c r="H11" s="126" t="n">
        <f aca="false">G11/F11-1</f>
        <v>-0.0217110613227117</v>
      </c>
      <c r="I11" s="127" t="n">
        <f aca="false">G11-F11</f>
        <v>-130.82</v>
      </c>
      <c r="J11" s="128" t="n">
        <f aca="false">VLOOKUP(B11,'תקציב  '!$B:$S,4,0)*1</f>
        <v>6333.33333333333</v>
      </c>
      <c r="K11" s="126" t="n">
        <f aca="false">G11/J11-1</f>
        <v>-0.0692610526315785</v>
      </c>
      <c r="L11" s="129" t="n">
        <f aca="false">G11-J11</f>
        <v>-438.65333333333</v>
      </c>
    </row>
    <row r="12" customFormat="false" ht="14.25" hidden="false" customHeight="true" outlineLevel="0" collapsed="false">
      <c r="A12" s="85" t="s">
        <v>137</v>
      </c>
      <c r="B12" s="24" t="s">
        <v>41</v>
      </c>
      <c r="C12" s="24" t="s">
        <v>41</v>
      </c>
      <c r="D12" s="26" t="s">
        <v>32</v>
      </c>
      <c r="E12" s="125" t="n">
        <v>0</v>
      </c>
      <c r="F12" s="125" t="n">
        <v>1162.85</v>
      </c>
      <c r="G12" s="125" t="n">
        <v>810.6</v>
      </c>
      <c r="H12" s="126" t="n">
        <f aca="false">G12/F12-1</f>
        <v>-0.302919551102894</v>
      </c>
      <c r="I12" s="127" t="n">
        <f aca="false">G12-F12</f>
        <v>-352.25</v>
      </c>
      <c r="J12" s="128" t="n">
        <f aca="false">VLOOKUP(B12,'תקציב  '!$B:$S,4,0)*1</f>
        <v>0</v>
      </c>
      <c r="K12" s="126"/>
      <c r="L12" s="129" t="n">
        <f aca="false">G12-J12</f>
        <v>810.6</v>
      </c>
    </row>
    <row r="13" customFormat="false" ht="14.25" hidden="false" customHeight="true" outlineLevel="0" collapsed="false">
      <c r="A13" s="85" t="s">
        <v>138</v>
      </c>
      <c r="B13" s="24" t="s">
        <v>47</v>
      </c>
      <c r="C13" s="24" t="s">
        <v>47</v>
      </c>
      <c r="D13" s="26" t="s">
        <v>32</v>
      </c>
      <c r="E13" s="125" t="n">
        <v>0</v>
      </c>
      <c r="F13" s="125" t="n">
        <v>0</v>
      </c>
      <c r="G13" s="125"/>
      <c r="H13" s="126" t="str">
        <f aca="false">IFERROR(G13/F13-1,"-")</f>
        <v>-</v>
      </c>
      <c r="I13" s="127" t="n">
        <f aca="false">G13-F13</f>
        <v>0</v>
      </c>
      <c r="J13" s="128" t="n">
        <f aca="false">VLOOKUP(B13,'תקציב  '!$B:$S,4,0)*1</f>
        <v>0</v>
      </c>
      <c r="K13" s="126"/>
      <c r="L13" s="129" t="n">
        <f aca="false">G13-J13</f>
        <v>0</v>
      </c>
    </row>
    <row r="14" customFormat="false" ht="14.25" hidden="false" customHeight="true" outlineLevel="0" collapsed="false">
      <c r="A14" s="85" t="s">
        <v>139</v>
      </c>
      <c r="B14" s="24" t="s">
        <v>43</v>
      </c>
      <c r="C14" s="24" t="s">
        <v>43</v>
      </c>
      <c r="D14" s="26" t="s">
        <v>32</v>
      </c>
      <c r="E14" s="125" t="n">
        <v>0</v>
      </c>
      <c r="F14" s="125" t="n">
        <v>0</v>
      </c>
      <c r="G14" s="125" t="n">
        <v>2523.6</v>
      </c>
      <c r="H14" s="126" t="str">
        <f aca="false">IFERROR(G14/F14-1,"-")</f>
        <v>-</v>
      </c>
      <c r="I14" s="127" t="n">
        <f aca="false">G14-F14</f>
        <v>2523.6</v>
      </c>
      <c r="J14" s="128" t="n">
        <f aca="false">VLOOKUP(B14,'תקציב  '!$B:$S,4,0)*1</f>
        <v>0</v>
      </c>
      <c r="K14" s="126"/>
      <c r="L14" s="129" t="n">
        <f aca="false">G14-J14</f>
        <v>2523.6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25" t="n">
        <v>4135.49</v>
      </c>
      <c r="F15" s="125" t="n">
        <v>15213.91</v>
      </c>
      <c r="G15" s="125" t="n">
        <v>11467.92</v>
      </c>
      <c r="H15" s="126" t="n">
        <f aca="false">G15/F15-1</f>
        <v>-0.246221385560977</v>
      </c>
      <c r="I15" s="127" t="n">
        <f aca="false">G15-F15</f>
        <v>-3745.99</v>
      </c>
      <c r="J15" s="128" t="n">
        <f aca="false">VLOOKUP(B15,'תקציב  '!$B:$S,4,0)*1</f>
        <v>16666.6666666667</v>
      </c>
      <c r="K15" s="126" t="n">
        <f aca="false">G15/J15-1</f>
        <v>-0.311924800000001</v>
      </c>
      <c r="L15" s="129" t="n">
        <f aca="false">G15-J15</f>
        <v>-5198.7466666667</v>
      </c>
    </row>
    <row r="16" customFormat="false" ht="15" hidden="false" customHeight="true" outlineLevel="0" collapsed="false">
      <c r="B16" s="130" t="s">
        <v>115</v>
      </c>
      <c r="C16" s="130"/>
      <c r="D16" s="130"/>
      <c r="E16" s="131" t="n">
        <f aca="false">SUM(E3:E15)+E50</f>
        <v>1287214.174</v>
      </c>
      <c r="F16" s="131" t="n">
        <f aca="false">SUM(F3:F15)+F50</f>
        <v>1415700.65</v>
      </c>
      <c r="G16" s="131" t="n">
        <f aca="false">SUM(G3:G15)+G50</f>
        <v>1252865.63</v>
      </c>
      <c r="H16" s="132" t="n">
        <f aca="false">G16/F16-1</f>
        <v>-0.115020799065115</v>
      </c>
      <c r="I16" s="131" t="n">
        <f aca="false">SUM(I3:I15)+I50</f>
        <v>-162835.020000003</v>
      </c>
      <c r="J16" s="131" t="n">
        <f aca="false">SUM(J3:J15)+J50</f>
        <v>1553416.66666667</v>
      </c>
      <c r="K16" s="132" t="n">
        <f aca="false">G16/J16-1</f>
        <v>-0.193477412156</v>
      </c>
      <c r="L16" s="131" t="n">
        <f aca="false">SUM(L3:L15)+L50</f>
        <v>-300551.036666667</v>
      </c>
    </row>
    <row r="17" customFormat="false" ht="14.25" hidden="false" customHeight="true" outlineLevel="0" collapsed="false">
      <c r="A17" s="85" t="s">
        <v>141</v>
      </c>
      <c r="B17" s="24" t="s">
        <v>45</v>
      </c>
      <c r="C17" s="24" t="s">
        <v>45</v>
      </c>
      <c r="D17" s="26" t="s">
        <v>32</v>
      </c>
      <c r="E17" s="125" t="n">
        <v>42663.04</v>
      </c>
      <c r="F17" s="125" t="n">
        <v>92988.1699999996</v>
      </c>
      <c r="G17" s="125" t="n">
        <v>212354.119999999</v>
      </c>
      <c r="H17" s="126" t="n">
        <f aca="false">G17/F17-1</f>
        <v>1.28366812681656</v>
      </c>
      <c r="I17" s="127" t="n">
        <f aca="false">G17-F17</f>
        <v>119365.949999999</v>
      </c>
      <c r="J17" s="128" t="n">
        <f aca="false">VLOOKUP(B17,'תקציב  '!$B:$S,4,0)*1</f>
        <v>296610.169491525</v>
      </c>
      <c r="K17" s="126" t="n">
        <f aca="false">G17/J17-1</f>
        <v>-0.284063252571431</v>
      </c>
      <c r="L17" s="129" t="n">
        <f aca="false">G17-J17</f>
        <v>-84256.049491526</v>
      </c>
    </row>
    <row r="18" customFormat="false" ht="14.25" hidden="false" customHeight="true" outlineLevel="0" collapsed="false">
      <c r="A18" s="85" t="s">
        <v>142</v>
      </c>
      <c r="B18" s="38" t="s">
        <v>46</v>
      </c>
      <c r="C18" s="38" t="s">
        <v>46</v>
      </c>
      <c r="D18" s="26" t="s">
        <v>32</v>
      </c>
      <c r="E18" s="125" t="n">
        <v>1654.88</v>
      </c>
      <c r="F18" s="125" t="n">
        <v>2032.3</v>
      </c>
      <c r="G18" s="125" t="n">
        <v>1274.4</v>
      </c>
      <c r="H18" s="126" t="n">
        <f aca="false">G18/F18-1</f>
        <v>-0.372927225311224</v>
      </c>
      <c r="I18" s="127" t="n">
        <f aca="false">G18-F18</f>
        <v>-757.9</v>
      </c>
      <c r="J18" s="128" t="n">
        <f aca="false">VLOOKUP(B18,'תקציב  '!$B:$S,4,0)*1</f>
        <v>2536.92833333333</v>
      </c>
      <c r="K18" s="126" t="n">
        <f aca="false">G18/J18-1</f>
        <v>-0.497660228215617</v>
      </c>
      <c r="L18" s="129" t="n">
        <f aca="false">G18-J18</f>
        <v>-1262.52833333333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33" t="n">
        <f aca="false">E16+E17+E18</f>
        <v>1331532.094</v>
      </c>
      <c r="F19" s="133" t="n">
        <f aca="false">F16+F17+F18</f>
        <v>1510721.12</v>
      </c>
      <c r="G19" s="133" t="n">
        <f aca="false">G16+G17+G18</f>
        <v>1466494.15</v>
      </c>
      <c r="H19" s="134" t="n">
        <f aca="false">G19/F19-1</f>
        <v>-0.0292754032590764</v>
      </c>
      <c r="I19" s="133" t="n">
        <f aca="false">I16+I17+I18</f>
        <v>-44226.9700000036</v>
      </c>
      <c r="J19" s="133" t="n">
        <f aca="false">J16+J17+J18</f>
        <v>1852563.76449153</v>
      </c>
      <c r="K19" s="134" t="n">
        <f aca="false">G19/J19-1</f>
        <v>-0.208397476994532</v>
      </c>
      <c r="L19" s="133" t="n">
        <f aca="false">L16+L17+L18</f>
        <v>-386069.614491526</v>
      </c>
    </row>
    <row r="20" customFormat="false" ht="14.25" hidden="false" customHeight="true" outlineLevel="0" collapsed="false">
      <c r="A20" s="85" t="s">
        <v>143</v>
      </c>
      <c r="B20" s="84" t="s">
        <v>49</v>
      </c>
      <c r="C20" s="65" t="s">
        <v>50</v>
      </c>
      <c r="D20" s="26" t="s">
        <v>51</v>
      </c>
      <c r="E20" s="125" t="n">
        <v>391520.95</v>
      </c>
      <c r="F20" s="125" t="n">
        <v>187395.64</v>
      </c>
      <c r="G20" s="125" t="n">
        <v>178026.69</v>
      </c>
      <c r="H20" s="126" t="n">
        <f aca="false">G20/F20-1</f>
        <v>-0.0499955601955308</v>
      </c>
      <c r="I20" s="127" t="n">
        <f aca="false">G20-F20</f>
        <v>-9368.95000000001</v>
      </c>
      <c r="J20" s="128" t="n">
        <f aca="false">VLOOKUP(B20,'תקציב  '!$B:$S,4,0)*1</f>
        <v>272275.1101125</v>
      </c>
      <c r="K20" s="126" t="n">
        <f aca="false">G20/J20-1</f>
        <v>-0.346151435118539</v>
      </c>
      <c r="L20" s="129" t="n">
        <f aca="false">G20-J20</f>
        <v>-94248.4201125</v>
      </c>
    </row>
    <row r="21" customFormat="false" ht="14.25" hidden="false" customHeight="true" outlineLevel="0" collapsed="false">
      <c r="A21" s="85" t="s">
        <v>144</v>
      </c>
      <c r="B21" s="84" t="s">
        <v>52</v>
      </c>
      <c r="C21" s="65" t="s">
        <v>53</v>
      </c>
      <c r="D21" s="26" t="s">
        <v>54</v>
      </c>
      <c r="E21" s="125" t="n">
        <v>203.73</v>
      </c>
      <c r="F21" s="125" t="n">
        <v>0</v>
      </c>
      <c r="G21" s="125"/>
      <c r="H21" s="126" t="str">
        <f aca="false">IFERROR(G21/F21-1,"-")</f>
        <v>-</v>
      </c>
      <c r="I21" s="127" t="n">
        <f aca="false">G21-F21</f>
        <v>0</v>
      </c>
      <c r="J21" s="128" t="n">
        <f aca="false">VLOOKUP(B21,'תקציב  '!$B:$S,4,0)*1</f>
        <v>0</v>
      </c>
      <c r="K21" s="126" t="str">
        <f aca="false">IFERROR(G21/J21-1,"-")</f>
        <v>-</v>
      </c>
      <c r="L21" s="129" t="n">
        <f aca="false">G21-J21</f>
        <v>0</v>
      </c>
    </row>
    <row r="22" customFormat="false" ht="14.25" hidden="false" customHeight="true" outlineLevel="0" collapsed="false">
      <c r="A22" s="85" t="s">
        <v>145</v>
      </c>
      <c r="B22" s="84" t="s">
        <v>55</v>
      </c>
      <c r="C22" s="65" t="s">
        <v>56</v>
      </c>
      <c r="D22" s="26" t="s">
        <v>57</v>
      </c>
      <c r="E22" s="125" t="n">
        <v>49158.59</v>
      </c>
      <c r="F22" s="125" t="n">
        <v>18517.61</v>
      </c>
      <c r="G22" s="125" t="n">
        <v>124895.37</v>
      </c>
      <c r="H22" s="126" t="n">
        <f aca="false">G22/F22-1</f>
        <v>5.74468087404368</v>
      </c>
      <c r="I22" s="127" t="n">
        <f aca="false">G22-F22</f>
        <v>106377.76</v>
      </c>
      <c r="J22" s="128" t="n">
        <f aca="false">VLOOKUP(B22,'תקציב  '!$B:$S,4,0)*1</f>
        <v>124895.37</v>
      </c>
      <c r="K22" s="126" t="n">
        <f aca="false">G22/J22-1</f>
        <v>0</v>
      </c>
      <c r="L22" s="129" t="n">
        <f aca="false">G22-J22</f>
        <v>0</v>
      </c>
    </row>
    <row r="23" customFormat="false" ht="14.25" hidden="false" customHeight="true" outlineLevel="0" collapsed="false">
      <c r="A23" s="85" t="s">
        <v>146</v>
      </c>
      <c r="B23" s="84" t="s">
        <v>58</v>
      </c>
      <c r="C23" s="65" t="s">
        <v>59</v>
      </c>
      <c r="D23" s="26" t="s">
        <v>60</v>
      </c>
      <c r="E23" s="125" t="n">
        <v>68604.55</v>
      </c>
      <c r="F23" s="125" t="n">
        <v>0</v>
      </c>
      <c r="G23" s="125" t="n">
        <v>67158.97</v>
      </c>
      <c r="H23" s="126" t="str">
        <f aca="false">IFERROR(G23/F23-1,"-")</f>
        <v>-</v>
      </c>
      <c r="I23" s="127" t="n">
        <f aca="false">G23-F23</f>
        <v>67158.97</v>
      </c>
      <c r="J23" s="128" t="n">
        <f aca="false">VLOOKUP(B23,'תקציב  '!$B:$S,4,0)*1</f>
        <v>67158.97</v>
      </c>
      <c r="K23" s="126" t="n">
        <f aca="false">G23/J23-1</f>
        <v>0</v>
      </c>
      <c r="L23" s="129" t="n">
        <f aca="false">G23-J23</f>
        <v>0</v>
      </c>
    </row>
    <row r="24" customFormat="false" ht="14.25" hidden="false" customHeight="true" outlineLevel="0" collapsed="false">
      <c r="A24" s="85" t="s">
        <v>147</v>
      </c>
      <c r="B24" s="84" t="s">
        <v>61</v>
      </c>
      <c r="C24" s="65" t="s">
        <v>62</v>
      </c>
      <c r="D24" s="26" t="s">
        <v>63</v>
      </c>
      <c r="E24" s="125" t="n">
        <v>15923.68</v>
      </c>
      <c r="F24" s="125" t="n">
        <v>0</v>
      </c>
      <c r="G24" s="125" t="n">
        <v>15774.92</v>
      </c>
      <c r="H24" s="126" t="str">
        <f aca="false">IFERROR(G24/F24-1,"-")</f>
        <v>-</v>
      </c>
      <c r="I24" s="127" t="n">
        <f aca="false">G24-F24</f>
        <v>15774.92</v>
      </c>
      <c r="J24" s="128" t="n">
        <f aca="false">VLOOKUP(B24,'תקציב  '!$B:$S,4,0)*1</f>
        <v>15774.92</v>
      </c>
      <c r="K24" s="126" t="n">
        <f aca="false">G24/J24-1</f>
        <v>0</v>
      </c>
      <c r="L24" s="129" t="n">
        <f aca="false">G24-J24</f>
        <v>0</v>
      </c>
    </row>
    <row r="25" customFormat="false" ht="14.25" hidden="false" customHeight="true" outlineLevel="0" collapsed="false">
      <c r="A25" s="85" t="s">
        <v>148</v>
      </c>
      <c r="B25" s="84" t="s">
        <v>64</v>
      </c>
      <c r="C25" s="65" t="s">
        <v>65</v>
      </c>
      <c r="D25" s="26" t="s">
        <v>66</v>
      </c>
      <c r="E25" s="125" t="n">
        <v>50777.76</v>
      </c>
      <c r="F25" s="125" t="n">
        <v>0</v>
      </c>
      <c r="G25" s="125"/>
      <c r="H25" s="126" t="str">
        <f aca="false">IFERROR(G25/F25-1,"-")</f>
        <v>-</v>
      </c>
      <c r="I25" s="127" t="n">
        <f aca="false">G25-F25</f>
        <v>0</v>
      </c>
      <c r="J25" s="128" t="n">
        <f aca="false">VLOOKUP(B25,'תקציב  '!$B:$S,4,0)*1</f>
        <v>0</v>
      </c>
      <c r="K25" s="126" t="str">
        <f aca="false">IFERROR(G25/J25-1,"-")</f>
        <v>-</v>
      </c>
      <c r="L25" s="129" t="n">
        <f aca="false">G25-J25</f>
        <v>0</v>
      </c>
    </row>
    <row r="26" customFormat="false" ht="13.5" hidden="false" customHeight="true" outlineLevel="0" collapsed="false">
      <c r="A26" s="85" t="s">
        <v>149</v>
      </c>
      <c r="B26" s="84" t="s">
        <v>67</v>
      </c>
      <c r="C26" s="65" t="s">
        <v>68</v>
      </c>
      <c r="D26" s="26" t="s">
        <v>69</v>
      </c>
      <c r="E26" s="125" t="n">
        <v>249206.12</v>
      </c>
      <c r="F26" s="125" t="n">
        <v>0</v>
      </c>
      <c r="G26" s="125" t="n">
        <v>-1269.06</v>
      </c>
      <c r="H26" s="126" t="str">
        <f aca="false">IFERROR(G26/F26-1,"-")</f>
        <v>-</v>
      </c>
      <c r="I26" s="127" t="n">
        <f aca="false">G26-F26</f>
        <v>-1269.06</v>
      </c>
      <c r="J26" s="128" t="n">
        <f aca="false">VLOOKUP(B26,'תקציב  '!$B:$S,4,0)*1</f>
        <v>0</v>
      </c>
      <c r="K26" s="126" t="str">
        <f aca="false">IFERROR(G26/J26-1,"-")</f>
        <v>-</v>
      </c>
      <c r="L26" s="129" t="n">
        <f aca="false">G26-J26</f>
        <v>-1269.06</v>
      </c>
    </row>
    <row r="27" customFormat="false" ht="14.25" hidden="false" customHeight="true" outlineLevel="0" collapsed="false">
      <c r="A27" s="85" t="s">
        <v>150</v>
      </c>
      <c r="B27" s="84" t="s">
        <v>70</v>
      </c>
      <c r="C27" s="65" t="s">
        <v>71</v>
      </c>
      <c r="D27" s="26" t="s">
        <v>72</v>
      </c>
      <c r="E27" s="125" t="n">
        <v>0</v>
      </c>
      <c r="F27" s="125" t="n">
        <v>0</v>
      </c>
      <c r="G27" s="125"/>
      <c r="H27" s="126" t="str">
        <f aca="false">IFERROR(G27/F27-1,"-")</f>
        <v>-</v>
      </c>
      <c r="I27" s="127" t="n">
        <f aca="false">G27-F27</f>
        <v>0</v>
      </c>
      <c r="J27" s="128" t="n">
        <f aca="false">VLOOKUP(B27,'תקציב  '!$B:$S,4,0)*1</f>
        <v>0</v>
      </c>
      <c r="K27" s="126" t="str">
        <f aca="false">IFERROR(G27/J27-1,"-")</f>
        <v>-</v>
      </c>
      <c r="L27" s="129" t="n">
        <f aca="false">G27-J27</f>
        <v>0</v>
      </c>
    </row>
    <row r="28" customFormat="false" ht="13.5" hidden="false" customHeight="true" outlineLevel="0" collapsed="false">
      <c r="A28" s="85" t="s">
        <v>151</v>
      </c>
      <c r="B28" s="84" t="s">
        <v>73</v>
      </c>
      <c r="C28" s="65" t="s">
        <v>74</v>
      </c>
      <c r="D28" s="26" t="s">
        <v>75</v>
      </c>
      <c r="E28" s="125" t="n">
        <v>0</v>
      </c>
      <c r="F28" s="125" t="n">
        <v>0</v>
      </c>
      <c r="G28" s="125"/>
      <c r="H28" s="126" t="str">
        <f aca="false">IFERROR(G28/F28-1,"-")</f>
        <v>-</v>
      </c>
      <c r="I28" s="127" t="n">
        <f aca="false">G28-F28</f>
        <v>0</v>
      </c>
      <c r="J28" s="128" t="n">
        <f aca="false">VLOOKUP(B28,'תקציב  '!$B:$S,4,0)*1</f>
        <v>0</v>
      </c>
      <c r="K28" s="126" t="str">
        <f aca="false">IFERROR(G28/J28-1,"-")</f>
        <v>-</v>
      </c>
      <c r="L28" s="129" t="n">
        <f aca="false">G28-J28</f>
        <v>0</v>
      </c>
    </row>
    <row r="29" customFormat="false" ht="13.5" hidden="false" customHeight="true" outlineLevel="0" collapsed="false">
      <c r="A29" s="85" t="s">
        <v>152</v>
      </c>
      <c r="B29" s="84" t="s">
        <v>76</v>
      </c>
      <c r="C29" s="65" t="s">
        <v>77</v>
      </c>
      <c r="D29" s="26" t="s">
        <v>78</v>
      </c>
      <c r="E29" s="125" t="n">
        <v>0</v>
      </c>
      <c r="F29" s="125" t="n">
        <v>0</v>
      </c>
      <c r="G29" s="125" t="n">
        <v>27429.74</v>
      </c>
      <c r="H29" s="126" t="str">
        <f aca="false">IFERROR(G29/F29-1,"-")</f>
        <v>-</v>
      </c>
      <c r="I29" s="127" t="n">
        <f aca="false">G29-F29</f>
        <v>27429.74</v>
      </c>
      <c r="J29" s="128" t="n">
        <f aca="false">VLOOKUP(B29,'תקציב  '!$B:$S,4,0)*1</f>
        <v>27429.74</v>
      </c>
      <c r="K29" s="126" t="n">
        <f aca="false">G29/J29-1</f>
        <v>0</v>
      </c>
      <c r="L29" s="129" t="n">
        <f aca="false">G29-J29</f>
        <v>0</v>
      </c>
    </row>
    <row r="30" customFormat="false" ht="14.25" hidden="false" customHeight="true" outlineLevel="0" collapsed="false">
      <c r="A30" s="85" t="s">
        <v>153</v>
      </c>
      <c r="B30" s="84" t="s">
        <v>79</v>
      </c>
      <c r="C30" s="65" t="s">
        <v>80</v>
      </c>
      <c r="D30" s="26" t="s">
        <v>81</v>
      </c>
      <c r="E30" s="125" t="n">
        <v>0</v>
      </c>
      <c r="F30" s="125" t="n">
        <v>0</v>
      </c>
      <c r="G30" s="125"/>
      <c r="H30" s="126" t="str">
        <f aca="false">IFERROR(G30/F30-1,"-")</f>
        <v>-</v>
      </c>
      <c r="I30" s="127" t="n">
        <f aca="false">G30-F30</f>
        <v>0</v>
      </c>
      <c r="J30" s="128" t="n">
        <f aca="false">VLOOKUP(B30,'תקציב  '!$B:$S,4,0)*1</f>
        <v>0</v>
      </c>
      <c r="K30" s="126" t="str">
        <f aca="false">IFERROR(G30/J30-1,"-")</f>
        <v>-</v>
      </c>
      <c r="L30" s="129" t="n">
        <f aca="false">G30-J30</f>
        <v>0</v>
      </c>
    </row>
    <row r="31" customFormat="false" ht="14.25" hidden="false" customHeight="true" outlineLevel="0" collapsed="false">
      <c r="A31" s="85" t="s">
        <v>154</v>
      </c>
      <c r="B31" s="84" t="s">
        <v>82</v>
      </c>
      <c r="C31" s="65" t="s">
        <v>83</v>
      </c>
      <c r="D31" s="26" t="s">
        <v>81</v>
      </c>
      <c r="E31" s="125" t="n">
        <v>0</v>
      </c>
      <c r="F31" s="125" t="n">
        <v>19897.57</v>
      </c>
      <c r="G31" s="125"/>
      <c r="H31" s="126" t="n">
        <f aca="false">G31/F31-1</f>
        <v>-1</v>
      </c>
      <c r="I31" s="127" t="n">
        <f aca="false">G31-F31</f>
        <v>-19897.57</v>
      </c>
      <c r="J31" s="128" t="n">
        <f aca="false">VLOOKUP(B31,'תקציב  '!$B:$S,4,0)*1</f>
        <v>0</v>
      </c>
      <c r="K31" s="126" t="str">
        <f aca="false">IFERROR(G31/J31-1,"-")</f>
        <v>-</v>
      </c>
      <c r="L31" s="129" t="n">
        <f aca="false">G31-J31</f>
        <v>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25" t="n">
        <v>0</v>
      </c>
      <c r="F32" s="125" t="n">
        <v>0</v>
      </c>
      <c r="G32" s="125"/>
      <c r="H32" s="126" t="str">
        <f aca="false">IFERROR(G32/F32-1,"-")</f>
        <v>-</v>
      </c>
      <c r="I32" s="127" t="n">
        <f aca="false">G32-F32</f>
        <v>0</v>
      </c>
      <c r="J32" s="128" t="n">
        <f aca="false">VLOOKUP(B32,'תקציב  '!$B:$S,4,0)*1</f>
        <v>0</v>
      </c>
      <c r="K32" s="126" t="str">
        <f aca="false">IFERROR(G32/J32-1,"-")</f>
        <v>-</v>
      </c>
      <c r="L32" s="129" t="n">
        <f aca="false">G32-J32</f>
        <v>0</v>
      </c>
    </row>
    <row r="33" customFormat="false" ht="13.5" hidden="false" customHeight="true" outlineLevel="0" collapsed="false">
      <c r="B33" s="84"/>
      <c r="C33" s="65" t="s">
        <v>155</v>
      </c>
      <c r="D33" s="26" t="s">
        <v>156</v>
      </c>
      <c r="E33" s="125"/>
      <c r="F33" s="125"/>
      <c r="G33" s="125"/>
      <c r="H33" s="126" t="str">
        <f aca="false">IFERROR(G33/F33-1,"-")</f>
        <v>-</v>
      </c>
      <c r="I33" s="127" t="n">
        <f aca="false">G33-F33</f>
        <v>0</v>
      </c>
      <c r="J33" s="128"/>
      <c r="K33" s="126" t="str">
        <f aca="false">IFERROR(G33/J33-1,"-")</f>
        <v>-</v>
      </c>
      <c r="L33" s="129" t="n">
        <f aca="false">G33-J33</f>
        <v>0</v>
      </c>
    </row>
    <row r="34" customFormat="false" ht="13.5" hidden="false" customHeight="true" outlineLevel="0" collapsed="false">
      <c r="A34" s="85" t="s">
        <v>157</v>
      </c>
      <c r="B34" s="84" t="s">
        <v>87</v>
      </c>
      <c r="C34" s="65" t="s">
        <v>88</v>
      </c>
      <c r="D34" s="26" t="s">
        <v>89</v>
      </c>
      <c r="E34" s="125" t="n">
        <v>20732.48</v>
      </c>
      <c r="F34" s="125" t="n">
        <v>19111.37</v>
      </c>
      <c r="G34" s="125" t="n">
        <v>18792.66</v>
      </c>
      <c r="H34" s="126" t="n">
        <f aca="false">G34/F34-1</f>
        <v>-0.0166764601386504</v>
      </c>
      <c r="I34" s="127" t="n">
        <f aca="false">G34-F34</f>
        <v>-318.709999999999</v>
      </c>
      <c r="J34" s="128" t="n">
        <f aca="false">VLOOKUP(B34,'תקציב  '!$B:$S,4,0)*1</f>
        <v>18792.66</v>
      </c>
      <c r="K34" s="126" t="n">
        <f aca="false">G34/J34-1</f>
        <v>0</v>
      </c>
      <c r="L34" s="129" t="n">
        <f aca="false">G34-J34</f>
        <v>0</v>
      </c>
    </row>
    <row r="35" customFormat="false" ht="13.5" hidden="false" customHeight="true" outlineLevel="0" collapsed="false">
      <c r="A35" s="85" t="s">
        <v>158</v>
      </c>
      <c r="B35" s="84" t="s">
        <v>90</v>
      </c>
      <c r="C35" s="65" t="s">
        <v>91</v>
      </c>
      <c r="D35" s="26" t="s">
        <v>92</v>
      </c>
      <c r="E35" s="125" t="n">
        <v>0</v>
      </c>
      <c r="F35" s="125" t="n">
        <v>0</v>
      </c>
      <c r="G35" s="125"/>
      <c r="H35" s="126" t="str">
        <f aca="false">IFERROR(G35/F35-1,"-")</f>
        <v>-</v>
      </c>
      <c r="I35" s="127" t="n">
        <f aca="false">G35-F35</f>
        <v>0</v>
      </c>
      <c r="J35" s="128" t="n">
        <f aca="false">VLOOKUP(B35,'תקציב  '!$B:$S,4,0)*1</f>
        <v>0</v>
      </c>
      <c r="K35" s="126" t="str">
        <f aca="false">IFERROR(G35/J35-1,"-")</f>
        <v>-</v>
      </c>
      <c r="L35" s="129" t="n">
        <f aca="false">G35-J35</f>
        <v>0</v>
      </c>
    </row>
    <row r="36" customFormat="false" ht="14.25" hidden="false" customHeight="true" outlineLevel="0" collapsed="false">
      <c r="A36" s="85" t="s">
        <v>159</v>
      </c>
      <c r="B36" s="85" t="s">
        <v>159</v>
      </c>
      <c r="C36" s="65" t="s">
        <v>160</v>
      </c>
      <c r="D36" s="26" t="s">
        <v>78</v>
      </c>
      <c r="E36" s="125" t="n">
        <v>0</v>
      </c>
      <c r="F36" s="125" t="n">
        <v>0</v>
      </c>
      <c r="G36" s="125"/>
      <c r="H36" s="126" t="str">
        <f aca="false">IFERROR(G36/F36-1,"-")</f>
        <v>-</v>
      </c>
      <c r="I36" s="127" t="n">
        <f aca="false">G36-F36</f>
        <v>0</v>
      </c>
      <c r="J36" s="128"/>
      <c r="K36" s="126" t="str">
        <f aca="false">IFERROR(G36/J36-1,"-")</f>
        <v>-</v>
      </c>
      <c r="L36" s="129" t="n">
        <f aca="false">G36-J36</f>
        <v>0</v>
      </c>
    </row>
    <row r="37" customFormat="false" ht="14.25" hidden="false" customHeight="true" outlineLevel="0" collapsed="false">
      <c r="A37" s="85" t="s">
        <v>161</v>
      </c>
      <c r="B37" s="85" t="s">
        <v>161</v>
      </c>
      <c r="C37" s="65" t="s">
        <v>93</v>
      </c>
      <c r="D37" s="26" t="s">
        <v>162</v>
      </c>
      <c r="E37" s="125" t="n">
        <v>0</v>
      </c>
      <c r="F37" s="125" t="n">
        <v>0</v>
      </c>
      <c r="G37" s="125"/>
      <c r="H37" s="126" t="str">
        <f aca="false">IFERROR(G37/F37-1,"-")</f>
        <v>-</v>
      </c>
      <c r="I37" s="127" t="n">
        <f aca="false">G37-F37</f>
        <v>0</v>
      </c>
      <c r="J37" s="128"/>
      <c r="K37" s="126" t="str">
        <f aca="false">IFERROR(G37/J37-1,"-")</f>
        <v>-</v>
      </c>
      <c r="L37" s="129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25" t="n">
        <v>0</v>
      </c>
      <c r="F38" s="125" t="n">
        <v>0</v>
      </c>
      <c r="G38" s="125"/>
      <c r="H38" s="126" t="str">
        <f aca="false">IFERROR(G38/F38-1,"-")</f>
        <v>-</v>
      </c>
      <c r="I38" s="127" t="n">
        <f aca="false">G38-F38</f>
        <v>0</v>
      </c>
      <c r="J38" s="128"/>
      <c r="K38" s="126" t="str">
        <f aca="false">IFERROR(G38/J38-1,"-")</f>
        <v>-</v>
      </c>
      <c r="L38" s="129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25"/>
      <c r="F39" s="125"/>
      <c r="G39" s="125"/>
      <c r="H39" s="126" t="str">
        <f aca="false">IFERROR(G39/F39-1,"-")</f>
        <v>-</v>
      </c>
      <c r="I39" s="127" t="n">
        <f aca="false">G39-F39</f>
        <v>0</v>
      </c>
      <c r="J39" s="128" t="n">
        <f aca="false">VLOOKUP(B39,'תקציב  '!$B:$S,4,0)*1</f>
        <v>0</v>
      </c>
      <c r="K39" s="126" t="str">
        <f aca="false">IFERROR(G39/J39-1,"-")</f>
        <v>-</v>
      </c>
      <c r="L39" s="129" t="n">
        <f aca="false">G39-J39</f>
        <v>0</v>
      </c>
    </row>
    <row r="40" customFormat="false" ht="15" hidden="false" customHeight="true" outlineLevel="0" collapsed="false">
      <c r="B40" s="135" t="s">
        <v>98</v>
      </c>
      <c r="C40" s="135"/>
      <c r="D40" s="135"/>
      <c r="E40" s="136" t="n">
        <f aca="false">SUM(E20:E39)+E51+E52</f>
        <v>846127.86</v>
      </c>
      <c r="F40" s="136" t="n">
        <f aca="false">SUM(F20:F39)+F51+F52</f>
        <v>244922.19</v>
      </c>
      <c r="G40" s="136" t="n">
        <f aca="false">SUM(G20:G39)+G51+G52</f>
        <v>430809.29</v>
      </c>
      <c r="H40" s="137" t="n">
        <f aca="false">G40/F40-1</f>
        <v>0.758963897881201</v>
      </c>
      <c r="I40" s="136" t="n">
        <f aca="false">SUM(I20:I39)+I51+I52</f>
        <v>185887.1</v>
      </c>
      <c r="J40" s="136" t="n">
        <f aca="false">SUM(J20:J39)+J51+J52</f>
        <v>526326.7701125</v>
      </c>
      <c r="K40" s="137" t="n">
        <f aca="false">G40/J40-1</f>
        <v>-0.181479425969695</v>
      </c>
      <c r="L40" s="136" t="n">
        <f aca="false">SUM(L20:L39)+L51+L52</f>
        <v>-95517.4801125</v>
      </c>
    </row>
    <row r="41" customFormat="false" ht="16.5" hidden="false" customHeight="true" outlineLevel="0" collapsed="false">
      <c r="B41" s="138" t="s">
        <v>163</v>
      </c>
      <c r="C41" s="138"/>
      <c r="D41" s="138"/>
      <c r="E41" s="139" t="n">
        <f aca="false">E40+E19</f>
        <v>2177659.954</v>
      </c>
      <c r="F41" s="139" t="n">
        <f aca="false">F40+F19</f>
        <v>1755643.31</v>
      </c>
      <c r="G41" s="139" t="n">
        <f aca="false">G40+G19</f>
        <v>1897303.44</v>
      </c>
      <c r="H41" s="140" t="n">
        <f aca="false">G41/F41-1</f>
        <v>0.0806884457640751</v>
      </c>
      <c r="I41" s="139" t="n">
        <f aca="false">I40+I19</f>
        <v>141660.129999996</v>
      </c>
      <c r="J41" s="139" t="n">
        <f aca="false">J40+J19</f>
        <v>2378890.53460403</v>
      </c>
      <c r="K41" s="140" t="n">
        <f aca="false">G41/J41-1</f>
        <v>-0.202441889443302</v>
      </c>
      <c r="L41" s="139" t="n">
        <f aca="false">L40+L19</f>
        <v>-481587.094604026</v>
      </c>
    </row>
    <row r="42" customFormat="false" ht="15.75" hidden="false" customHeight="true" outlineLevel="0" collapsed="false">
      <c r="B42" s="141" t="s">
        <v>117</v>
      </c>
      <c r="C42" s="141"/>
      <c r="D42" s="141"/>
      <c r="E42" s="142" t="n">
        <f aca="false">E40/E41</f>
        <v>0.388549120557506</v>
      </c>
      <c r="F42" s="142" t="n">
        <f aca="false">F40/F41</f>
        <v>0.139505666444285</v>
      </c>
      <c r="G42" s="142" t="n">
        <f aca="false">G40/G41</f>
        <v>0.227063990354648</v>
      </c>
      <c r="H42" s="143"/>
      <c r="I42" s="5"/>
      <c r="J42" s="76" t="n">
        <f aca="false">J41-'תקציב  '!E41*1</f>
        <v>0</v>
      </c>
    </row>
    <row r="43" customFormat="false" ht="14.25" hidden="false" customHeight="true" outlineLevel="0" collapsed="false">
      <c r="E43" s="144" t="n">
        <v>0</v>
      </c>
      <c r="I43" s="5"/>
    </row>
    <row r="50" customFormat="false" ht="14.25" hidden="false" customHeight="true" outlineLevel="0" collapsed="false">
      <c r="A50" s="85"/>
      <c r="B50" s="24" t="s">
        <v>164</v>
      </c>
      <c r="C50" s="24" t="s">
        <v>164</v>
      </c>
      <c r="D50" s="26" t="s">
        <v>32</v>
      </c>
      <c r="E50" s="125"/>
      <c r="F50" s="125"/>
      <c r="G50" s="125" t="n">
        <v>0</v>
      </c>
      <c r="H50" s="126" t="str">
        <f aca="false">IFERROR(G50/F50-1,"-")</f>
        <v>-</v>
      </c>
      <c r="I50" s="127" t="n">
        <f aca="false">G50-F50</f>
        <v>0</v>
      </c>
      <c r="J50" s="128"/>
      <c r="K50" s="126" t="str">
        <f aca="false">IFERROR(G50/J50-1,"-")</f>
        <v>-</v>
      </c>
      <c r="L50" s="129" t="n">
        <f aca="false">G50-J50</f>
        <v>0</v>
      </c>
    </row>
    <row r="51" customFormat="false" ht="14.25" hidden="false" customHeight="true" outlineLevel="0" collapsed="false">
      <c r="A51" s="85"/>
      <c r="B51" s="84" t="s">
        <v>165</v>
      </c>
      <c r="C51" s="65" t="s">
        <v>165</v>
      </c>
      <c r="D51" s="26" t="s">
        <v>166</v>
      </c>
      <c r="E51" s="125"/>
      <c r="F51" s="125"/>
      <c r="G51" s="125" t="n">
        <v>0</v>
      </c>
      <c r="H51" s="126" t="str">
        <f aca="false">IFERROR(G51/F51-1,"-")</f>
        <v>-</v>
      </c>
      <c r="I51" s="127" t="n">
        <f aca="false">G51-F51</f>
        <v>0</v>
      </c>
      <c r="J51" s="128"/>
      <c r="K51" s="126" t="str">
        <f aca="false">IFERROR(G51/J51-1,"-")</f>
        <v>-</v>
      </c>
      <c r="L51" s="129" t="n">
        <f aca="false">G51-J51</f>
        <v>0</v>
      </c>
    </row>
    <row r="52" customFormat="false" ht="14.25" hidden="false" customHeight="true" outlineLevel="0" collapsed="false">
      <c r="A52" s="85"/>
      <c r="B52" s="84" t="s">
        <v>167</v>
      </c>
      <c r="C52" s="65" t="s">
        <v>167</v>
      </c>
      <c r="D52" s="26" t="s">
        <v>167</v>
      </c>
      <c r="E52" s="125"/>
      <c r="F52" s="125"/>
      <c r="G52" s="125" t="n">
        <v>0</v>
      </c>
      <c r="H52" s="126" t="str">
        <f aca="false">IFERROR(G52/F52-1,"-")</f>
        <v>-</v>
      </c>
      <c r="I52" s="127" t="n">
        <f aca="false">G52-F52</f>
        <v>0</v>
      </c>
      <c r="J52" s="128"/>
      <c r="K52" s="126" t="str">
        <f aca="false">IFERROR(G52/J52-1,"-")</f>
        <v>-</v>
      </c>
      <c r="L52" s="129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F39" activeCellId="0" sqref="F39"/>
    </sheetView>
  </sheetViews>
  <sheetFormatPr defaultColWidth="8.625" defaultRowHeight="14.25" zeroHeight="false" outlineLevelRow="0" outlineLevelCol="0"/>
  <cols>
    <col collapsed="false" customWidth="true" hidden="true" outlineLevel="0" max="1" min="1" style="1" width="8.12"/>
    <col collapsed="false" customWidth="true" hidden="tru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8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8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19" t="s">
        <v>168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customFormat="false" ht="15" hidden="false" customHeight="true" outlineLevel="0" collapsed="false">
      <c r="B2" s="77"/>
      <c r="C2" s="10"/>
      <c r="D2" s="10" t="s">
        <v>3</v>
      </c>
      <c r="E2" s="120" t="n">
        <v>2.2024</v>
      </c>
      <c r="F2" s="120" t="n">
        <v>2.2025</v>
      </c>
      <c r="G2" s="120" t="n">
        <v>2.2026</v>
      </c>
      <c r="H2" s="121" t="s">
        <v>128</v>
      </c>
      <c r="I2" s="122" t="s">
        <v>129</v>
      </c>
      <c r="J2" s="122" t="s">
        <v>130</v>
      </c>
      <c r="K2" s="123" t="s">
        <v>111</v>
      </c>
      <c r="L2" s="124" t="s">
        <v>112</v>
      </c>
    </row>
    <row r="3" customFormat="false" ht="14.25" hidden="false" customHeight="true" outlineLevel="0" collapsed="false">
      <c r="A3" s="85" t="s">
        <v>131</v>
      </c>
      <c r="B3" s="24" t="s">
        <v>31</v>
      </c>
      <c r="C3" s="24" t="s">
        <v>31</v>
      </c>
      <c r="D3" s="26" t="s">
        <v>32</v>
      </c>
      <c r="E3" s="125" t="n">
        <v>347582.74</v>
      </c>
      <c r="F3" s="125" t="n">
        <v>233209.9</v>
      </c>
      <c r="G3" s="125" t="n">
        <v>364352.2</v>
      </c>
      <c r="H3" s="126" t="n">
        <f aca="false">G3/F3-1</f>
        <v>0.562335904264785</v>
      </c>
      <c r="I3" s="127" t="n">
        <f aca="false">G3-F3</f>
        <v>131142.3</v>
      </c>
      <c r="J3" s="128" t="n">
        <f aca="false">VLOOKUP(B3,'תקציב  '!$B:$S,5,0)*1</f>
        <v>168253.968253968</v>
      </c>
      <c r="K3" s="126" t="n">
        <f aca="false">G3/J3-1</f>
        <v>1.16548949056604</v>
      </c>
      <c r="L3" s="129" t="n">
        <f aca="false">G3-J3</f>
        <v>196098.231746032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25" t="n">
        <v>422279.312</v>
      </c>
      <c r="F4" s="125" t="n">
        <v>406825.346200003</v>
      </c>
      <c r="G4" s="125" t="n">
        <v>469684.033</v>
      </c>
      <c r="H4" s="126" t="n">
        <f aca="false">G4/F4-1</f>
        <v>0.154510252094997</v>
      </c>
      <c r="I4" s="127" t="n">
        <f aca="false">G4-F4</f>
        <v>62858.686799997</v>
      </c>
      <c r="J4" s="128" t="n">
        <f aca="false">VLOOKUP(B4,'תקציב  '!$B:$S,5,0)*1</f>
        <v>532634.920634921</v>
      </c>
      <c r="K4" s="126" t="n">
        <f aca="false">G4/J4-1</f>
        <v>-0.118187683901538</v>
      </c>
      <c r="L4" s="129" t="n">
        <f aca="false">G4-J4</f>
        <v>-62950.8876349211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25" t="n">
        <v>82457.193</v>
      </c>
      <c r="F5" s="125" t="n">
        <v>65962.26</v>
      </c>
      <c r="G5" s="125" t="n">
        <v>68397.329</v>
      </c>
      <c r="H5" s="126" t="n">
        <f aca="false">G5/F5-1</f>
        <v>0.0369160941423172</v>
      </c>
      <c r="I5" s="127" t="n">
        <f aca="false">G5-F5</f>
        <v>2435.069</v>
      </c>
      <c r="J5" s="128" t="n">
        <f aca="false">VLOOKUP(B5,'תקציב  '!$B:$S,5,0)*1</f>
        <v>73428.5714285714</v>
      </c>
      <c r="K5" s="126" t="n">
        <f aca="false">G5/J5-1</f>
        <v>-0.0685188657587547</v>
      </c>
      <c r="L5" s="129" t="n">
        <f aca="false">G5-J5</f>
        <v>-5031.24242857141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25" t="n">
        <v>163451.946</v>
      </c>
      <c r="F6" s="125" t="n">
        <v>133409.823800003</v>
      </c>
      <c r="G6" s="125" t="n">
        <v>140722.24</v>
      </c>
      <c r="H6" s="126" t="n">
        <f aca="false">G6/F6-1</f>
        <v>0.0548116772192064</v>
      </c>
      <c r="I6" s="127" t="n">
        <f aca="false">G6-F6</f>
        <v>7312.41619999698</v>
      </c>
      <c r="J6" s="128" t="n">
        <f aca="false">VLOOKUP(A6,'תקציב  '!$B:$S,5,0)*1</f>
        <v>156793.650793651</v>
      </c>
      <c r="K6" s="126" t="n">
        <f aca="false">G6/J6-1</f>
        <v>-0.102500392792064</v>
      </c>
      <c r="L6" s="129" t="n">
        <f aca="false">G6-J6</f>
        <v>-16071.410793651</v>
      </c>
    </row>
    <row r="7" customFormat="false" ht="14.25" hidden="false" customHeight="true" outlineLevel="0" collapsed="false">
      <c r="A7" s="85" t="s">
        <v>132</v>
      </c>
      <c r="B7" s="24" t="s">
        <v>36</v>
      </c>
      <c r="C7" s="24" t="s">
        <v>36</v>
      </c>
      <c r="D7" s="26" t="s">
        <v>32</v>
      </c>
      <c r="E7" s="125" t="n">
        <v>385135</v>
      </c>
      <c r="F7" s="125" t="n">
        <v>371734.5</v>
      </c>
      <c r="G7" s="125" t="n">
        <v>299047.35</v>
      </c>
      <c r="H7" s="126" t="n">
        <f aca="false">G7/F7-1</f>
        <v>-0.195535119823422</v>
      </c>
      <c r="I7" s="127" t="n">
        <f aca="false">G7-F7</f>
        <v>-72687.15</v>
      </c>
      <c r="J7" s="128" t="n">
        <f aca="false">VLOOKUP(B7,'תקציב  '!$B:$S,5,0)*1</f>
        <v>365000</v>
      </c>
      <c r="K7" s="126" t="n">
        <f aca="false">G7/J7-1</f>
        <v>-0.180692191780822</v>
      </c>
      <c r="L7" s="129" t="n">
        <f aca="false">G7-J7</f>
        <v>-65952.65</v>
      </c>
    </row>
    <row r="8" customFormat="false" ht="14.25" hidden="false" customHeight="true" outlineLevel="0" collapsed="false">
      <c r="A8" s="85" t="s">
        <v>133</v>
      </c>
      <c r="B8" s="24" t="s">
        <v>37</v>
      </c>
      <c r="C8" s="24" t="s">
        <v>37</v>
      </c>
      <c r="D8" s="26" t="s">
        <v>32</v>
      </c>
      <c r="E8" s="125" t="n">
        <v>91523.03</v>
      </c>
      <c r="F8" s="125" t="n">
        <v>82146.14</v>
      </c>
      <c r="G8" s="125" t="n">
        <v>59215.28</v>
      </c>
      <c r="H8" s="126" t="n">
        <f aca="false">G8/F8-1</f>
        <v>-0.279147139476061</v>
      </c>
      <c r="I8" s="127" t="n">
        <f aca="false">G8-F8</f>
        <v>-22930.86</v>
      </c>
      <c r="J8" s="128" t="n">
        <f aca="false">VLOOKUP(B8,'תקציב  '!$B:$S,5,0)*1</f>
        <v>109365.079365079</v>
      </c>
      <c r="K8" s="126" t="n">
        <f aca="false">G8/J8-1</f>
        <v>-0.458554043541363</v>
      </c>
      <c r="L8" s="129" t="n">
        <f aca="false">G8-J8</f>
        <v>-50149.799365079</v>
      </c>
    </row>
    <row r="9" customFormat="false" ht="14.25" hidden="false" customHeight="true" outlineLevel="0" collapsed="false">
      <c r="A9" s="85" t="s">
        <v>134</v>
      </c>
      <c r="B9" s="24" t="s">
        <v>38</v>
      </c>
      <c r="C9" s="24" t="s">
        <v>38</v>
      </c>
      <c r="D9" s="26" t="s">
        <v>32</v>
      </c>
      <c r="E9" s="125" t="n">
        <v>85829.2</v>
      </c>
      <c r="F9" s="125" t="n">
        <v>46378.11</v>
      </c>
      <c r="G9" s="125" t="n">
        <v>81282.23</v>
      </c>
      <c r="H9" s="126" t="n">
        <f aca="false">G9/F9-1</f>
        <v>0.752599017079394</v>
      </c>
      <c r="I9" s="127" t="n">
        <f aca="false">G9-F9</f>
        <v>34904.12</v>
      </c>
      <c r="J9" s="128" t="n">
        <f aca="false">VLOOKUP(B9,'תקציב  '!$B:$S,5,0)*1</f>
        <v>155079.365079365</v>
      </c>
      <c r="K9" s="126" t="n">
        <f aca="false">G9/J9-1</f>
        <v>-0.475866889457523</v>
      </c>
      <c r="L9" s="129" t="n">
        <f aca="false">G9-J9</f>
        <v>-73797.135079365</v>
      </c>
    </row>
    <row r="10" customFormat="false" ht="14.25" hidden="false" customHeight="true" outlineLevel="0" collapsed="false">
      <c r="A10" s="85" t="s">
        <v>135</v>
      </c>
      <c r="B10" s="36" t="s">
        <v>39</v>
      </c>
      <c r="C10" s="36" t="s">
        <v>39</v>
      </c>
      <c r="D10" s="26" t="s">
        <v>32</v>
      </c>
      <c r="E10" s="125" t="n">
        <v>11131.68</v>
      </c>
      <c r="F10" s="125" t="n">
        <v>17589.94</v>
      </c>
      <c r="G10" s="125" t="n">
        <v>11368.09</v>
      </c>
      <c r="H10" s="126" t="n">
        <f aca="false">G10/F10-1</f>
        <v>-0.353716385615869</v>
      </c>
      <c r="I10" s="127" t="n">
        <f aca="false">G10-F10</f>
        <v>-6221.85</v>
      </c>
      <c r="J10" s="128" t="n">
        <f aca="false">VLOOKUP(B10,'תקציב  '!$B:$S,5,0)*1</f>
        <v>15079.3650793651</v>
      </c>
      <c r="K10" s="126" t="n">
        <f aca="false">G10/J10-1</f>
        <v>-0.246116136842106</v>
      </c>
      <c r="L10" s="129" t="n">
        <f aca="false">G10-J10</f>
        <v>-3711.2750793651</v>
      </c>
    </row>
    <row r="11" customFormat="false" ht="14.25" hidden="false" customHeight="true" outlineLevel="0" collapsed="false">
      <c r="A11" s="85" t="s">
        <v>136</v>
      </c>
      <c r="B11" s="24" t="s">
        <v>40</v>
      </c>
      <c r="C11" s="24" t="s">
        <v>40</v>
      </c>
      <c r="D11" s="26" t="s">
        <v>32</v>
      </c>
      <c r="E11" s="125" t="n">
        <v>0</v>
      </c>
      <c r="F11" s="125" t="n">
        <v>4045.81</v>
      </c>
      <c r="G11" s="125" t="n">
        <v>3319.04</v>
      </c>
      <c r="H11" s="126" t="n">
        <f aca="false">G11/F11-1</f>
        <v>-0.17963522755641</v>
      </c>
      <c r="I11" s="127" t="n">
        <f aca="false">G11-F11</f>
        <v>-726.77</v>
      </c>
      <c r="J11" s="128" t="n">
        <f aca="false">VLOOKUP(B11,'תקציב  '!$B:$S,5,0)*1</f>
        <v>7936.50793650794</v>
      </c>
      <c r="K11" s="126" t="n">
        <f aca="false">G11/J11-1</f>
        <v>-0.58180096</v>
      </c>
      <c r="L11" s="129" t="n">
        <f aca="false">G11-J11</f>
        <v>-4617.46793650794</v>
      </c>
    </row>
    <row r="12" customFormat="false" ht="14.25" hidden="false" customHeight="true" outlineLevel="0" collapsed="false">
      <c r="A12" s="85" t="s">
        <v>137</v>
      </c>
      <c r="B12" s="24" t="s">
        <v>41</v>
      </c>
      <c r="C12" s="24" t="s">
        <v>41</v>
      </c>
      <c r="D12" s="26" t="s">
        <v>32</v>
      </c>
      <c r="E12" s="125" t="n">
        <v>0</v>
      </c>
      <c r="F12" s="125" t="n">
        <v>569.45</v>
      </c>
      <c r="G12" s="125"/>
      <c r="H12" s="126" t="n">
        <f aca="false">G12/F12-1</f>
        <v>-1</v>
      </c>
      <c r="I12" s="127" t="n">
        <f aca="false">G12-F12</f>
        <v>-569.45</v>
      </c>
      <c r="J12" s="128" t="n">
        <f aca="false">VLOOKUP(B12,'תקציב  '!$B:$S,5,0)*1</f>
        <v>0</v>
      </c>
      <c r="K12" s="126"/>
      <c r="L12" s="129" t="n">
        <f aca="false">G12-J12</f>
        <v>0</v>
      </c>
    </row>
    <row r="13" customFormat="false" ht="14.25" hidden="false" customHeight="true" outlineLevel="0" collapsed="false">
      <c r="A13" s="85" t="s">
        <v>138</v>
      </c>
      <c r="B13" s="24" t="s">
        <v>47</v>
      </c>
      <c r="C13" s="24" t="s">
        <v>47</v>
      </c>
      <c r="D13" s="26" t="s">
        <v>32</v>
      </c>
      <c r="E13" s="125" t="n">
        <v>0</v>
      </c>
      <c r="F13" s="125" t="n">
        <v>0</v>
      </c>
      <c r="G13" s="125"/>
      <c r="H13" s="126" t="str">
        <f aca="false">IFERROR(G13/F13-1,"-")</f>
        <v>-</v>
      </c>
      <c r="I13" s="127" t="n">
        <f aca="false">G13-F13</f>
        <v>0</v>
      </c>
      <c r="J13" s="128" t="n">
        <f aca="false">VLOOKUP(B13,'תקציב  '!$B:$S,5,0)*1</f>
        <v>0</v>
      </c>
      <c r="K13" s="126" t="str">
        <f aca="false">IFERROR(G13/J13-1,"-")</f>
        <v>-</v>
      </c>
      <c r="L13" s="129" t="n">
        <f aca="false">G13-J13</f>
        <v>0</v>
      </c>
    </row>
    <row r="14" customFormat="false" ht="14.25" hidden="false" customHeight="true" outlineLevel="0" collapsed="false">
      <c r="A14" s="85" t="s">
        <v>139</v>
      </c>
      <c r="B14" s="24" t="s">
        <v>43</v>
      </c>
      <c r="C14" s="24" t="s">
        <v>43</v>
      </c>
      <c r="D14" s="26" t="s">
        <v>32</v>
      </c>
      <c r="E14" s="125" t="n">
        <v>0</v>
      </c>
      <c r="F14" s="125" t="n">
        <v>11067.51</v>
      </c>
      <c r="G14" s="125" t="n">
        <v>947.38</v>
      </c>
      <c r="H14" s="126" t="n">
        <f aca="false">G14/F14-1</f>
        <v>-0.914399896634383</v>
      </c>
      <c r="I14" s="127" t="n">
        <f aca="false">G14-F14</f>
        <v>-10120.13</v>
      </c>
      <c r="J14" s="128" t="n">
        <f aca="false">VLOOKUP(B14,'תקציב  '!$B:$S,5,0)*1</f>
        <v>0</v>
      </c>
      <c r="K14" s="126"/>
      <c r="L14" s="129" t="n">
        <f aca="false">G14-J14</f>
        <v>947.38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25" t="n">
        <v>8592.99</v>
      </c>
      <c r="F15" s="125" t="n">
        <v>12501.56</v>
      </c>
      <c r="G15" s="125" t="n">
        <v>15269.72</v>
      </c>
      <c r="H15" s="126" t="n">
        <f aca="false">G15/F15-1</f>
        <v>0.221425166139266</v>
      </c>
      <c r="I15" s="127" t="n">
        <f aca="false">G15-F15</f>
        <v>2768.16</v>
      </c>
      <c r="J15" s="128" t="n">
        <f aca="false">VLOOKUP(B15,'תקציב  '!$B:$S,5,0)*1</f>
        <v>15873.0158730159</v>
      </c>
      <c r="K15" s="126" t="n">
        <f aca="false">G15/J15-1</f>
        <v>-0.0380076400000017</v>
      </c>
      <c r="L15" s="129" t="n">
        <f aca="false">G15-J15</f>
        <v>-603.295873015901</v>
      </c>
    </row>
    <row r="16" customFormat="false" ht="15" hidden="false" customHeight="true" outlineLevel="0" collapsed="false">
      <c r="B16" s="130" t="s">
        <v>115</v>
      </c>
      <c r="C16" s="130"/>
      <c r="D16" s="130"/>
      <c r="E16" s="131" t="n">
        <f aca="false">SUM(E3:E15)+E50</f>
        <v>1597983.091</v>
      </c>
      <c r="F16" s="131" t="n">
        <f aca="false">SUM(F3:F15)+F50</f>
        <v>1385440.35000001</v>
      </c>
      <c r="G16" s="131" t="n">
        <f aca="false">SUM(G3:G15)+G50</f>
        <v>1513604.892</v>
      </c>
      <c r="H16" s="132" t="n">
        <f aca="false">G16/F16-1</f>
        <v>0.0925081631987934</v>
      </c>
      <c r="I16" s="131" t="n">
        <f aca="false">SUM(I3:I15)+I50</f>
        <v>128164.541999994</v>
      </c>
      <c r="J16" s="131" t="n">
        <f aca="false">SUM(J3:J15)+J50</f>
        <v>1599444.44444444</v>
      </c>
      <c r="K16" s="132" t="n">
        <f aca="false">G16/J16-1</f>
        <v>-0.0536683551233066</v>
      </c>
      <c r="L16" s="131" t="n">
        <f aca="false">SUM(L3:L15)+L50</f>
        <v>-85839.5524444444</v>
      </c>
    </row>
    <row r="17" customFormat="false" ht="14.25" hidden="false" customHeight="true" outlineLevel="0" collapsed="false">
      <c r="A17" s="85" t="s">
        <v>141</v>
      </c>
      <c r="B17" s="24" t="s">
        <v>45</v>
      </c>
      <c r="C17" s="24" t="s">
        <v>45</v>
      </c>
      <c r="D17" s="26" t="s">
        <v>32</v>
      </c>
      <c r="E17" s="125" t="n">
        <v>40630.42</v>
      </c>
      <c r="F17" s="125" t="n">
        <v>97231.1799999998</v>
      </c>
      <c r="G17" s="125" t="n">
        <v>236431.199999999</v>
      </c>
      <c r="H17" s="126" t="n">
        <f aca="false">G17/F17-1</f>
        <v>1.43163972709165</v>
      </c>
      <c r="I17" s="127" t="n">
        <f aca="false">G17-F17</f>
        <v>139200.019999999</v>
      </c>
      <c r="J17" s="128" t="n">
        <f aca="false">VLOOKUP(B17,'תקציב  '!$B:$S,5,0)*1</f>
        <v>444915.254237288</v>
      </c>
      <c r="K17" s="126" t="n">
        <f aca="false">G17/J17-1</f>
        <v>-0.468592731428574</v>
      </c>
      <c r="L17" s="129" t="n">
        <f aca="false">G17-J17</f>
        <v>-208484.054237289</v>
      </c>
    </row>
    <row r="18" customFormat="false" ht="14.25" hidden="false" customHeight="true" outlineLevel="0" collapsed="false">
      <c r="A18" s="85" t="s">
        <v>142</v>
      </c>
      <c r="B18" s="38" t="s">
        <v>46</v>
      </c>
      <c r="C18" s="38" t="s">
        <v>46</v>
      </c>
      <c r="D18" s="26" t="s">
        <v>32</v>
      </c>
      <c r="E18" s="125" t="n">
        <v>2455.66</v>
      </c>
      <c r="F18" s="125" t="n">
        <v>3188.82</v>
      </c>
      <c r="G18" s="125" t="n">
        <v>1747</v>
      </c>
      <c r="H18" s="126" t="n">
        <f aca="false">G18/F18-1</f>
        <v>-0.452148443624915</v>
      </c>
      <c r="I18" s="127" t="n">
        <f aca="false">G18-F18</f>
        <v>-1441.82</v>
      </c>
      <c r="J18" s="128" t="n">
        <f aca="false">VLOOKUP(B18,'תקציב  '!$B:$S,5,0)*1</f>
        <v>2536.92833333333</v>
      </c>
      <c r="K18" s="126" t="n">
        <f aca="false">G18/J18-1</f>
        <v>-0.311371954404177</v>
      </c>
      <c r="L18" s="129" t="n">
        <f aca="false">G18-J18</f>
        <v>-789.92833333333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33" t="n">
        <f aca="false">E16+E17+E18</f>
        <v>1641069.171</v>
      </c>
      <c r="F19" s="133" t="n">
        <f aca="false">F16+F17+F18</f>
        <v>1485860.35000001</v>
      </c>
      <c r="G19" s="133" t="n">
        <f aca="false">G16+G17+G18</f>
        <v>1751783.092</v>
      </c>
      <c r="H19" s="134" t="n">
        <f aca="false">G19/F19-1</f>
        <v>0.178968866084886</v>
      </c>
      <c r="I19" s="133" t="n">
        <f aca="false">I16+I17+I18</f>
        <v>265922.741999993</v>
      </c>
      <c r="J19" s="133" t="n">
        <f aca="false">J16+J17+J18</f>
        <v>2046896.62701507</v>
      </c>
      <c r="K19" s="134" t="n">
        <f aca="false">G19/J19-1</f>
        <v>-0.144176081547129</v>
      </c>
      <c r="L19" s="133" t="n">
        <f aca="false">L16+L17+L18</f>
        <v>-295113.535015067</v>
      </c>
    </row>
    <row r="20" customFormat="false" ht="14.25" hidden="false" customHeight="true" outlineLevel="0" collapsed="false">
      <c r="A20" s="85" t="s">
        <v>143</v>
      </c>
      <c r="B20" s="84" t="s">
        <v>49</v>
      </c>
      <c r="C20" s="65" t="s">
        <v>50</v>
      </c>
      <c r="D20" s="26" t="s">
        <v>51</v>
      </c>
      <c r="E20" s="125" t="n">
        <v>377981.61</v>
      </c>
      <c r="F20" s="125" t="n">
        <v>188313.47</v>
      </c>
      <c r="G20" s="125" t="n">
        <v>194189.2</v>
      </c>
      <c r="H20" s="126" t="n">
        <f aca="false">G20/F20-1</f>
        <v>0.031201857201187</v>
      </c>
      <c r="I20" s="127" t="n">
        <f aca="false">G20-F20</f>
        <v>5875.73000000001</v>
      </c>
      <c r="J20" s="128" t="n">
        <f aca="false">VLOOKUP(B20,'תקציב  '!$B:$S,5,0)*1</f>
        <v>312309.9243</v>
      </c>
      <c r="K20" s="126" t="n">
        <f aca="false">G20/J20-1</f>
        <v>-0.378216364929009</v>
      </c>
      <c r="L20" s="129" t="n">
        <f aca="false">G20-J20</f>
        <v>-118120.7243</v>
      </c>
    </row>
    <row r="21" customFormat="false" ht="14.25" hidden="false" customHeight="true" outlineLevel="0" collapsed="false">
      <c r="A21" s="85" t="s">
        <v>144</v>
      </c>
      <c r="B21" s="84" t="s">
        <v>52</v>
      </c>
      <c r="C21" s="65" t="s">
        <v>53</v>
      </c>
      <c r="D21" s="26" t="s">
        <v>54</v>
      </c>
      <c r="E21" s="125" t="n">
        <v>255841.44</v>
      </c>
      <c r="F21" s="125" t="n">
        <v>213082.56</v>
      </c>
      <c r="G21" s="145" t="n">
        <v>137198.2</v>
      </c>
      <c r="H21" s="126" t="n">
        <f aca="false">G21/F21-1</f>
        <v>-0.356126564276307</v>
      </c>
      <c r="I21" s="127" t="n">
        <f aca="false">G21-F21</f>
        <v>-75884.36</v>
      </c>
      <c r="J21" s="128" t="n">
        <f aca="false">VLOOKUP(B21,'תקציב  '!$B:$S,5,0)*1</f>
        <v>235200</v>
      </c>
      <c r="K21" s="126" t="n">
        <f aca="false">G21/J21-1</f>
        <v>-0.416674319727891</v>
      </c>
      <c r="L21" s="129" t="n">
        <f aca="false">G21-J21</f>
        <v>-98001.8</v>
      </c>
    </row>
    <row r="22" customFormat="false" ht="14.25" hidden="false" customHeight="true" outlineLevel="0" collapsed="false">
      <c r="A22" s="85" t="s">
        <v>145</v>
      </c>
      <c r="B22" s="84" t="s">
        <v>55</v>
      </c>
      <c r="C22" s="65" t="s">
        <v>56</v>
      </c>
      <c r="D22" s="26" t="s">
        <v>57</v>
      </c>
      <c r="E22" s="125" t="n">
        <v>73976.74</v>
      </c>
      <c r="F22" s="125" t="n">
        <v>35605.91</v>
      </c>
      <c r="G22" s="145" t="n">
        <v>17835.42</v>
      </c>
      <c r="H22" s="126" t="n">
        <f aca="false">G22/F22-1</f>
        <v>-0.499088213164612</v>
      </c>
      <c r="I22" s="127" t="n">
        <f aca="false">G22-F22</f>
        <v>-17770.49</v>
      </c>
      <c r="J22" s="128" t="n">
        <f aca="false">VLOOKUP(B22,'תקציב  '!$B:$S,5,0)*1</f>
        <v>11714.9</v>
      </c>
      <c r="K22" s="126" t="n">
        <f aca="false">G22/J22-1</f>
        <v>0.522456017550299</v>
      </c>
      <c r="L22" s="129" t="n">
        <f aca="false">G22-J22</f>
        <v>6120.52</v>
      </c>
    </row>
    <row r="23" customFormat="false" ht="14.25" hidden="false" customHeight="true" outlineLevel="0" collapsed="false">
      <c r="A23" s="85" t="s">
        <v>146</v>
      </c>
      <c r="B23" s="84" t="s">
        <v>58</v>
      </c>
      <c r="C23" s="65" t="s">
        <v>59</v>
      </c>
      <c r="D23" s="26" t="s">
        <v>60</v>
      </c>
      <c r="E23" s="125" t="n">
        <v>0</v>
      </c>
      <c r="F23" s="125" t="n">
        <v>85563.25</v>
      </c>
      <c r="G23" s="145"/>
      <c r="H23" s="126" t="n">
        <f aca="false">G23/F23-1</f>
        <v>-1</v>
      </c>
      <c r="I23" s="127" t="n">
        <f aca="false">G23-F23</f>
        <v>-85563.25</v>
      </c>
      <c r="J23" s="128" t="n">
        <f aca="false">VLOOKUP(B23,'תקציב  '!$B:$S,5,0)*1</f>
        <v>0</v>
      </c>
      <c r="K23" s="126" t="str">
        <f aca="false">IFERROR(G23/J23-1,"-")</f>
        <v>-</v>
      </c>
      <c r="L23" s="129" t="n">
        <f aca="false">G23-J23</f>
        <v>0</v>
      </c>
    </row>
    <row r="24" customFormat="false" ht="14.25" hidden="false" customHeight="true" outlineLevel="0" collapsed="false">
      <c r="A24" s="85" t="s">
        <v>147</v>
      </c>
      <c r="B24" s="84" t="s">
        <v>61</v>
      </c>
      <c r="C24" s="65" t="s">
        <v>62</v>
      </c>
      <c r="D24" s="26" t="s">
        <v>63</v>
      </c>
      <c r="E24" s="125" t="n">
        <v>0</v>
      </c>
      <c r="F24" s="125" t="n">
        <v>16335.18</v>
      </c>
      <c r="G24" s="145"/>
      <c r="H24" s="126" t="n">
        <f aca="false">G24/F24-1</f>
        <v>-1</v>
      </c>
      <c r="I24" s="127" t="n">
        <f aca="false">G24-F24</f>
        <v>-16335.18</v>
      </c>
      <c r="J24" s="128" t="n">
        <f aca="false">VLOOKUP(B24,'תקציב  '!$B:$S,5,0)*1</f>
        <v>0</v>
      </c>
      <c r="K24" s="126" t="str">
        <f aca="false">IFERROR(G24/J24-1,"-")</f>
        <v>-</v>
      </c>
      <c r="L24" s="129" t="n">
        <f aca="false">G24-J24</f>
        <v>0</v>
      </c>
    </row>
    <row r="25" customFormat="false" ht="14.25" hidden="false" customHeight="true" outlineLevel="0" collapsed="false">
      <c r="A25" s="85" t="s">
        <v>148</v>
      </c>
      <c r="B25" s="84" t="s">
        <v>64</v>
      </c>
      <c r="C25" s="65" t="s">
        <v>65</v>
      </c>
      <c r="D25" s="26" t="s">
        <v>66</v>
      </c>
      <c r="E25" s="125" t="n">
        <v>0</v>
      </c>
      <c r="F25" s="125" t="n">
        <v>0</v>
      </c>
      <c r="G25" s="145"/>
      <c r="H25" s="126" t="str">
        <f aca="false">IFERROR(G25/F25-1,"-")</f>
        <v>-</v>
      </c>
      <c r="I25" s="127" t="n">
        <f aca="false">G25-F25</f>
        <v>0</v>
      </c>
      <c r="J25" s="128" t="n">
        <f aca="false">VLOOKUP(B25,'תקציב  '!$B:$S,5,0)*1</f>
        <v>0</v>
      </c>
      <c r="K25" s="126" t="str">
        <f aca="false">IFERROR(G25/J25-1,"-")</f>
        <v>-</v>
      </c>
      <c r="L25" s="129" t="n">
        <f aca="false">G25-J25</f>
        <v>0</v>
      </c>
    </row>
    <row r="26" customFormat="false" ht="13.5" hidden="false" customHeight="true" outlineLevel="0" collapsed="false">
      <c r="A26" s="85" t="s">
        <v>149</v>
      </c>
      <c r="B26" s="84" t="s">
        <v>67</v>
      </c>
      <c r="C26" s="65" t="s">
        <v>68</v>
      </c>
      <c r="D26" s="26" t="s">
        <v>69</v>
      </c>
      <c r="E26" s="125" t="n">
        <v>0</v>
      </c>
      <c r="F26" s="125" t="n">
        <v>0</v>
      </c>
      <c r="G26" s="145"/>
      <c r="H26" s="126" t="str">
        <f aca="false">IFERROR(G26/F26-1,"-")</f>
        <v>-</v>
      </c>
      <c r="I26" s="127" t="n">
        <f aca="false">G26-F26</f>
        <v>0</v>
      </c>
      <c r="J26" s="128" t="n">
        <f aca="false">VLOOKUP(B26,'תקציב  '!$B:$S,5,0)*1</f>
        <v>0</v>
      </c>
      <c r="K26" s="126" t="str">
        <f aca="false">IFERROR(G26/J26-1,"-")</f>
        <v>-</v>
      </c>
      <c r="L26" s="129" t="n">
        <f aca="false">G26-J26</f>
        <v>0</v>
      </c>
    </row>
    <row r="27" customFormat="false" ht="14.25" hidden="false" customHeight="true" outlineLevel="0" collapsed="false">
      <c r="A27" s="85" t="s">
        <v>150</v>
      </c>
      <c r="B27" s="84" t="s">
        <v>70</v>
      </c>
      <c r="C27" s="65" t="s">
        <v>71</v>
      </c>
      <c r="D27" s="26" t="s">
        <v>72</v>
      </c>
      <c r="E27" s="125" t="n">
        <v>23907.35</v>
      </c>
      <c r="F27" s="125" t="n">
        <v>0</v>
      </c>
      <c r="G27" s="145" t="n">
        <v>42152.31</v>
      </c>
      <c r="H27" s="126" t="str">
        <f aca="false">IFERROR(G27/F27-1,"-")</f>
        <v>-</v>
      </c>
      <c r="I27" s="127" t="n">
        <f aca="false">G27-F27</f>
        <v>42152.31</v>
      </c>
      <c r="J27" s="128" t="n">
        <f aca="false">VLOOKUP(B27,'תקציב  '!$B:$S,5,0)*1</f>
        <v>40000</v>
      </c>
      <c r="K27" s="126" t="n">
        <f aca="false">G27/J27-1</f>
        <v>0.05380775</v>
      </c>
      <c r="L27" s="129" t="n">
        <f aca="false">G27-J27</f>
        <v>2152.31</v>
      </c>
    </row>
    <row r="28" customFormat="false" ht="13.5" hidden="false" customHeight="true" outlineLevel="0" collapsed="false">
      <c r="A28" s="85" t="s">
        <v>151</v>
      </c>
      <c r="B28" s="84" t="s">
        <v>73</v>
      </c>
      <c r="C28" s="65" t="s">
        <v>74</v>
      </c>
      <c r="D28" s="26" t="s">
        <v>75</v>
      </c>
      <c r="E28" s="125" t="n">
        <v>0</v>
      </c>
      <c r="F28" s="125" t="n">
        <v>0</v>
      </c>
      <c r="G28" s="145"/>
      <c r="H28" s="126" t="str">
        <f aca="false">IFERROR(G28/F28-1,"-")</f>
        <v>-</v>
      </c>
      <c r="I28" s="127" t="n">
        <f aca="false">G28-F28</f>
        <v>0</v>
      </c>
      <c r="J28" s="128" t="n">
        <f aca="false">VLOOKUP(B28,'תקציב  '!$B:$S,5,0)*1</f>
        <v>0</v>
      </c>
      <c r="K28" s="126" t="str">
        <f aca="false">IFERROR(G28/J28-1,"-")</f>
        <v>-</v>
      </c>
      <c r="L28" s="129" t="n">
        <f aca="false">G28-J28</f>
        <v>0</v>
      </c>
    </row>
    <row r="29" customFormat="false" ht="13.5" hidden="false" customHeight="true" outlineLevel="0" collapsed="false">
      <c r="A29" s="85" t="s">
        <v>152</v>
      </c>
      <c r="B29" s="84" t="s">
        <v>76</v>
      </c>
      <c r="C29" s="65" t="s">
        <v>77</v>
      </c>
      <c r="D29" s="26" t="s">
        <v>78</v>
      </c>
      <c r="E29" s="125" t="n">
        <v>49906.61</v>
      </c>
      <c r="F29" s="125" t="n">
        <v>49474.45</v>
      </c>
      <c r="G29" s="145" t="n">
        <v>24695.01</v>
      </c>
      <c r="H29" s="126" t="n">
        <f aca="false">G29/F29-1</f>
        <v>-0.500853268707383</v>
      </c>
      <c r="I29" s="127" t="n">
        <f aca="false">G29-F29</f>
        <v>-24779.44</v>
      </c>
      <c r="J29" s="128" t="n">
        <f aca="false">VLOOKUP(B29,'תקציב  '!$B:$S,5,0)*1</f>
        <v>24919.5</v>
      </c>
      <c r="K29" s="126" t="n">
        <f aca="false">G29/J29-1</f>
        <v>-0.00900860771684831</v>
      </c>
      <c r="L29" s="129" t="n">
        <f aca="false">G29-J29</f>
        <v>-224.490000000002</v>
      </c>
    </row>
    <row r="30" customFormat="false" ht="14.25" hidden="false" customHeight="true" outlineLevel="0" collapsed="false">
      <c r="A30" s="85" t="s">
        <v>153</v>
      </c>
      <c r="B30" s="84" t="s">
        <v>79</v>
      </c>
      <c r="C30" s="65" t="s">
        <v>80</v>
      </c>
      <c r="D30" s="26" t="s">
        <v>81</v>
      </c>
      <c r="E30" s="125" t="n">
        <v>0</v>
      </c>
      <c r="F30" s="125" t="n">
        <v>0</v>
      </c>
      <c r="G30" s="145"/>
      <c r="H30" s="126" t="str">
        <f aca="false">IFERROR(G30/F30-1,"-")</f>
        <v>-</v>
      </c>
      <c r="I30" s="127" t="n">
        <f aca="false">G30-F30</f>
        <v>0</v>
      </c>
      <c r="J30" s="128" t="n">
        <f aca="false">VLOOKUP(B30,'תקציב  '!$B:$S,5,0)*1</f>
        <v>0</v>
      </c>
      <c r="K30" s="126" t="str">
        <f aca="false">IFERROR(G30/J30-1,"-")</f>
        <v>-</v>
      </c>
      <c r="L30" s="129" t="n">
        <f aca="false">G30-J30</f>
        <v>0</v>
      </c>
    </row>
    <row r="31" customFormat="false" ht="14.25" hidden="false" customHeight="true" outlineLevel="0" collapsed="false">
      <c r="A31" s="85" t="s">
        <v>154</v>
      </c>
      <c r="B31" s="84" t="s">
        <v>82</v>
      </c>
      <c r="C31" s="65" t="s">
        <v>83</v>
      </c>
      <c r="D31" s="26" t="s">
        <v>81</v>
      </c>
      <c r="E31" s="125" t="n">
        <v>0</v>
      </c>
      <c r="F31" s="125" t="n">
        <v>0</v>
      </c>
      <c r="G31" s="125"/>
      <c r="H31" s="126" t="str">
        <f aca="false">IFERROR(G31/F31-1,"-")</f>
        <v>-</v>
      </c>
      <c r="I31" s="127" t="n">
        <f aca="false">G31-F31</f>
        <v>0</v>
      </c>
      <c r="J31" s="128" t="n">
        <f aca="false">VLOOKUP(B31,'תקציב  '!$B:$S,5,0)*1</f>
        <v>0</v>
      </c>
      <c r="K31" s="126" t="str">
        <f aca="false">IFERROR(G31/J31-1,"-")</f>
        <v>-</v>
      </c>
      <c r="L31" s="129" t="n">
        <f aca="false">G31-J31</f>
        <v>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25" t="n">
        <v>0</v>
      </c>
      <c r="F32" s="125" t="n">
        <v>0</v>
      </c>
      <c r="G32" s="125"/>
      <c r="H32" s="126" t="str">
        <f aca="false">IFERROR(G32/F32-1,"-")</f>
        <v>-</v>
      </c>
      <c r="I32" s="127" t="n">
        <f aca="false">G32-F32</f>
        <v>0</v>
      </c>
      <c r="J32" s="128" t="n">
        <f aca="false">VLOOKUP(B32,'תקציב  '!$B:$S,5,0)*1</f>
        <v>0</v>
      </c>
      <c r="K32" s="126" t="str">
        <f aca="false">IFERROR(G32/J32-1,"-")</f>
        <v>-</v>
      </c>
      <c r="L32" s="129" t="n">
        <f aca="false">G32-J32</f>
        <v>0</v>
      </c>
    </row>
    <row r="33" customFormat="false" ht="13.5" hidden="false" customHeight="true" outlineLevel="0" collapsed="false">
      <c r="B33" s="84"/>
      <c r="C33" s="65" t="s">
        <v>155</v>
      </c>
      <c r="D33" s="26" t="s">
        <v>156</v>
      </c>
      <c r="E33" s="125"/>
      <c r="F33" s="125"/>
      <c r="G33" s="125"/>
      <c r="H33" s="126" t="str">
        <f aca="false">IFERROR(G33/F33-1,"-")</f>
        <v>-</v>
      </c>
      <c r="I33" s="127" t="n">
        <f aca="false">G33-F33</f>
        <v>0</v>
      </c>
      <c r="J33" s="128"/>
      <c r="K33" s="126" t="str">
        <f aca="false">IFERROR(G33/J33-1,"-")</f>
        <v>-</v>
      </c>
      <c r="L33" s="129" t="n">
        <f aca="false">G33-J33</f>
        <v>0</v>
      </c>
    </row>
    <row r="34" customFormat="false" ht="13.5" hidden="false" customHeight="true" outlineLevel="0" collapsed="false">
      <c r="A34" s="85" t="s">
        <v>157</v>
      </c>
      <c r="B34" s="84" t="s">
        <v>87</v>
      </c>
      <c r="C34" s="65" t="s">
        <v>88</v>
      </c>
      <c r="D34" s="26" t="s">
        <v>89</v>
      </c>
      <c r="E34" s="125" t="n">
        <v>19941.82</v>
      </c>
      <c r="F34" s="125" t="n">
        <v>1584.32</v>
      </c>
      <c r="G34" s="125"/>
      <c r="H34" s="126" t="n">
        <f aca="false">G34/F34-1</f>
        <v>-1</v>
      </c>
      <c r="I34" s="127" t="n">
        <f aca="false">G34-F34</f>
        <v>-1584.32</v>
      </c>
      <c r="J34" s="128" t="n">
        <f aca="false">VLOOKUP(B34,'תקציב  '!$B:$S,5,0)*1</f>
        <v>0</v>
      </c>
      <c r="K34" s="126" t="str">
        <f aca="false">IFERROR(G34/J34-1,"-")</f>
        <v>-</v>
      </c>
      <c r="L34" s="129" t="n">
        <f aca="false">G34-J34</f>
        <v>0</v>
      </c>
    </row>
    <row r="35" customFormat="false" ht="13.5" hidden="false" customHeight="true" outlineLevel="0" collapsed="false">
      <c r="A35" s="85" t="s">
        <v>158</v>
      </c>
      <c r="B35" s="84" t="s">
        <v>90</v>
      </c>
      <c r="C35" s="65" t="s">
        <v>91</v>
      </c>
      <c r="D35" s="26" t="s">
        <v>92</v>
      </c>
      <c r="E35" s="125" t="n">
        <v>34034.18</v>
      </c>
      <c r="F35" s="125" t="n">
        <v>0</v>
      </c>
      <c r="G35" s="125"/>
      <c r="H35" s="126" t="str">
        <f aca="false">IFERROR(G35/F35-1,"-")</f>
        <v>-</v>
      </c>
      <c r="I35" s="127" t="n">
        <f aca="false">G35-F35</f>
        <v>0</v>
      </c>
      <c r="J35" s="128" t="n">
        <f aca="false">VLOOKUP(B35,'תקציב  '!$B:$S,5,0)*1</f>
        <v>0</v>
      </c>
      <c r="K35" s="126" t="str">
        <f aca="false">IFERROR(G35/J35-1,"-")</f>
        <v>-</v>
      </c>
      <c r="L35" s="129" t="n">
        <f aca="false">G35-J35</f>
        <v>0</v>
      </c>
    </row>
    <row r="36" customFormat="false" ht="14.25" hidden="false" customHeight="true" outlineLevel="0" collapsed="false">
      <c r="A36" s="85" t="s">
        <v>159</v>
      </c>
      <c r="B36" s="85" t="s">
        <v>159</v>
      </c>
      <c r="C36" s="65" t="s">
        <v>160</v>
      </c>
      <c r="D36" s="26" t="s">
        <v>78</v>
      </c>
      <c r="E36" s="125" t="n">
        <v>0</v>
      </c>
      <c r="F36" s="125" t="n">
        <v>0</v>
      </c>
      <c r="G36" s="125"/>
      <c r="H36" s="126" t="str">
        <f aca="false">IFERROR(G36/F36-1,"-")</f>
        <v>-</v>
      </c>
      <c r="I36" s="127" t="n">
        <f aca="false">G36-F36</f>
        <v>0</v>
      </c>
      <c r="J36" s="128"/>
      <c r="K36" s="126" t="str">
        <f aca="false">IFERROR(G36/J36-1,"-")</f>
        <v>-</v>
      </c>
      <c r="L36" s="129" t="n">
        <f aca="false">G36-J36</f>
        <v>0</v>
      </c>
    </row>
    <row r="37" customFormat="false" ht="14.25" hidden="false" customHeight="true" outlineLevel="0" collapsed="false">
      <c r="A37" s="85" t="s">
        <v>161</v>
      </c>
      <c r="B37" s="85" t="s">
        <v>161</v>
      </c>
      <c r="C37" s="65" t="s">
        <v>93</v>
      </c>
      <c r="D37" s="26" t="s">
        <v>162</v>
      </c>
      <c r="E37" s="125" t="n">
        <v>0</v>
      </c>
      <c r="F37" s="125" t="n">
        <v>0</v>
      </c>
      <c r="G37" s="125"/>
      <c r="H37" s="126" t="str">
        <f aca="false">IFERROR(G37/F37-1,"-")</f>
        <v>-</v>
      </c>
      <c r="I37" s="127" t="n">
        <f aca="false">G37-F37</f>
        <v>0</v>
      </c>
      <c r="J37" s="128"/>
      <c r="K37" s="126" t="str">
        <f aca="false">IFERROR(G37/J37-1,"-")</f>
        <v>-</v>
      </c>
      <c r="L37" s="129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25" t="n">
        <v>0</v>
      </c>
      <c r="F38" s="125" t="n">
        <v>0</v>
      </c>
      <c r="G38" s="125"/>
      <c r="H38" s="126" t="str">
        <f aca="false">IFERROR(G38/F38-1,"-")</f>
        <v>-</v>
      </c>
      <c r="I38" s="127" t="n">
        <f aca="false">G38-F38</f>
        <v>0</v>
      </c>
      <c r="J38" s="128"/>
      <c r="K38" s="126" t="str">
        <f aca="false">IFERROR(G38/J38-1,"-")</f>
        <v>-</v>
      </c>
      <c r="L38" s="129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25"/>
      <c r="F39" s="125"/>
      <c r="G39" s="125"/>
      <c r="H39" s="126" t="str">
        <f aca="false">IFERROR(G39/F39-1,"-")</f>
        <v>-</v>
      </c>
      <c r="I39" s="127" t="n">
        <f aca="false">G39-F39</f>
        <v>0</v>
      </c>
      <c r="J39" s="128" t="n">
        <f aca="false">VLOOKUP(B39,'תקציב  '!$B:$S,5,0)*1</f>
        <v>0</v>
      </c>
      <c r="K39" s="126" t="str">
        <f aca="false">IFERROR(G39/J39-1,"-")</f>
        <v>-</v>
      </c>
      <c r="L39" s="129" t="n">
        <f aca="false">G39-J39</f>
        <v>0</v>
      </c>
    </row>
    <row r="40" customFormat="false" ht="15" hidden="false" customHeight="true" outlineLevel="0" collapsed="false">
      <c r="B40" s="135" t="s">
        <v>98</v>
      </c>
      <c r="C40" s="135"/>
      <c r="D40" s="135"/>
      <c r="E40" s="136" t="n">
        <f aca="false">SUM(E20:E39)+E51+E52</f>
        <v>835589.75</v>
      </c>
      <c r="F40" s="136" t="n">
        <f aca="false">SUM(F20:F39)+F51+F52</f>
        <v>589959.14</v>
      </c>
      <c r="G40" s="136" t="n">
        <f aca="false">SUM(G20:G39)+G51+G52</f>
        <v>416070.14</v>
      </c>
      <c r="H40" s="137" t="n">
        <f aca="false">G40/F40-1</f>
        <v>-0.294747531159531</v>
      </c>
      <c r="I40" s="136" t="n">
        <f aca="false">SUM(I20:I39)+I51+I52</f>
        <v>-173889</v>
      </c>
      <c r="J40" s="136" t="n">
        <f aca="false">SUM(J20:J39)+J51+J52</f>
        <v>624144.3243</v>
      </c>
      <c r="K40" s="137" t="n">
        <f aca="false">G40/J40-1</f>
        <v>-0.333375112452336</v>
      </c>
      <c r="L40" s="136" t="n">
        <f aca="false">SUM(L20:L39)+L51+L52</f>
        <v>-208074.1843</v>
      </c>
    </row>
    <row r="41" customFormat="false" ht="16.5" hidden="false" customHeight="true" outlineLevel="0" collapsed="false">
      <c r="B41" s="138" t="s">
        <v>163</v>
      </c>
      <c r="C41" s="138"/>
      <c r="D41" s="138"/>
      <c r="E41" s="139" t="n">
        <f aca="false">E40+E19</f>
        <v>2476658.921</v>
      </c>
      <c r="F41" s="139" t="n">
        <f aca="false">F40+F19</f>
        <v>2075819.49000001</v>
      </c>
      <c r="G41" s="139" t="n">
        <f aca="false">G40+G19</f>
        <v>2167853.232</v>
      </c>
      <c r="H41" s="140" t="n">
        <f aca="false">G41/F41-1</f>
        <v>0.0443361007271366</v>
      </c>
      <c r="I41" s="139" t="n">
        <f aca="false">I40+I19</f>
        <v>92033.7419999932</v>
      </c>
      <c r="J41" s="139" t="n">
        <f aca="false">J40+J19</f>
        <v>2671040.95131507</v>
      </c>
      <c r="K41" s="140" t="n">
        <f aca="false">G41/J41-1</f>
        <v>-0.188386373884431</v>
      </c>
      <c r="L41" s="139" t="n">
        <f aca="false">L40+L19</f>
        <v>-503187.719315067</v>
      </c>
    </row>
    <row r="42" customFormat="false" ht="15.75" hidden="false" customHeight="true" outlineLevel="0" collapsed="false">
      <c r="B42" s="141" t="s">
        <v>117</v>
      </c>
      <c r="C42" s="141"/>
      <c r="D42" s="141"/>
      <c r="E42" s="142" t="n">
        <f aca="false">E40/E41</f>
        <v>0.33738588019323</v>
      </c>
      <c r="F42" s="142" t="n">
        <f aca="false">F40/F41</f>
        <v>0.2842054151828</v>
      </c>
      <c r="G42" s="142" t="n">
        <f aca="false">G40/G41</f>
        <v>0.191927264197745</v>
      </c>
      <c r="H42" s="143"/>
      <c r="I42" s="5"/>
      <c r="J42" s="76" t="n">
        <f aca="false">J41-'תקציב  '!F41*1</f>
        <v>0</v>
      </c>
    </row>
    <row r="43" customFormat="false" ht="14.25" hidden="false" customHeight="true" outlineLevel="0" collapsed="false">
      <c r="E43" s="144" t="n">
        <v>0</v>
      </c>
      <c r="I43" s="5"/>
    </row>
    <row r="50" customFormat="false" ht="14.25" hidden="false" customHeight="true" outlineLevel="0" collapsed="false">
      <c r="A50" s="85"/>
      <c r="B50" s="24" t="s">
        <v>164</v>
      </c>
      <c r="C50" s="24" t="s">
        <v>164</v>
      </c>
      <c r="D50" s="26" t="s">
        <v>32</v>
      </c>
      <c r="E50" s="125"/>
      <c r="F50" s="125"/>
      <c r="G50" s="125" t="n">
        <v>0</v>
      </c>
      <c r="H50" s="126" t="str">
        <f aca="false">IFERROR(G50/F50-1,"-")</f>
        <v>-</v>
      </c>
      <c r="I50" s="127" t="n">
        <f aca="false">G50-F50</f>
        <v>0</v>
      </c>
      <c r="J50" s="128"/>
      <c r="K50" s="126" t="str">
        <f aca="false">IFERROR(G50/J50-1,"-")</f>
        <v>-</v>
      </c>
      <c r="L50" s="129" t="n">
        <f aca="false">G50-J50</f>
        <v>0</v>
      </c>
    </row>
    <row r="51" customFormat="false" ht="14.25" hidden="false" customHeight="true" outlineLevel="0" collapsed="false">
      <c r="A51" s="85"/>
      <c r="B51" s="84" t="s">
        <v>165</v>
      </c>
      <c r="C51" s="65" t="s">
        <v>165</v>
      </c>
      <c r="D51" s="26" t="s">
        <v>166</v>
      </c>
      <c r="E51" s="125"/>
      <c r="F51" s="125"/>
      <c r="G51" s="125" t="n">
        <v>0</v>
      </c>
      <c r="H51" s="126" t="str">
        <f aca="false">IFERROR(G51/F51-1,"-")</f>
        <v>-</v>
      </c>
      <c r="I51" s="127" t="n">
        <f aca="false">G51-F51</f>
        <v>0</v>
      </c>
      <c r="J51" s="128"/>
      <c r="K51" s="126" t="str">
        <f aca="false">IFERROR(G51/J51-1,"-")</f>
        <v>-</v>
      </c>
      <c r="L51" s="129" t="n">
        <f aca="false">G51-J51</f>
        <v>0</v>
      </c>
    </row>
    <row r="52" customFormat="false" ht="14.25" hidden="false" customHeight="true" outlineLevel="0" collapsed="false">
      <c r="A52" s="85"/>
      <c r="B52" s="84" t="s">
        <v>167</v>
      </c>
      <c r="C52" s="65" t="s">
        <v>167</v>
      </c>
      <c r="D52" s="26" t="s">
        <v>167</v>
      </c>
      <c r="E52" s="125"/>
      <c r="F52" s="125"/>
      <c r="G52" s="125" t="n">
        <v>0</v>
      </c>
      <c r="H52" s="126" t="str">
        <f aca="false">IFERROR(G52/F52-1,"-")</f>
        <v>-</v>
      </c>
      <c r="I52" s="127" t="n">
        <f aca="false">G52-F52</f>
        <v>0</v>
      </c>
      <c r="J52" s="128"/>
      <c r="K52" s="126" t="str">
        <f aca="false">IFERROR(G52/J52-1,"-")</f>
        <v>-</v>
      </c>
      <c r="L52" s="129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4" ySplit="2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G50" activeCellId="0" sqref="G50"/>
    </sheetView>
  </sheetViews>
  <sheetFormatPr defaultColWidth="8.62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8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8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19" t="s">
        <v>169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customFormat="false" ht="15" hidden="false" customHeight="true" outlineLevel="0" collapsed="false">
      <c r="B2" s="77"/>
      <c r="C2" s="10"/>
      <c r="D2" s="10" t="s">
        <v>3</v>
      </c>
      <c r="E2" s="120" t="n">
        <v>3.2024</v>
      </c>
      <c r="F2" s="120" t="n">
        <v>3.2025</v>
      </c>
      <c r="G2" s="120" t="n">
        <v>3.2026</v>
      </c>
      <c r="H2" s="121" t="s">
        <v>128</v>
      </c>
      <c r="I2" s="122" t="s">
        <v>129</v>
      </c>
      <c r="J2" s="122" t="s">
        <v>130</v>
      </c>
      <c r="K2" s="123" t="s">
        <v>111</v>
      </c>
      <c r="L2" s="124" t="s">
        <v>112</v>
      </c>
    </row>
    <row r="3" customFormat="false" ht="14.25" hidden="false" customHeight="true" outlineLevel="0" collapsed="false">
      <c r="A3" s="85" t="s">
        <v>131</v>
      </c>
      <c r="B3" s="24" t="s">
        <v>31</v>
      </c>
      <c r="C3" s="24" t="s">
        <v>31</v>
      </c>
      <c r="D3" s="26" t="s">
        <v>32</v>
      </c>
      <c r="E3" s="125" t="n">
        <v>0</v>
      </c>
      <c r="F3" s="125" t="n">
        <v>66608.1</v>
      </c>
      <c r="G3" s="125" t="n">
        <v>123280.14</v>
      </c>
      <c r="H3" s="126" t="n">
        <f aca="false">G3/F3-1</f>
        <v>0.850828052444072</v>
      </c>
      <c r="I3" s="127" t="n">
        <f aca="false">G3-F3</f>
        <v>56672.04</v>
      </c>
      <c r="J3" s="128" t="n">
        <f aca="false">VLOOKUP(B3,'תקציב  '!$B:$S,6,0)*1</f>
        <v>193492.063492064</v>
      </c>
      <c r="K3" s="126" t="n">
        <f aca="false">G3/J3-1</f>
        <v>-0.362867200984415</v>
      </c>
      <c r="L3" s="129" t="n">
        <f aca="false">G3-J3</f>
        <v>-70211.923492064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25" t="n">
        <v>442108.94</v>
      </c>
      <c r="F4" s="125" t="n">
        <v>437918.572000002</v>
      </c>
      <c r="G4" s="125" t="n">
        <v>418342.47</v>
      </c>
      <c r="H4" s="126" t="n">
        <f aca="false">G4/F4-1</f>
        <v>-0.0447026074062051</v>
      </c>
      <c r="I4" s="127" t="n">
        <f aca="false">G4-F4</f>
        <v>-19576.1020000021</v>
      </c>
      <c r="J4" s="128" t="n">
        <f aca="false">VLOOKUP(B4,'תקציב  '!$B:$S,6,0)*1</f>
        <v>610730.158730159</v>
      </c>
      <c r="K4" s="126" t="n">
        <f aca="false">G4/J4-1</f>
        <v>-0.315012589406384</v>
      </c>
      <c r="L4" s="129" t="n">
        <f aca="false">G4-J4</f>
        <v>-192387.688730159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25" t="n">
        <v>98496.489</v>
      </c>
      <c r="F5" s="125" t="n">
        <v>58257.29</v>
      </c>
      <c r="G5" s="125" t="n">
        <v>59847.151</v>
      </c>
      <c r="H5" s="126" t="n">
        <f aca="false">G5/F5-1</f>
        <v>0.0272903356815946</v>
      </c>
      <c r="I5" s="127" t="n">
        <f aca="false">G5-F5</f>
        <v>1589.861</v>
      </c>
      <c r="J5" s="128" t="n">
        <f aca="false">VLOOKUP(B5,'תקציב  '!$B:$S,6,0)*1</f>
        <v>82142.8571428571</v>
      </c>
      <c r="K5" s="126" t="n">
        <f aca="false">G5/J5-1</f>
        <v>-0.271425987826087</v>
      </c>
      <c r="L5" s="129" t="n">
        <f aca="false">G5-J5</f>
        <v>-22295.7061428571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25" t="n">
        <v>155174.617</v>
      </c>
      <c r="F6" s="125" t="n">
        <v>153012.03</v>
      </c>
      <c r="G6" s="125" t="n">
        <v>122676.557</v>
      </c>
      <c r="H6" s="126" t="n">
        <f aca="false">G6/F6-1</f>
        <v>-0.198255477036675</v>
      </c>
      <c r="I6" s="127" t="n">
        <f aca="false">G6-F6</f>
        <v>-30335.473</v>
      </c>
      <c r="J6" s="128" t="n">
        <f aca="false">VLOOKUP(A6,'תקציב  '!$B:$S,6,0)*1</f>
        <v>173412.698412698</v>
      </c>
      <c r="K6" s="126" t="n">
        <f aca="false">G6/J6-1</f>
        <v>-0.292574545446223</v>
      </c>
      <c r="L6" s="129" t="n">
        <f aca="false">G6-J6</f>
        <v>-50736.141412698</v>
      </c>
    </row>
    <row r="7" customFormat="false" ht="14.25" hidden="false" customHeight="true" outlineLevel="0" collapsed="false">
      <c r="A7" s="85" t="s">
        <v>132</v>
      </c>
      <c r="B7" s="24" t="s">
        <v>36</v>
      </c>
      <c r="C7" s="24" t="s">
        <v>36</v>
      </c>
      <c r="D7" s="26" t="s">
        <v>32</v>
      </c>
      <c r="E7" s="125" t="n">
        <v>389673.5</v>
      </c>
      <c r="F7" s="125" t="n">
        <v>376182</v>
      </c>
      <c r="G7" s="125" t="n">
        <v>244180.55</v>
      </c>
      <c r="H7" s="126" t="n">
        <f aca="false">G7/F7-1</f>
        <v>-0.350897836685434</v>
      </c>
      <c r="I7" s="127" t="n">
        <f aca="false">G7-F7</f>
        <v>-132001.45</v>
      </c>
      <c r="J7" s="128" t="n">
        <f aca="false">VLOOKUP(B7,'תקציב  '!$B:$S,6,0)*1</f>
        <v>365000</v>
      </c>
      <c r="K7" s="126" t="n">
        <f aca="false">G7/J7-1</f>
        <v>-0.331012191780822</v>
      </c>
      <c r="L7" s="129" t="n">
        <f aca="false">G7-J7</f>
        <v>-120819.45</v>
      </c>
    </row>
    <row r="8" customFormat="false" ht="14.25" hidden="false" customHeight="true" outlineLevel="0" collapsed="false">
      <c r="A8" s="85" t="s">
        <v>133</v>
      </c>
      <c r="B8" s="24" t="s">
        <v>37</v>
      </c>
      <c r="C8" s="24" t="s">
        <v>37</v>
      </c>
      <c r="D8" s="26" t="s">
        <v>32</v>
      </c>
      <c r="E8" s="125" t="n">
        <v>77394.37</v>
      </c>
      <c r="F8" s="125" t="n">
        <v>74502.3</v>
      </c>
      <c r="G8" s="125" t="n">
        <v>55389.04</v>
      </c>
      <c r="H8" s="126" t="n">
        <f aca="false">G8/F8-1</f>
        <v>-0.256545905294199</v>
      </c>
      <c r="I8" s="127" t="n">
        <f aca="false">G8-F8</f>
        <v>-19113.26</v>
      </c>
      <c r="J8" s="128" t="n">
        <f aca="false">VLOOKUP(B8,'תקציב  '!$B:$S,6,0)*1</f>
        <v>111269.841269841</v>
      </c>
      <c r="K8" s="126" t="n">
        <f aca="false">G8/J8-1</f>
        <v>-0.502209768901568</v>
      </c>
      <c r="L8" s="129" t="n">
        <f aca="false">G8-J8</f>
        <v>-55880.801269841</v>
      </c>
    </row>
    <row r="9" customFormat="false" ht="14.25" hidden="false" customHeight="true" outlineLevel="0" collapsed="false">
      <c r="A9" s="85" t="s">
        <v>134</v>
      </c>
      <c r="B9" s="24" t="s">
        <v>38</v>
      </c>
      <c r="C9" s="24" t="s">
        <v>38</v>
      </c>
      <c r="D9" s="26" t="s">
        <v>32</v>
      </c>
      <c r="E9" s="125" t="n">
        <v>87247.96</v>
      </c>
      <c r="F9" s="125" t="n">
        <v>65531.82</v>
      </c>
      <c r="G9" s="125" t="n">
        <v>48951.14</v>
      </c>
      <c r="H9" s="126" t="n">
        <f aca="false">G9/F9-1</f>
        <v>-0.253017236511972</v>
      </c>
      <c r="I9" s="127" t="n">
        <f aca="false">G9-F9</f>
        <v>-16580.68</v>
      </c>
      <c r="J9" s="128" t="n">
        <f aca="false">VLOOKUP(B9,'תקציב  '!$B:$S,6,0)*1</f>
        <v>160591.26984127</v>
      </c>
      <c r="K9" s="126" t="n">
        <f aca="false">G9/J9-1</f>
        <v>-0.695181811262942</v>
      </c>
      <c r="L9" s="129" t="n">
        <f aca="false">G9-J9</f>
        <v>-111640.12984127</v>
      </c>
    </row>
    <row r="10" customFormat="false" ht="14.25" hidden="false" customHeight="true" outlineLevel="0" collapsed="false">
      <c r="A10" s="85" t="s">
        <v>135</v>
      </c>
      <c r="B10" s="36" t="s">
        <v>39</v>
      </c>
      <c r="C10" s="36" t="s">
        <v>39</v>
      </c>
      <c r="D10" s="26" t="s">
        <v>32</v>
      </c>
      <c r="E10" s="125" t="n">
        <v>21528.06</v>
      </c>
      <c r="F10" s="125" t="n">
        <v>21300.79</v>
      </c>
      <c r="G10" s="125" t="n">
        <v>6765.24</v>
      </c>
      <c r="H10" s="126" t="n">
        <f aca="false">G10/F10-1</f>
        <v>-0.682394878312025</v>
      </c>
      <c r="I10" s="127" t="n">
        <f aca="false">G10-F10</f>
        <v>-14535.55</v>
      </c>
      <c r="J10" s="128" t="n">
        <f aca="false">VLOOKUP(B10,'תקציב  '!$B:$S,6,0)*1</f>
        <v>17341.2698412698</v>
      </c>
      <c r="K10" s="126" t="n">
        <f aca="false">G10/J10-1</f>
        <v>-0.609876320366132</v>
      </c>
      <c r="L10" s="129" t="n">
        <f aca="false">G10-J10</f>
        <v>-10576.0298412698</v>
      </c>
    </row>
    <row r="11" customFormat="false" ht="14.25" hidden="false" customHeight="true" outlineLevel="0" collapsed="false">
      <c r="A11" s="85" t="s">
        <v>136</v>
      </c>
      <c r="B11" s="24" t="s">
        <v>40</v>
      </c>
      <c r="C11" s="24" t="s">
        <v>40</v>
      </c>
      <c r="D11" s="26" t="s">
        <v>32</v>
      </c>
      <c r="E11" s="125" t="n">
        <v>3573.08</v>
      </c>
      <c r="F11" s="125" t="n">
        <v>11352.51</v>
      </c>
      <c r="G11" s="125" t="n">
        <v>3196.2</v>
      </c>
      <c r="H11" s="126" t="n">
        <f aca="false">G11/F11-1</f>
        <v>-0.718458737318884</v>
      </c>
      <c r="I11" s="127" t="n">
        <f aca="false">G11-F11</f>
        <v>-8156.31</v>
      </c>
      <c r="J11" s="128" t="n">
        <f aca="false">VLOOKUP(B11,'תקציב  '!$B:$S,6,0)*1</f>
        <v>9126.98412698413</v>
      </c>
      <c r="K11" s="126" t="n">
        <f aca="false">G11/J11-1</f>
        <v>-0.649807652173913</v>
      </c>
      <c r="L11" s="129" t="n">
        <f aca="false">G11-J11</f>
        <v>-5930.78412698413</v>
      </c>
    </row>
    <row r="12" customFormat="false" ht="14.25" hidden="false" customHeight="true" outlineLevel="0" collapsed="false">
      <c r="A12" s="85" t="s">
        <v>137</v>
      </c>
      <c r="B12" s="24" t="s">
        <v>41</v>
      </c>
      <c r="C12" s="24" t="s">
        <v>41</v>
      </c>
      <c r="D12" s="26" t="s">
        <v>32</v>
      </c>
      <c r="E12" s="125" t="n">
        <v>0</v>
      </c>
      <c r="F12" s="125" t="n">
        <v>0</v>
      </c>
      <c r="G12" s="125" t="n">
        <v>1106.56</v>
      </c>
      <c r="H12" s="126" t="str">
        <f aca="false">IFERROR(G12/F12-1,"-")</f>
        <v>-</v>
      </c>
      <c r="I12" s="127" t="n">
        <f aca="false">G12-F12</f>
        <v>1106.56</v>
      </c>
      <c r="J12" s="128" t="n">
        <f aca="false">VLOOKUP(B12,'תקציב  '!$B:$S,6,0)*1</f>
        <v>0</v>
      </c>
      <c r="K12" s="126"/>
      <c r="L12" s="129" t="n">
        <f aca="false">G12-J12</f>
        <v>1106.56</v>
      </c>
    </row>
    <row r="13" customFormat="false" ht="14.25" hidden="false" customHeight="true" outlineLevel="0" collapsed="false">
      <c r="A13" s="85" t="s">
        <v>138</v>
      </c>
      <c r="B13" s="24" t="s">
        <v>47</v>
      </c>
      <c r="C13" s="24" t="s">
        <v>47</v>
      </c>
      <c r="D13" s="26" t="s">
        <v>32</v>
      </c>
      <c r="E13" s="125" t="n">
        <v>0</v>
      </c>
      <c r="F13" s="125" t="n">
        <v>0</v>
      </c>
      <c r="G13" s="125"/>
      <c r="H13" s="126" t="str">
        <f aca="false">IFERROR(G13/F13-1,"-")</f>
        <v>-</v>
      </c>
      <c r="I13" s="127" t="n">
        <f aca="false">G13-F13</f>
        <v>0</v>
      </c>
      <c r="J13" s="128" t="n">
        <f aca="false">VLOOKUP(B13,'תקציב  '!$B:$S,6,0)*1</f>
        <v>0</v>
      </c>
      <c r="K13" s="126" t="str">
        <f aca="false">IFERROR(G13/J13-1,"-")</f>
        <v>-</v>
      </c>
      <c r="L13" s="129" t="n">
        <f aca="false">G13-J13</f>
        <v>0</v>
      </c>
    </row>
    <row r="14" customFormat="false" ht="14.25" hidden="false" customHeight="true" outlineLevel="0" collapsed="false">
      <c r="A14" s="85" t="s">
        <v>139</v>
      </c>
      <c r="B14" s="24" t="s">
        <v>43</v>
      </c>
      <c r="C14" s="24" t="s">
        <v>43</v>
      </c>
      <c r="D14" s="26" t="s">
        <v>32</v>
      </c>
      <c r="E14" s="125" t="n">
        <v>1275.21</v>
      </c>
      <c r="F14" s="125" t="n">
        <v>0</v>
      </c>
      <c r="G14" s="125"/>
      <c r="H14" s="126" t="str">
        <f aca="false">IFERROR(G14/F14-1,"-")</f>
        <v>-</v>
      </c>
      <c r="I14" s="127" t="n">
        <f aca="false">G14-F14</f>
        <v>0</v>
      </c>
      <c r="J14" s="128" t="n">
        <f aca="false">VLOOKUP(B14,'תקציב  '!$B:$S,6,0)*1</f>
        <v>0</v>
      </c>
      <c r="K14" s="126"/>
      <c r="L14" s="129" t="n">
        <f aca="false">G14-J14</f>
        <v>0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25" t="n">
        <v>7451.5</v>
      </c>
      <c r="F15" s="125" t="n">
        <v>2138.43</v>
      </c>
      <c r="G15" s="125" t="n">
        <v>6672.87</v>
      </c>
      <c r="H15" s="126" t="n">
        <f aca="false">G15/F15-1</f>
        <v>2.12045285559967</v>
      </c>
      <c r="I15" s="127" t="n">
        <f aca="false">G15-F15</f>
        <v>4534.44</v>
      </c>
      <c r="J15" s="128" t="n">
        <f aca="false">VLOOKUP(B15,'תקציב  '!$B:$S,6,0)*1</f>
        <v>18253.9682539683</v>
      </c>
      <c r="K15" s="126" t="n">
        <f aca="false">G15/J15-1</f>
        <v>-0.634442773913045</v>
      </c>
      <c r="L15" s="129" t="n">
        <f aca="false">G15-J15</f>
        <v>-11581.0982539683</v>
      </c>
    </row>
    <row r="16" customFormat="false" ht="15" hidden="false" customHeight="true" outlineLevel="0" collapsed="false">
      <c r="B16" s="130" t="s">
        <v>115</v>
      </c>
      <c r="C16" s="130"/>
      <c r="D16" s="130"/>
      <c r="E16" s="131" t="n">
        <f aca="false">SUM(E3:E15)+E50</f>
        <v>1283923.726</v>
      </c>
      <c r="F16" s="131" t="n">
        <f aca="false">SUM(F3:F15)+F50</f>
        <v>1266803.842</v>
      </c>
      <c r="G16" s="131" t="n">
        <f aca="false">SUM(G3:G15)+G50</f>
        <v>1090407.918</v>
      </c>
      <c r="H16" s="132" t="n">
        <f aca="false">G16/F16-1</f>
        <v>-0.139244860294639</v>
      </c>
      <c r="I16" s="131" t="n">
        <f aca="false">SUM(I3:I15)+I50</f>
        <v>-176395.924000002</v>
      </c>
      <c r="J16" s="131" t="n">
        <f aca="false">SUM(J3:J15)+J50</f>
        <v>1741361.11111111</v>
      </c>
      <c r="K16" s="132" t="n">
        <f aca="false">G16/J16-1</f>
        <v>-0.373818611750068</v>
      </c>
      <c r="L16" s="131" t="n">
        <f aca="false">SUM(L3:L15)+L50</f>
        <v>-650953.193111111</v>
      </c>
    </row>
    <row r="17" customFormat="false" ht="14.25" hidden="false" customHeight="true" outlineLevel="0" collapsed="false">
      <c r="A17" s="85" t="s">
        <v>141</v>
      </c>
      <c r="B17" s="24" t="s">
        <v>45</v>
      </c>
      <c r="C17" s="24" t="s">
        <v>45</v>
      </c>
      <c r="D17" s="26" t="s">
        <v>32</v>
      </c>
      <c r="E17" s="125" t="n">
        <v>45122.89</v>
      </c>
      <c r="F17" s="125" t="n">
        <v>98819.24</v>
      </c>
      <c r="G17" s="125" t="n">
        <v>409497.070000013</v>
      </c>
      <c r="H17" s="126" t="n">
        <f aca="false">G17/F17-1</f>
        <v>3.14390021619285</v>
      </c>
      <c r="I17" s="127" t="n">
        <f aca="false">G17-F17</f>
        <v>310677.830000013</v>
      </c>
      <c r="J17" s="128" t="n">
        <f aca="false">VLOOKUP(B17,'תקציב  '!$B:$S,6,0)*1</f>
        <v>489406.779661017</v>
      </c>
      <c r="K17" s="126" t="n">
        <f aca="false">G17/J17-1</f>
        <v>-0.163278714112528</v>
      </c>
      <c r="L17" s="129" t="n">
        <f aca="false">G17-J17</f>
        <v>-79909.709661004</v>
      </c>
    </row>
    <row r="18" customFormat="false" ht="14.25" hidden="false" customHeight="true" outlineLevel="0" collapsed="false">
      <c r="A18" s="85" t="s">
        <v>142</v>
      </c>
      <c r="B18" s="38" t="s">
        <v>46</v>
      </c>
      <c r="C18" s="38" t="s">
        <v>46</v>
      </c>
      <c r="D18" s="26" t="s">
        <v>32</v>
      </c>
      <c r="E18" s="125" t="n">
        <v>2233.52</v>
      </c>
      <c r="F18" s="125" t="n">
        <v>3577.56</v>
      </c>
      <c r="G18" s="125" t="n">
        <v>2065.63</v>
      </c>
      <c r="H18" s="126" t="n">
        <f aca="false">G18/F18-1</f>
        <v>-0.42261485481725</v>
      </c>
      <c r="I18" s="127" t="n">
        <f aca="false">G18-F18</f>
        <v>-1511.93</v>
      </c>
      <c r="J18" s="128" t="n">
        <f aca="false">VLOOKUP(B18,'תקציב  '!$B:$S,6,0)*1</f>
        <v>2536.92833333333</v>
      </c>
      <c r="K18" s="126" t="n">
        <f aca="false">G18/J18-1</f>
        <v>-0.185775186133887</v>
      </c>
      <c r="L18" s="129" t="n">
        <f aca="false">G18-J18</f>
        <v>-471.29833333333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33" t="n">
        <f aca="false">E16+E17+E18</f>
        <v>1331280.136</v>
      </c>
      <c r="F19" s="133" t="n">
        <f aca="false">F16+F17+F18</f>
        <v>1369200.642</v>
      </c>
      <c r="G19" s="133" t="n">
        <f aca="false">G16+G17+G18</f>
        <v>1501970.61800001</v>
      </c>
      <c r="H19" s="134" t="n">
        <f aca="false">G19/F19-1</f>
        <v>0.0969689700160179</v>
      </c>
      <c r="I19" s="133" t="n">
        <f aca="false">I16+I17+I18</f>
        <v>132769.976000011</v>
      </c>
      <c r="J19" s="133" t="n">
        <f aca="false">J16+J17+J18</f>
        <v>2233304.81910546</v>
      </c>
      <c r="K19" s="134" t="n">
        <f aca="false">G19/J19-1</f>
        <v>-0.327467256081228</v>
      </c>
      <c r="L19" s="133" t="n">
        <f aca="false">L16+L17+L18</f>
        <v>-731334.201105449</v>
      </c>
    </row>
    <row r="20" customFormat="false" ht="14.25" hidden="false" customHeight="true" outlineLevel="0" collapsed="false">
      <c r="A20" s="85" t="s">
        <v>143</v>
      </c>
      <c r="B20" s="84" t="s">
        <v>49</v>
      </c>
      <c r="C20" s="65" t="s">
        <v>50</v>
      </c>
      <c r="D20" s="26" t="s">
        <v>51</v>
      </c>
      <c r="E20" s="125" t="n">
        <v>334336.04</v>
      </c>
      <c r="F20" s="125" t="n">
        <v>239973.2</v>
      </c>
      <c r="G20" s="125" t="n">
        <v>213959.66</v>
      </c>
      <c r="H20" s="126" t="n">
        <f aca="false">G20/F20-1</f>
        <v>-0.108401854873794</v>
      </c>
      <c r="I20" s="127" t="n">
        <f aca="false">G20-F20</f>
        <v>-26013.54</v>
      </c>
      <c r="J20" s="128" t="n">
        <f aca="false">VLOOKUP(B20,'תקציב  '!$B:$S,6,0)*1</f>
        <v>332824.444425</v>
      </c>
      <c r="K20" s="126" t="n">
        <f aca="false">G20/J20-1</f>
        <v>-0.357139586397734</v>
      </c>
      <c r="L20" s="129" t="n">
        <f aca="false">G20-J20</f>
        <v>-118864.784425</v>
      </c>
    </row>
    <row r="21" customFormat="false" ht="14.25" hidden="false" customHeight="true" outlineLevel="0" collapsed="false">
      <c r="A21" s="85" t="s">
        <v>144</v>
      </c>
      <c r="B21" s="84" t="s">
        <v>52</v>
      </c>
      <c r="C21" s="65" t="s">
        <v>53</v>
      </c>
      <c r="D21" s="26" t="s">
        <v>54</v>
      </c>
      <c r="E21" s="125" t="n">
        <v>0</v>
      </c>
      <c r="F21" s="125" t="n">
        <v>0</v>
      </c>
      <c r="G21" s="125"/>
      <c r="H21" s="126" t="str">
        <f aca="false">IFERROR(G21/F21-1,"-")</f>
        <v>-</v>
      </c>
      <c r="I21" s="127" t="n">
        <f aca="false">G21-F21</f>
        <v>0</v>
      </c>
      <c r="J21" s="128" t="n">
        <f aca="false">VLOOKUP(B21,'תקציב  '!$B:$S,6,0)*1</f>
        <v>0</v>
      </c>
      <c r="K21" s="126" t="str">
        <f aca="false">IFERROR(G21/J21-1,"-")</f>
        <v>-</v>
      </c>
      <c r="L21" s="129" t="n">
        <f aca="false">G21-J21</f>
        <v>0</v>
      </c>
    </row>
    <row r="22" customFormat="false" ht="14.25" hidden="false" customHeight="true" outlineLevel="0" collapsed="false">
      <c r="A22" s="85" t="s">
        <v>145</v>
      </c>
      <c r="B22" s="84" t="s">
        <v>55</v>
      </c>
      <c r="C22" s="65" t="s">
        <v>56</v>
      </c>
      <c r="D22" s="26" t="s">
        <v>57</v>
      </c>
      <c r="E22" s="125" t="n">
        <v>11470.17</v>
      </c>
      <c r="F22" s="125" t="n">
        <v>26449.51</v>
      </c>
      <c r="G22" s="125" t="n">
        <v>6418.64</v>
      </c>
      <c r="H22" s="126" t="n">
        <f aca="false">G22/F22-1</f>
        <v>-0.757324804882964</v>
      </c>
      <c r="I22" s="127" t="n">
        <f aca="false">G22-F22</f>
        <v>-20030.87</v>
      </c>
      <c r="J22" s="128" t="n">
        <f aca="false">VLOOKUP(B22,'תקציב  '!$B:$S,6,0)*1</f>
        <v>15000</v>
      </c>
      <c r="K22" s="126" t="n">
        <f aca="false">G22/J22-1</f>
        <v>-0.572090666666667</v>
      </c>
      <c r="L22" s="129" t="n">
        <f aca="false">G22-J22</f>
        <v>-8581.36</v>
      </c>
    </row>
    <row r="23" customFormat="false" ht="14.25" hidden="false" customHeight="true" outlineLevel="0" collapsed="false">
      <c r="A23" s="85" t="s">
        <v>146</v>
      </c>
      <c r="B23" s="84" t="s">
        <v>58</v>
      </c>
      <c r="C23" s="65" t="s">
        <v>59</v>
      </c>
      <c r="D23" s="26" t="s">
        <v>60</v>
      </c>
      <c r="E23" s="125" t="n">
        <v>84607.51</v>
      </c>
      <c r="F23" s="125" t="n">
        <v>0</v>
      </c>
      <c r="G23" s="145"/>
      <c r="H23" s="126" t="str">
        <f aca="false">IFERROR(G23/F23-1,"-")</f>
        <v>-</v>
      </c>
      <c r="I23" s="127" t="n">
        <f aca="false">G23-F23</f>
        <v>0</v>
      </c>
      <c r="J23" s="128" t="n">
        <f aca="false">VLOOKUP(B23,'תקציב  '!$B:$S,6,0)*1</f>
        <v>95000</v>
      </c>
      <c r="K23" s="126" t="n">
        <f aca="false">G23/J23-1</f>
        <v>-1</v>
      </c>
      <c r="L23" s="129" t="n">
        <f aca="false">G23-J23</f>
        <v>-95000</v>
      </c>
    </row>
    <row r="24" customFormat="false" ht="14.25" hidden="false" customHeight="true" outlineLevel="0" collapsed="false">
      <c r="A24" s="85" t="s">
        <v>147</v>
      </c>
      <c r="B24" s="84" t="s">
        <v>61</v>
      </c>
      <c r="C24" s="65" t="s">
        <v>62</v>
      </c>
      <c r="D24" s="26" t="s">
        <v>63</v>
      </c>
      <c r="E24" s="125" t="n">
        <v>16377.13</v>
      </c>
      <c r="F24" s="125" t="n">
        <v>13664.6</v>
      </c>
      <c r="G24" s="145" t="n">
        <v>29021.19</v>
      </c>
      <c r="H24" s="126" t="n">
        <f aca="false">G24/F24-1</f>
        <v>1.12382287077558</v>
      </c>
      <c r="I24" s="127" t="n">
        <f aca="false">G24-F24</f>
        <v>15356.59</v>
      </c>
      <c r="J24" s="128" t="n">
        <f aca="false">VLOOKUP(B24,'תקציב  '!$B:$S,6,0)*1</f>
        <v>17000</v>
      </c>
      <c r="K24" s="126" t="n">
        <f aca="false">G24/J24-1</f>
        <v>0.707128823529412</v>
      </c>
      <c r="L24" s="129" t="n">
        <f aca="false">G24-J24</f>
        <v>12021.19</v>
      </c>
    </row>
    <row r="25" customFormat="false" ht="14.25" hidden="false" customHeight="true" outlineLevel="0" collapsed="false">
      <c r="A25" s="85" t="s">
        <v>148</v>
      </c>
      <c r="B25" s="84" t="s">
        <v>64</v>
      </c>
      <c r="C25" s="65" t="s">
        <v>65</v>
      </c>
      <c r="D25" s="26" t="s">
        <v>66</v>
      </c>
      <c r="E25" s="125" t="n">
        <v>0</v>
      </c>
      <c r="F25" s="125" t="n">
        <v>42132.93</v>
      </c>
      <c r="G25" s="125"/>
      <c r="H25" s="126" t="n">
        <f aca="false">G25/F25-1</f>
        <v>-1</v>
      </c>
      <c r="I25" s="127" t="n">
        <f aca="false">G25-F25</f>
        <v>-42132.93</v>
      </c>
      <c r="J25" s="128" t="n">
        <f aca="false">VLOOKUP(B25,'תקציב  '!$B:$S,6,0)*1</f>
        <v>5000</v>
      </c>
      <c r="K25" s="126" t="n">
        <f aca="false">G25/J25-1</f>
        <v>-1</v>
      </c>
      <c r="L25" s="129" t="n">
        <f aca="false">G25-J25</f>
        <v>-5000</v>
      </c>
    </row>
    <row r="26" customFormat="false" ht="13.5" hidden="false" customHeight="true" outlineLevel="0" collapsed="false">
      <c r="A26" s="85" t="s">
        <v>149</v>
      </c>
      <c r="B26" s="84" t="s">
        <v>67</v>
      </c>
      <c r="C26" s="65" t="s">
        <v>68</v>
      </c>
      <c r="D26" s="26" t="s">
        <v>69</v>
      </c>
      <c r="E26" s="125" t="n">
        <v>0</v>
      </c>
      <c r="F26" s="125" t="n">
        <v>0</v>
      </c>
      <c r="G26" s="125"/>
      <c r="H26" s="126" t="str">
        <f aca="false">IFERROR(G26/F26-1,"-")</f>
        <v>-</v>
      </c>
      <c r="I26" s="127" t="n">
        <f aca="false">G26-F26</f>
        <v>0</v>
      </c>
      <c r="J26" s="128" t="n">
        <f aca="false">VLOOKUP(B26,'תקציב  '!$B:$S,6,0)*1</f>
        <v>0</v>
      </c>
      <c r="K26" s="126" t="str">
        <f aca="false">IFERROR(G26/J26-1,"-")</f>
        <v>-</v>
      </c>
      <c r="L26" s="129" t="n">
        <f aca="false">G26-J26</f>
        <v>0</v>
      </c>
    </row>
    <row r="27" customFormat="false" ht="14.25" hidden="false" customHeight="true" outlineLevel="0" collapsed="false">
      <c r="A27" s="85" t="s">
        <v>150</v>
      </c>
      <c r="B27" s="84" t="s">
        <v>70</v>
      </c>
      <c r="C27" s="65" t="s">
        <v>71</v>
      </c>
      <c r="D27" s="26" t="s">
        <v>72</v>
      </c>
      <c r="E27" s="125" t="n">
        <v>38588.13</v>
      </c>
      <c r="F27" s="125" t="n">
        <v>0</v>
      </c>
      <c r="G27" s="125"/>
      <c r="H27" s="126" t="str">
        <f aca="false">IFERROR(G27/F27-1,"-")</f>
        <v>-</v>
      </c>
      <c r="I27" s="127" t="n">
        <f aca="false">G27-F27</f>
        <v>0</v>
      </c>
      <c r="J27" s="128" t="n">
        <f aca="false">VLOOKUP(B27,'תקציב  '!$B:$S,6,0)*1</f>
        <v>0</v>
      </c>
      <c r="K27" s="126" t="str">
        <f aca="false">IFERROR(G27/J27-1,"-")</f>
        <v>-</v>
      </c>
      <c r="L27" s="129" t="n">
        <f aca="false">G27-J27</f>
        <v>0</v>
      </c>
    </row>
    <row r="28" customFormat="false" ht="13.5" hidden="false" customHeight="true" outlineLevel="0" collapsed="false">
      <c r="A28" s="85" t="s">
        <v>151</v>
      </c>
      <c r="B28" s="84" t="s">
        <v>73</v>
      </c>
      <c r="C28" s="65" t="s">
        <v>74</v>
      </c>
      <c r="D28" s="26" t="s">
        <v>75</v>
      </c>
      <c r="E28" s="125" t="n">
        <v>171813.81</v>
      </c>
      <c r="F28" s="125" t="n">
        <v>0.22</v>
      </c>
      <c r="G28" s="125"/>
      <c r="H28" s="126" t="n">
        <f aca="false">G28/F28-1</f>
        <v>-1</v>
      </c>
      <c r="I28" s="127" t="n">
        <f aca="false">G28-F28</f>
        <v>-0.22</v>
      </c>
      <c r="J28" s="128" t="n">
        <f aca="false">VLOOKUP(B28,'תקציב  '!$B:$S,6,0)*1</f>
        <v>0</v>
      </c>
      <c r="K28" s="126" t="str">
        <f aca="false">IFERROR(G28/J28-1,"-")</f>
        <v>-</v>
      </c>
      <c r="L28" s="129" t="n">
        <f aca="false">G28-J28</f>
        <v>0</v>
      </c>
    </row>
    <row r="29" customFormat="false" ht="13.5" hidden="false" customHeight="true" outlineLevel="0" collapsed="false">
      <c r="A29" s="85" t="s">
        <v>152</v>
      </c>
      <c r="B29" s="84" t="s">
        <v>76</v>
      </c>
      <c r="C29" s="65" t="s">
        <v>77</v>
      </c>
      <c r="D29" s="26" t="s">
        <v>78</v>
      </c>
      <c r="E29" s="125" t="n">
        <v>25514.68</v>
      </c>
      <c r="F29" s="125" t="n">
        <v>43871.72</v>
      </c>
      <c r="G29" s="145"/>
      <c r="H29" s="126" t="n">
        <f aca="false">G29/F29-1</f>
        <v>-1</v>
      </c>
      <c r="I29" s="127" t="n">
        <f aca="false">G29-F29</f>
        <v>-43871.72</v>
      </c>
      <c r="J29" s="128" t="n">
        <f aca="false">VLOOKUP(B29,'תקציב  '!$B:$S,6,0)*1</f>
        <v>39765.076</v>
      </c>
      <c r="K29" s="126" t="n">
        <f aca="false">G29/J29-1</f>
        <v>-1</v>
      </c>
      <c r="L29" s="129" t="n">
        <f aca="false">G29-J29</f>
        <v>-39765.076</v>
      </c>
    </row>
    <row r="30" customFormat="false" ht="14.25" hidden="false" customHeight="true" outlineLevel="0" collapsed="false">
      <c r="A30" s="85" t="s">
        <v>153</v>
      </c>
      <c r="B30" s="84" t="s">
        <v>79</v>
      </c>
      <c r="C30" s="65" t="s">
        <v>80</v>
      </c>
      <c r="D30" s="26" t="s">
        <v>81</v>
      </c>
      <c r="E30" s="125" t="n">
        <v>0</v>
      </c>
      <c r="F30" s="125" t="n">
        <v>32010.18</v>
      </c>
      <c r="G30" s="125"/>
      <c r="H30" s="126" t="n">
        <f aca="false">G30/F30-1</f>
        <v>-1</v>
      </c>
      <c r="I30" s="127" t="n">
        <f aca="false">G30-F30</f>
        <v>-32010.18</v>
      </c>
      <c r="J30" s="128" t="n">
        <f aca="false">VLOOKUP(B30,'תקציב  '!$B:$S,6,0)*1</f>
        <v>0</v>
      </c>
      <c r="K30" s="126" t="str">
        <f aca="false">IFERROR(G30/J30-1,"-")</f>
        <v>-</v>
      </c>
      <c r="L30" s="129" t="n">
        <f aca="false">G30-J30</f>
        <v>0</v>
      </c>
    </row>
    <row r="31" customFormat="false" ht="14.25" hidden="false" customHeight="true" outlineLevel="0" collapsed="false">
      <c r="A31" s="85" t="s">
        <v>154</v>
      </c>
      <c r="B31" s="84" t="s">
        <v>82</v>
      </c>
      <c r="C31" s="65" t="s">
        <v>83</v>
      </c>
      <c r="D31" s="26" t="s">
        <v>81</v>
      </c>
      <c r="E31" s="125" t="n">
        <v>0</v>
      </c>
      <c r="F31" s="125" t="n">
        <v>0</v>
      </c>
      <c r="G31" s="145"/>
      <c r="H31" s="126" t="str">
        <f aca="false">IFERROR(G31/F31-1,"-")</f>
        <v>-</v>
      </c>
      <c r="I31" s="127" t="n">
        <f aca="false">G31-F31</f>
        <v>0</v>
      </c>
      <c r="J31" s="128" t="n">
        <f aca="false">VLOOKUP(B31,'תקציב  '!$B:$S,6,0)*1</f>
        <v>20000</v>
      </c>
      <c r="K31" s="126" t="n">
        <f aca="false">G31/J31-1</f>
        <v>-1</v>
      </c>
      <c r="L31" s="129" t="n">
        <f aca="false">G31-J31</f>
        <v>-20000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25" t="n">
        <v>0</v>
      </c>
      <c r="F32" s="125" t="n">
        <v>16024.5</v>
      </c>
      <c r="G32" s="125"/>
      <c r="H32" s="126" t="n">
        <f aca="false">G32/F32-1</f>
        <v>-1</v>
      </c>
      <c r="I32" s="127" t="n">
        <f aca="false">G32-F32</f>
        <v>-16024.5</v>
      </c>
      <c r="J32" s="128" t="n">
        <f aca="false">VLOOKUP(B32,'תקציב  '!$B:$S,6,0)*1</f>
        <v>18000</v>
      </c>
      <c r="K32" s="126" t="n">
        <f aca="false">G32/J32-1</f>
        <v>-1</v>
      </c>
      <c r="L32" s="129" t="n">
        <f aca="false">G32-J32</f>
        <v>-18000</v>
      </c>
    </row>
    <row r="33" customFormat="false" ht="13.5" hidden="false" customHeight="true" outlineLevel="0" collapsed="false">
      <c r="B33" s="84"/>
      <c r="C33" s="65" t="s">
        <v>155</v>
      </c>
      <c r="D33" s="26" t="s">
        <v>156</v>
      </c>
      <c r="E33" s="125"/>
      <c r="F33" s="125"/>
      <c r="G33" s="125"/>
      <c r="H33" s="126" t="str">
        <f aca="false">IFERROR(G33/F33-1,"-")</f>
        <v>-</v>
      </c>
      <c r="I33" s="127" t="n">
        <f aca="false">G33-F33</f>
        <v>0</v>
      </c>
      <c r="J33" s="128"/>
      <c r="K33" s="126" t="str">
        <f aca="false">IFERROR(G33/J33-1,"-")</f>
        <v>-</v>
      </c>
      <c r="L33" s="129" t="n">
        <f aca="false">G33-J33</f>
        <v>0</v>
      </c>
    </row>
    <row r="34" customFormat="false" ht="13.5" hidden="false" customHeight="true" outlineLevel="0" collapsed="false">
      <c r="A34" s="85" t="s">
        <v>157</v>
      </c>
      <c r="B34" s="84" t="s">
        <v>87</v>
      </c>
      <c r="C34" s="65" t="s">
        <v>88</v>
      </c>
      <c r="D34" s="26" t="s">
        <v>89</v>
      </c>
      <c r="E34" s="125" t="n">
        <v>-20732.48</v>
      </c>
      <c r="F34" s="125" t="n">
        <v>0</v>
      </c>
      <c r="G34" s="125"/>
      <c r="H34" s="126" t="str">
        <f aca="false">IFERROR(G34/F34-1,"-")</f>
        <v>-</v>
      </c>
      <c r="I34" s="127" t="n">
        <f aca="false">G34-F34</f>
        <v>0</v>
      </c>
      <c r="J34" s="128" t="n">
        <f aca="false">VLOOKUP(B34,'תקציב  '!$B:$S,6,0)*1</f>
        <v>0</v>
      </c>
      <c r="K34" s="126" t="str">
        <f aca="false">IFERROR(G34/J34-1,"-")</f>
        <v>-</v>
      </c>
      <c r="L34" s="129" t="n">
        <f aca="false">G34-J34</f>
        <v>0</v>
      </c>
    </row>
    <row r="35" customFormat="false" ht="13.5" hidden="false" customHeight="true" outlineLevel="0" collapsed="false">
      <c r="A35" s="85" t="s">
        <v>158</v>
      </c>
      <c r="B35" s="84" t="s">
        <v>90</v>
      </c>
      <c r="C35" s="65" t="s">
        <v>91</v>
      </c>
      <c r="D35" s="26" t="s">
        <v>92</v>
      </c>
      <c r="E35" s="125" t="n">
        <v>0</v>
      </c>
      <c r="F35" s="125" t="n">
        <v>0</v>
      </c>
      <c r="G35" s="125"/>
      <c r="H35" s="126" t="str">
        <f aca="false">IFERROR(G35/F35-1,"-")</f>
        <v>-</v>
      </c>
      <c r="I35" s="127" t="n">
        <f aca="false">G35-F35</f>
        <v>0</v>
      </c>
      <c r="J35" s="128" t="n">
        <f aca="false">VLOOKUP(B35,'תקציב  '!$B:$S,6,0)*1</f>
        <v>0</v>
      </c>
      <c r="K35" s="126" t="str">
        <f aca="false">IFERROR(G35/J35-1,"-")</f>
        <v>-</v>
      </c>
      <c r="L35" s="129" t="n">
        <f aca="false">G35-J35</f>
        <v>0</v>
      </c>
    </row>
    <row r="36" customFormat="false" ht="14.25" hidden="false" customHeight="true" outlineLevel="0" collapsed="false">
      <c r="A36" s="85" t="s">
        <v>159</v>
      </c>
      <c r="B36" s="85" t="s">
        <v>159</v>
      </c>
      <c r="C36" s="65" t="s">
        <v>160</v>
      </c>
      <c r="D36" s="26" t="s">
        <v>78</v>
      </c>
      <c r="E36" s="125" t="n">
        <v>0</v>
      </c>
      <c r="F36" s="125" t="n">
        <v>0</v>
      </c>
      <c r="G36" s="125"/>
      <c r="H36" s="126" t="str">
        <f aca="false">IFERROR(G36/F36-1,"-")</f>
        <v>-</v>
      </c>
      <c r="I36" s="127" t="n">
        <f aca="false">G36-F36</f>
        <v>0</v>
      </c>
      <c r="J36" s="128"/>
      <c r="K36" s="126" t="str">
        <f aca="false">IFERROR(G36/J36-1,"-")</f>
        <v>-</v>
      </c>
      <c r="L36" s="129" t="n">
        <f aca="false">G36-J36</f>
        <v>0</v>
      </c>
    </row>
    <row r="37" customFormat="false" ht="14.25" hidden="false" customHeight="true" outlineLevel="0" collapsed="false">
      <c r="A37" s="85" t="s">
        <v>161</v>
      </c>
      <c r="B37" s="85" t="s">
        <v>161</v>
      </c>
      <c r="C37" s="65" t="s">
        <v>93</v>
      </c>
      <c r="D37" s="26" t="s">
        <v>162</v>
      </c>
      <c r="E37" s="125" t="n">
        <v>0</v>
      </c>
      <c r="F37" s="125" t="n">
        <v>0</v>
      </c>
      <c r="G37" s="125"/>
      <c r="H37" s="126" t="str">
        <f aca="false">IFERROR(G37/F37-1,"-")</f>
        <v>-</v>
      </c>
      <c r="I37" s="127" t="n">
        <f aca="false">G37-F37</f>
        <v>0</v>
      </c>
      <c r="J37" s="128"/>
      <c r="K37" s="126" t="str">
        <f aca="false">IFERROR(G37/J37-1,"-")</f>
        <v>-</v>
      </c>
      <c r="L37" s="129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25" t="n">
        <v>0</v>
      </c>
      <c r="F38" s="125" t="n">
        <v>0</v>
      </c>
      <c r="G38" s="125"/>
      <c r="H38" s="126" t="str">
        <f aca="false">IFERROR(G38/F38-1,"-")</f>
        <v>-</v>
      </c>
      <c r="I38" s="127" t="n">
        <f aca="false">G38-F38</f>
        <v>0</v>
      </c>
      <c r="J38" s="128"/>
      <c r="K38" s="126" t="str">
        <f aca="false">IFERROR(G38/J38-1,"-")</f>
        <v>-</v>
      </c>
      <c r="L38" s="129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25"/>
      <c r="F39" s="125"/>
      <c r="G39" s="125"/>
      <c r="H39" s="126" t="str">
        <f aca="false">IFERROR(G39/F39-1,"-")</f>
        <v>-</v>
      </c>
      <c r="I39" s="127" t="n">
        <f aca="false">G39-F39</f>
        <v>0</v>
      </c>
      <c r="J39" s="128" t="n">
        <f aca="false">VLOOKUP(B39,'תקציב  '!$B:$S,6,0)*1</f>
        <v>0</v>
      </c>
      <c r="K39" s="126" t="str">
        <f aca="false">IFERROR(G39/J39-1,"-")</f>
        <v>-</v>
      </c>
      <c r="L39" s="129" t="n">
        <f aca="false">G39-J39</f>
        <v>0</v>
      </c>
    </row>
    <row r="40" customFormat="false" ht="15" hidden="false" customHeight="true" outlineLevel="0" collapsed="false">
      <c r="B40" s="135" t="s">
        <v>98</v>
      </c>
      <c r="C40" s="135"/>
      <c r="D40" s="135"/>
      <c r="E40" s="136" t="n">
        <f aca="false">SUM(E20:E39)+E51+E52</f>
        <v>661974.99</v>
      </c>
      <c r="F40" s="136" t="n">
        <f aca="false">SUM(F20:F39)+F51+F52</f>
        <v>414126.86</v>
      </c>
      <c r="G40" s="136" t="n">
        <f aca="false">SUM(G20:G39)+G51+G52</f>
        <v>249399.49</v>
      </c>
      <c r="H40" s="137" t="n">
        <f aca="false">G40/F40-1</f>
        <v>-0.397770311251968</v>
      </c>
      <c r="I40" s="136" t="n">
        <f aca="false">SUM(I20:I39)+I51+I52</f>
        <v>-164727.37</v>
      </c>
      <c r="J40" s="136" t="n">
        <f aca="false">SUM(J20:J39)+J51+J52</f>
        <v>542589.520425</v>
      </c>
      <c r="K40" s="137" t="n">
        <f aca="false">G40/J40-1</f>
        <v>-0.540353286210448</v>
      </c>
      <c r="L40" s="136" t="n">
        <f aca="false">SUM(L20:L39)+L51+L52</f>
        <v>-293190.030425</v>
      </c>
    </row>
    <row r="41" customFormat="false" ht="16.5" hidden="false" customHeight="true" outlineLevel="0" collapsed="false">
      <c r="B41" s="138" t="s">
        <v>163</v>
      </c>
      <c r="C41" s="138"/>
      <c r="D41" s="138"/>
      <c r="E41" s="139" t="n">
        <f aca="false">E40+E19</f>
        <v>1993255.126</v>
      </c>
      <c r="F41" s="139" t="n">
        <f aca="false">F40+F19</f>
        <v>1783327.502</v>
      </c>
      <c r="G41" s="139" t="n">
        <f aca="false">G40+G19</f>
        <v>1751370.10800001</v>
      </c>
      <c r="H41" s="140" t="n">
        <f aca="false">G41/F41-1</f>
        <v>-0.0179200926157137</v>
      </c>
      <c r="I41" s="139" t="n">
        <f aca="false">I40+I19</f>
        <v>-31957.3939999891</v>
      </c>
      <c r="J41" s="139" t="n">
        <f aca="false">J40+J19</f>
        <v>2775894.33953046</v>
      </c>
      <c r="K41" s="140" t="n">
        <f aca="false">G41/J41-1</f>
        <v>-0.369078972834299</v>
      </c>
      <c r="L41" s="139" t="n">
        <f aca="false">L40+L19</f>
        <v>-1024524.23153045</v>
      </c>
    </row>
    <row r="42" customFormat="false" ht="15.75" hidden="false" customHeight="true" outlineLevel="0" collapsed="false">
      <c r="B42" s="141" t="s">
        <v>117</v>
      </c>
      <c r="C42" s="141"/>
      <c r="D42" s="141"/>
      <c r="E42" s="142" t="n">
        <f aca="false">E40/E41</f>
        <v>0.332107506643382</v>
      </c>
      <c r="F42" s="142" t="n">
        <f aca="false">F40/F41</f>
        <v>0.232221428501246</v>
      </c>
      <c r="G42" s="142" t="n">
        <f aca="false">G40/G41</f>
        <v>0.142402504679495</v>
      </c>
      <c r="H42" s="143"/>
      <c r="I42" s="5"/>
      <c r="J42" s="76" t="n">
        <f aca="false">J41-'תקציב  '!G41*1</f>
        <v>0</v>
      </c>
    </row>
    <row r="43" customFormat="false" ht="14.25" hidden="false" customHeight="true" outlineLevel="0" collapsed="false">
      <c r="E43" s="144" t="n">
        <v>0</v>
      </c>
      <c r="I43" s="5"/>
    </row>
    <row r="50" customFormat="false" ht="14.25" hidden="false" customHeight="true" outlineLevel="0" collapsed="false">
      <c r="A50" s="85"/>
      <c r="B50" s="24" t="s">
        <v>164</v>
      </c>
      <c r="C50" s="24" t="s">
        <v>164</v>
      </c>
      <c r="D50" s="26" t="s">
        <v>32</v>
      </c>
      <c r="E50" s="125"/>
      <c r="F50" s="125"/>
      <c r="G50" s="125" t="n">
        <v>0</v>
      </c>
      <c r="H50" s="126" t="str">
        <f aca="false">IFERROR(G50/F50-1,"-")</f>
        <v>-</v>
      </c>
      <c r="I50" s="127" t="n">
        <f aca="false">G50-F50</f>
        <v>0</v>
      </c>
      <c r="J50" s="128"/>
      <c r="K50" s="126" t="str">
        <f aca="false">IFERROR(G50/J50-1,"-")</f>
        <v>-</v>
      </c>
      <c r="L50" s="129" t="n">
        <f aca="false">G50-J50</f>
        <v>0</v>
      </c>
    </row>
    <row r="51" customFormat="false" ht="14.25" hidden="false" customHeight="true" outlineLevel="0" collapsed="false">
      <c r="A51" s="85"/>
      <c r="B51" s="84" t="s">
        <v>165</v>
      </c>
      <c r="C51" s="65" t="s">
        <v>165</v>
      </c>
      <c r="D51" s="26" t="s">
        <v>166</v>
      </c>
      <c r="E51" s="125"/>
      <c r="F51" s="125"/>
      <c r="G51" s="125" t="n">
        <v>0</v>
      </c>
      <c r="H51" s="126" t="str">
        <f aca="false">IFERROR(G51/F51-1,"-")</f>
        <v>-</v>
      </c>
      <c r="I51" s="127" t="n">
        <f aca="false">G51-F51</f>
        <v>0</v>
      </c>
      <c r="J51" s="128"/>
      <c r="K51" s="126" t="str">
        <f aca="false">IFERROR(G51/J51-1,"-")</f>
        <v>-</v>
      </c>
      <c r="L51" s="129" t="n">
        <f aca="false">G51-J51</f>
        <v>0</v>
      </c>
    </row>
    <row r="52" customFormat="false" ht="14.25" hidden="false" customHeight="true" outlineLevel="0" collapsed="false">
      <c r="A52" s="85"/>
      <c r="B52" s="84" t="s">
        <v>167</v>
      </c>
      <c r="C52" s="65" t="s">
        <v>167</v>
      </c>
      <c r="D52" s="26" t="s">
        <v>167</v>
      </c>
      <c r="E52" s="125"/>
      <c r="F52" s="125"/>
      <c r="G52" s="125" t="n">
        <v>0</v>
      </c>
      <c r="H52" s="126" t="str">
        <f aca="false">IFERROR(G52/F52-1,"-")</f>
        <v>-</v>
      </c>
      <c r="I52" s="127" t="n">
        <f aca="false">G52-F52</f>
        <v>0</v>
      </c>
      <c r="J52" s="128"/>
      <c r="K52" s="126" t="str">
        <f aca="false">IFERROR(G52/J52-1,"-")</f>
        <v>-</v>
      </c>
      <c r="L52" s="129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G8" activeCellId="0" sqref="G8"/>
    </sheetView>
  </sheetViews>
  <sheetFormatPr defaultColWidth="8.62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8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8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19" t="s">
        <v>170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customFormat="false" ht="15" hidden="false" customHeight="true" outlineLevel="0" collapsed="false">
      <c r="B2" s="77"/>
      <c r="C2" s="10"/>
      <c r="D2" s="10" t="s">
        <v>3</v>
      </c>
      <c r="E2" s="120" t="n">
        <v>4.2024</v>
      </c>
      <c r="F2" s="120" t="n">
        <v>4.2025</v>
      </c>
      <c r="G2" s="120" t="n">
        <v>4.2026</v>
      </c>
      <c r="H2" s="121" t="s">
        <v>128</v>
      </c>
      <c r="I2" s="122" t="s">
        <v>129</v>
      </c>
      <c r="J2" s="122" t="s">
        <v>130</v>
      </c>
      <c r="K2" s="123" t="s">
        <v>111</v>
      </c>
      <c r="L2" s="124" t="s">
        <v>112</v>
      </c>
    </row>
    <row r="3" customFormat="false" ht="14.25" hidden="false" customHeight="true" outlineLevel="0" collapsed="false">
      <c r="A3" s="85" t="s">
        <v>131</v>
      </c>
      <c r="B3" s="24" t="s">
        <v>31</v>
      </c>
      <c r="C3" s="24" t="s">
        <v>31</v>
      </c>
      <c r="D3" s="26" t="s">
        <v>32</v>
      </c>
      <c r="E3" s="125" t="n">
        <v>263037.5</v>
      </c>
      <c r="F3" s="125" t="n">
        <v>336937.6</v>
      </c>
      <c r="G3" s="125" t="n">
        <v>124575.26</v>
      </c>
      <c r="H3" s="126" t="n">
        <f aca="false">G3/F3-1</f>
        <v>-0.630272014758816</v>
      </c>
      <c r="I3" s="127" t="n">
        <f aca="false">G3-F3</f>
        <v>-212362.34</v>
      </c>
      <c r="J3" s="128" t="n">
        <f aca="false">VLOOKUP(B3,'תקציב  '!$B:$S,7,0)*1</f>
        <v>173015.873015873</v>
      </c>
      <c r="K3" s="126" t="n">
        <f aca="false">G3/J3-1</f>
        <v>-0.279977855045871</v>
      </c>
      <c r="L3" s="129" t="n">
        <f aca="false">G3-J3</f>
        <v>-48440.613015873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25" t="n">
        <v>473814.796</v>
      </c>
      <c r="F4" s="125" t="n">
        <v>549545.830000007</v>
      </c>
      <c r="G4" s="125" t="n">
        <v>429718.198</v>
      </c>
      <c r="H4" s="126" t="n">
        <f aca="false">G4/F4-1</f>
        <v>-0.218048478322555</v>
      </c>
      <c r="I4" s="127" t="n">
        <f aca="false">G4-F4</f>
        <v>-119827.632000007</v>
      </c>
      <c r="J4" s="128" t="n">
        <f aca="false">VLOOKUP(B4,'תקציב  '!$B:$S,7,0)*1</f>
        <v>475539.682539683</v>
      </c>
      <c r="K4" s="126" t="n">
        <f aca="false">G4/J4-1</f>
        <v>-0.0963568051670626</v>
      </c>
      <c r="L4" s="129" t="n">
        <f aca="false">G4-J4</f>
        <v>-45821.484539683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25" t="n">
        <v>100846.291</v>
      </c>
      <c r="F5" s="125" t="n">
        <v>75168</v>
      </c>
      <c r="G5" s="125" t="n">
        <v>83501.964</v>
      </c>
      <c r="H5" s="126" t="n">
        <f aca="false">G5/F5-1</f>
        <v>0.110871168582376</v>
      </c>
      <c r="I5" s="127" t="n">
        <f aca="false">G5-F5</f>
        <v>8333.96400000001</v>
      </c>
      <c r="J5" s="128" t="n">
        <f aca="false">VLOOKUP(B5,'תקציב  '!$B:$S,7,0)*1</f>
        <v>60714.2857142857</v>
      </c>
      <c r="K5" s="126" t="n">
        <f aca="false">G5/J5-1</f>
        <v>0.375326465882353</v>
      </c>
      <c r="L5" s="129" t="n">
        <f aca="false">G5-J5</f>
        <v>22787.6782857143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25" t="n">
        <v>132554.789</v>
      </c>
      <c r="F6" s="125" t="n">
        <v>173213.55</v>
      </c>
      <c r="G6" s="125" t="n">
        <v>125615.726</v>
      </c>
      <c r="H6" s="126" t="n">
        <f aca="false">G6/F6-1</f>
        <v>-0.27479272839798</v>
      </c>
      <c r="I6" s="127" t="n">
        <f aca="false">G6-F6</f>
        <v>-47597.824</v>
      </c>
      <c r="J6" s="128" t="n">
        <f aca="false">VLOOKUP(A6,'תקציב  '!$B:$S,7,0)*1</f>
        <v>134174.603174603</v>
      </c>
      <c r="K6" s="126" t="n">
        <f aca="false">G6/J6-1</f>
        <v>-0.0637890999645084</v>
      </c>
      <c r="L6" s="129" t="n">
        <f aca="false">G6-J6</f>
        <v>-8558.877174603</v>
      </c>
    </row>
    <row r="7" customFormat="false" ht="14.25" hidden="false" customHeight="true" outlineLevel="0" collapsed="false">
      <c r="A7" s="85" t="s">
        <v>132</v>
      </c>
      <c r="B7" s="24" t="s">
        <v>36</v>
      </c>
      <c r="C7" s="24" t="s">
        <v>36</v>
      </c>
      <c r="D7" s="26" t="s">
        <v>32</v>
      </c>
      <c r="E7" s="125" t="n">
        <v>244648</v>
      </c>
      <c r="F7" s="125" t="n">
        <v>263457</v>
      </c>
      <c r="G7" s="125" t="n">
        <v>220778.2</v>
      </c>
      <c r="H7" s="126" t="n">
        <f aca="false">G7/F7-1</f>
        <v>-0.161995316123694</v>
      </c>
      <c r="I7" s="127" t="n">
        <f aca="false">G7-F7</f>
        <v>-42678.8</v>
      </c>
      <c r="J7" s="128" t="n">
        <f aca="false">VLOOKUP(B7,'תקציב  '!$B:$S,7,0)*1</f>
        <v>365000</v>
      </c>
      <c r="K7" s="126" t="n">
        <f aca="false">G7/J7-1</f>
        <v>-0.395128219178082</v>
      </c>
      <c r="L7" s="129" t="n">
        <f aca="false">G7-J7</f>
        <v>-144221.8</v>
      </c>
    </row>
    <row r="8" customFormat="false" ht="14.25" hidden="false" customHeight="true" outlineLevel="0" collapsed="false">
      <c r="A8" s="85" t="s">
        <v>133</v>
      </c>
      <c r="B8" s="24" t="s">
        <v>37</v>
      </c>
      <c r="C8" s="24" t="s">
        <v>37</v>
      </c>
      <c r="D8" s="26" t="s">
        <v>32</v>
      </c>
      <c r="E8" s="125" t="n">
        <v>59971.53</v>
      </c>
      <c r="F8" s="125" t="n">
        <v>62433.13</v>
      </c>
      <c r="G8" s="125" t="n">
        <v>50971.08</v>
      </c>
      <c r="H8" s="126" t="n">
        <f aca="false">G8/F8-1</f>
        <v>-0.183589225784451</v>
      </c>
      <c r="I8" s="127" t="n">
        <f aca="false">G8-F8</f>
        <v>-11462.05</v>
      </c>
      <c r="J8" s="128" t="n">
        <f aca="false">VLOOKUP(B8,'תקציב  '!$B:$S,7,0)*1</f>
        <v>97460.3174603175</v>
      </c>
      <c r="K8" s="126" t="n">
        <f aca="false">G8/J8-1</f>
        <v>-0.477006833876222</v>
      </c>
      <c r="L8" s="129" t="n">
        <f aca="false">G8-J8</f>
        <v>-46489.2374603175</v>
      </c>
    </row>
    <row r="9" customFormat="false" ht="14.25" hidden="false" customHeight="true" outlineLevel="0" collapsed="false">
      <c r="A9" s="85" t="s">
        <v>134</v>
      </c>
      <c r="B9" s="24" t="s">
        <v>38</v>
      </c>
      <c r="C9" s="24" t="s">
        <v>38</v>
      </c>
      <c r="D9" s="26" t="s">
        <v>32</v>
      </c>
      <c r="E9" s="125" t="n">
        <v>69580.43</v>
      </c>
      <c r="F9" s="125" t="n">
        <v>74555.12</v>
      </c>
      <c r="G9" s="125" t="n">
        <v>88526.04</v>
      </c>
      <c r="H9" s="126" t="n">
        <f aca="false">G9/F9-1</f>
        <v>0.187390483711917</v>
      </c>
      <c r="I9" s="127" t="n">
        <f aca="false">G9-F9</f>
        <v>13970.92</v>
      </c>
      <c r="J9" s="128" t="n">
        <f aca="false">VLOOKUP(B9,'תקציב  '!$B:$S,7,0)*1</f>
        <v>139567.46031746</v>
      </c>
      <c r="K9" s="126" t="n">
        <f aca="false">G9/J9-1</f>
        <v>-0.365711464558868</v>
      </c>
      <c r="L9" s="129" t="n">
        <f aca="false">G9-J9</f>
        <v>-51041.42031746</v>
      </c>
    </row>
    <row r="10" customFormat="false" ht="14.25" hidden="false" customHeight="true" outlineLevel="0" collapsed="false">
      <c r="A10" s="85" t="s">
        <v>135</v>
      </c>
      <c r="B10" s="36" t="s">
        <v>39</v>
      </c>
      <c r="C10" s="36" t="s">
        <v>39</v>
      </c>
      <c r="D10" s="26" t="s">
        <v>32</v>
      </c>
      <c r="E10" s="125" t="n">
        <v>14571.76</v>
      </c>
      <c r="F10" s="125" t="n">
        <v>15201.7</v>
      </c>
      <c r="G10" s="125" t="n">
        <v>11923.54</v>
      </c>
      <c r="H10" s="126" t="n">
        <f aca="false">G10/F10-1</f>
        <v>-0.215644302939803</v>
      </c>
      <c r="I10" s="127" t="n">
        <f aca="false">G10-F10</f>
        <v>-3278.16</v>
      </c>
      <c r="J10" s="128" t="n">
        <f aca="false">VLOOKUP(B10,'תקציב  '!$B:$S,7,0)*1</f>
        <v>12817.4603174603</v>
      </c>
      <c r="K10" s="126" t="n">
        <f aca="false">G10/J10-1</f>
        <v>-0.0697423900928779</v>
      </c>
      <c r="L10" s="129" t="n">
        <f aca="false">G10-J10</f>
        <v>-893.920317460299</v>
      </c>
    </row>
    <row r="11" customFormat="false" ht="14.25" hidden="false" customHeight="true" outlineLevel="0" collapsed="false">
      <c r="A11" s="85" t="s">
        <v>136</v>
      </c>
      <c r="B11" s="24" t="s">
        <v>40</v>
      </c>
      <c r="C11" s="24" t="s">
        <v>40</v>
      </c>
      <c r="D11" s="26" t="s">
        <v>32</v>
      </c>
      <c r="E11" s="125" t="n">
        <v>11309.68</v>
      </c>
      <c r="F11" s="125" t="n">
        <v>4054.42</v>
      </c>
      <c r="G11" s="125" t="n">
        <v>4956.22</v>
      </c>
      <c r="H11" s="126" t="n">
        <f aca="false">G11/F11-1</f>
        <v>0.222423922533926</v>
      </c>
      <c r="I11" s="127" t="n">
        <f aca="false">G11-F11</f>
        <v>901.8</v>
      </c>
      <c r="J11" s="128" t="n">
        <f aca="false">VLOOKUP(B11,'תקציב  '!$B:$S,7,0)*1</f>
        <v>6746.03174603175</v>
      </c>
      <c r="K11" s="126" t="n">
        <f aca="false">G11/J11-1</f>
        <v>-0.265313270588236</v>
      </c>
      <c r="L11" s="129" t="n">
        <f aca="false">G11-J11</f>
        <v>-1789.81174603175</v>
      </c>
    </row>
    <row r="12" customFormat="false" ht="14.25" hidden="false" customHeight="true" outlineLevel="0" collapsed="false">
      <c r="A12" s="85" t="s">
        <v>137</v>
      </c>
      <c r="B12" s="24" t="s">
        <v>41</v>
      </c>
      <c r="C12" s="24" t="s">
        <v>41</v>
      </c>
      <c r="D12" s="26" t="s">
        <v>32</v>
      </c>
      <c r="E12" s="125" t="n">
        <v>850.4</v>
      </c>
      <c r="F12" s="125" t="n">
        <v>0</v>
      </c>
      <c r="G12" s="125"/>
      <c r="H12" s="126" t="str">
        <f aca="false">IFERROR(G12/F12-1,"-")</f>
        <v>-</v>
      </c>
      <c r="I12" s="127" t="n">
        <f aca="false">G12-F12</f>
        <v>0</v>
      </c>
      <c r="J12" s="128" t="n">
        <f aca="false">VLOOKUP(B12,'תקציב  '!$B:$S,7,0)*1</f>
        <v>0</v>
      </c>
      <c r="K12" s="126"/>
      <c r="L12" s="129" t="n">
        <f aca="false">G12-J12</f>
        <v>0</v>
      </c>
    </row>
    <row r="13" customFormat="false" ht="14.25" hidden="false" customHeight="true" outlineLevel="0" collapsed="false">
      <c r="A13" s="85" t="s">
        <v>138</v>
      </c>
      <c r="B13" s="24" t="s">
        <v>47</v>
      </c>
      <c r="C13" s="24" t="s">
        <v>47</v>
      </c>
      <c r="D13" s="26" t="s">
        <v>32</v>
      </c>
      <c r="E13" s="125" t="n">
        <v>0</v>
      </c>
      <c r="F13" s="125" t="n">
        <v>0</v>
      </c>
      <c r="G13" s="125"/>
      <c r="H13" s="126" t="str">
        <f aca="false">IFERROR(G13/F13-1,"-")</f>
        <v>-</v>
      </c>
      <c r="I13" s="127" t="n">
        <f aca="false">G13-F13</f>
        <v>0</v>
      </c>
      <c r="J13" s="128" t="n">
        <f aca="false">VLOOKUP(B13,'תקציב  '!$B:$S,7,0)*1</f>
        <v>12500</v>
      </c>
      <c r="K13" s="126" t="n">
        <f aca="false">G13/J13-1</f>
        <v>-1</v>
      </c>
      <c r="L13" s="129" t="n">
        <f aca="false">G13-J13</f>
        <v>-12500</v>
      </c>
    </row>
    <row r="14" customFormat="false" ht="14.25" hidden="false" customHeight="true" outlineLevel="0" collapsed="false">
      <c r="A14" s="85" t="s">
        <v>139</v>
      </c>
      <c r="B14" s="24" t="s">
        <v>43</v>
      </c>
      <c r="C14" s="24" t="s">
        <v>43</v>
      </c>
      <c r="D14" s="26" t="s">
        <v>32</v>
      </c>
      <c r="E14" s="125" t="n">
        <v>0</v>
      </c>
      <c r="F14" s="125" t="n">
        <v>0</v>
      </c>
      <c r="G14" s="125" t="n">
        <v>847.74</v>
      </c>
      <c r="H14" s="126" t="str">
        <f aca="false">IFERROR(G14/F14-1,"-")</f>
        <v>-</v>
      </c>
      <c r="I14" s="127" t="n">
        <f aca="false">G14-F14</f>
        <v>847.74</v>
      </c>
      <c r="J14" s="128" t="n">
        <f aca="false">VLOOKUP(B14,'תקציב  '!$B:$S,7,0)*1</f>
        <v>50000</v>
      </c>
      <c r="K14" s="126" t="n">
        <f aca="false">G14/J14-1</f>
        <v>-0.9830452</v>
      </c>
      <c r="L14" s="129" t="n">
        <f aca="false">G14-J14</f>
        <v>-49152.26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25" t="n">
        <v>3314.43</v>
      </c>
      <c r="F15" s="125" t="n">
        <v>5898.37</v>
      </c>
      <c r="G15" s="125" t="n">
        <v>33906.96</v>
      </c>
      <c r="H15" s="126" t="n">
        <f aca="false">G15/F15-1</f>
        <v>4.74853052623013</v>
      </c>
      <c r="I15" s="127" t="n">
        <f aca="false">G15-F15</f>
        <v>28008.59</v>
      </c>
      <c r="J15" s="128" t="n">
        <f aca="false">VLOOKUP(B15,'תקציב  '!$B:$S,7,0)*1</f>
        <v>13492.0634920635</v>
      </c>
      <c r="K15" s="126" t="n">
        <f aca="false">G15/J15-1</f>
        <v>1.51310409411765</v>
      </c>
      <c r="L15" s="129" t="n">
        <f aca="false">G15-J15</f>
        <v>20414.8965079365</v>
      </c>
    </row>
    <row r="16" customFormat="false" ht="15" hidden="false" customHeight="true" outlineLevel="0" collapsed="false">
      <c r="B16" s="130" t="s">
        <v>115</v>
      </c>
      <c r="C16" s="130"/>
      <c r="D16" s="130"/>
      <c r="E16" s="131" t="n">
        <f aca="false">SUM(E3:E15)+E50</f>
        <v>1374499.606</v>
      </c>
      <c r="F16" s="131" t="n">
        <f aca="false">SUM(F3:F15)+F50</f>
        <v>1560464.72000001</v>
      </c>
      <c r="G16" s="131" t="n">
        <f aca="false">SUM(G3:G15)+G50</f>
        <v>1175320.928</v>
      </c>
      <c r="H16" s="132" t="n">
        <f aca="false">G16/F16-1</f>
        <v>-0.246813521038787</v>
      </c>
      <c r="I16" s="131" t="n">
        <f aca="false">SUM(I3:I15)+I50</f>
        <v>-385143.792000007</v>
      </c>
      <c r="J16" s="131" t="n">
        <f aca="false">SUM(J3:J15)+J50</f>
        <v>1541027.77777778</v>
      </c>
      <c r="K16" s="132" t="n">
        <f aca="false">G16/J16-1</f>
        <v>-0.237313600086522</v>
      </c>
      <c r="L16" s="131" t="n">
        <f aca="false">SUM(L3:L15)+L50</f>
        <v>-365706.849777778</v>
      </c>
    </row>
    <row r="17" customFormat="false" ht="14.25" hidden="false" customHeight="true" outlineLevel="0" collapsed="false">
      <c r="A17" s="85" t="s">
        <v>141</v>
      </c>
      <c r="B17" s="24" t="s">
        <v>45</v>
      </c>
      <c r="C17" s="24" t="s">
        <v>45</v>
      </c>
      <c r="D17" s="26" t="s">
        <v>32</v>
      </c>
      <c r="E17" s="125" t="n">
        <v>43476.43</v>
      </c>
      <c r="F17" s="125" t="n">
        <v>96447.3100000002</v>
      </c>
      <c r="G17" s="125" t="n">
        <v>544858.410000022</v>
      </c>
      <c r="H17" s="126" t="n">
        <f aca="false">G17/F17-1</f>
        <v>4.64928570843522</v>
      </c>
      <c r="I17" s="127" t="n">
        <f aca="false">G17-F17</f>
        <v>448411.100000022</v>
      </c>
      <c r="J17" s="128" t="n">
        <f aca="false">VLOOKUP(B17,'תקציב  '!$B:$S,7,0)*1</f>
        <v>453601.694915254</v>
      </c>
      <c r="K17" s="126" t="n">
        <f aca="false">G17/J17-1</f>
        <v>0.201182482578284</v>
      </c>
      <c r="L17" s="129" t="n">
        <f aca="false">G17-J17</f>
        <v>91256.715084768</v>
      </c>
    </row>
    <row r="18" customFormat="false" ht="14.25" hidden="false" customHeight="true" outlineLevel="0" collapsed="false">
      <c r="A18" s="85" t="s">
        <v>142</v>
      </c>
      <c r="B18" s="38" t="s">
        <v>46</v>
      </c>
      <c r="C18" s="38" t="s">
        <v>46</v>
      </c>
      <c r="D18" s="26" t="s">
        <v>32</v>
      </c>
      <c r="E18" s="125" t="n">
        <v>2046.43</v>
      </c>
      <c r="F18" s="125" t="n">
        <v>2606.4</v>
      </c>
      <c r="G18" s="125" t="n">
        <v>1302.94</v>
      </c>
      <c r="H18" s="126" t="n">
        <f aca="false">G18/F18-1</f>
        <v>-0.500099754450583</v>
      </c>
      <c r="I18" s="127" t="n">
        <f aca="false">G18-F18</f>
        <v>-1303.46</v>
      </c>
      <c r="J18" s="128" t="n">
        <f aca="false">VLOOKUP(B18,'תקציב  '!$B:$S,7,0)*1</f>
        <v>2536.92833333333</v>
      </c>
      <c r="K18" s="126" t="n">
        <f aca="false">G18/J18-1</f>
        <v>-0.486410403131871</v>
      </c>
      <c r="L18" s="129" t="n">
        <f aca="false">G18-J18</f>
        <v>-1233.98833333333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33" t="n">
        <f aca="false">E16+E17+E18</f>
        <v>1420022.466</v>
      </c>
      <c r="F19" s="133" t="n">
        <f aca="false">F16+F17+F18</f>
        <v>1659518.43000001</v>
      </c>
      <c r="G19" s="133" t="n">
        <f aca="false">G16+G17+G18</f>
        <v>1721482.27800002</v>
      </c>
      <c r="H19" s="134" t="n">
        <f aca="false">G19/F19-1</f>
        <v>0.0373384512517974</v>
      </c>
      <c r="I19" s="133" t="n">
        <f aca="false">I16+I17+I18</f>
        <v>61963.848000015</v>
      </c>
      <c r="J19" s="133" t="n">
        <f aca="false">J16+J17+J18</f>
        <v>1997166.40102636</v>
      </c>
      <c r="K19" s="134" t="n">
        <f aca="false">G19/J19-1</f>
        <v>-0.138037633160996</v>
      </c>
      <c r="L19" s="133" t="n">
        <f aca="false">L16+L17+L18</f>
        <v>-275684.123026343</v>
      </c>
    </row>
    <row r="20" customFormat="false" ht="14.25" hidden="false" customHeight="true" outlineLevel="0" collapsed="false">
      <c r="A20" s="85" t="s">
        <v>143</v>
      </c>
      <c r="B20" s="84" t="s">
        <v>49</v>
      </c>
      <c r="C20" s="65" t="s">
        <v>50</v>
      </c>
      <c r="D20" s="26" t="s">
        <v>51</v>
      </c>
      <c r="E20" s="125" t="n">
        <v>264520.55</v>
      </c>
      <c r="F20" s="125" t="n">
        <v>238431.78</v>
      </c>
      <c r="G20" s="145" t="n">
        <v>214988.69</v>
      </c>
      <c r="H20" s="126" t="n">
        <f aca="false">G20/F20-1</f>
        <v>-0.0983220022096047</v>
      </c>
      <c r="I20" s="127" t="n">
        <f aca="false">G20-F20</f>
        <v>-23443.09</v>
      </c>
      <c r="J20" s="128" t="n">
        <f aca="false">VLOOKUP(B20,'תקציב  '!$B:$S,7,0)*1</f>
        <v>367136.1903</v>
      </c>
      <c r="K20" s="126" t="n">
        <f aca="false">G20/J20-1</f>
        <v>-0.414417059172714</v>
      </c>
      <c r="L20" s="129" t="n">
        <f aca="false">G20-J20</f>
        <v>-152147.5003</v>
      </c>
    </row>
    <row r="21" customFormat="false" ht="14.25" hidden="false" customHeight="true" outlineLevel="0" collapsed="false">
      <c r="A21" s="85" t="s">
        <v>144</v>
      </c>
      <c r="B21" s="84" t="s">
        <v>52</v>
      </c>
      <c r="C21" s="65" t="s">
        <v>53</v>
      </c>
      <c r="D21" s="26" t="s">
        <v>54</v>
      </c>
      <c r="E21" s="125" t="n">
        <v>184350.47</v>
      </c>
      <c r="F21" s="125" t="n">
        <v>217182.24</v>
      </c>
      <c r="G21" s="125"/>
      <c r="H21" s="126" t="n">
        <f aca="false">G21/F21-1</f>
        <v>-1</v>
      </c>
      <c r="I21" s="127" t="n">
        <f aca="false">G21-F21</f>
        <v>-217182.24</v>
      </c>
      <c r="J21" s="128" t="n">
        <f aca="false">VLOOKUP(B21,'תקציב  '!$B:$S,7,0)*1</f>
        <v>0</v>
      </c>
      <c r="K21" s="126" t="str">
        <f aca="false">IFERROR(G21/J21-1,"-")</f>
        <v>-</v>
      </c>
      <c r="L21" s="129" t="n">
        <f aca="false">G21-J21</f>
        <v>0</v>
      </c>
    </row>
    <row r="22" customFormat="false" ht="14.25" hidden="false" customHeight="true" outlineLevel="0" collapsed="false">
      <c r="A22" s="85" t="s">
        <v>145</v>
      </c>
      <c r="B22" s="84" t="s">
        <v>55</v>
      </c>
      <c r="C22" s="65" t="s">
        <v>56</v>
      </c>
      <c r="D22" s="26" t="s">
        <v>57</v>
      </c>
      <c r="E22" s="125" t="n">
        <v>0</v>
      </c>
      <c r="F22" s="125" t="n">
        <v>0</v>
      </c>
      <c r="G22" s="145" t="n">
        <v>123835.02</v>
      </c>
      <c r="H22" s="126" t="str">
        <f aca="false">IFERROR(G22/F22-1,"-")</f>
        <v>-</v>
      </c>
      <c r="I22" s="127" t="n">
        <f aca="false">G22-F22</f>
        <v>123835.02</v>
      </c>
      <c r="J22" s="128" t="n">
        <f aca="false">VLOOKUP(B22,'תקציב  '!$B:$S,7,0)*1</f>
        <v>100000</v>
      </c>
      <c r="K22" s="126" t="n">
        <f aca="false">G22/J22-1</f>
        <v>0.2383502</v>
      </c>
      <c r="L22" s="129" t="n">
        <f aca="false">G22-J22</f>
        <v>23835.02</v>
      </c>
    </row>
    <row r="23" customFormat="false" ht="14.25" hidden="false" customHeight="true" outlineLevel="0" collapsed="false">
      <c r="A23" s="85" t="s">
        <v>146</v>
      </c>
      <c r="B23" s="84" t="s">
        <v>58</v>
      </c>
      <c r="C23" s="65" t="s">
        <v>59</v>
      </c>
      <c r="D23" s="26" t="s">
        <v>60</v>
      </c>
      <c r="E23" s="125" t="n">
        <v>0</v>
      </c>
      <c r="F23" s="125" t="n">
        <v>88706.82</v>
      </c>
      <c r="G23" s="145" t="n">
        <v>92404.96</v>
      </c>
      <c r="H23" s="126" t="n">
        <f aca="false">G23/F23-1</f>
        <v>0.0416894664919789</v>
      </c>
      <c r="I23" s="127" t="n">
        <f aca="false">G23-F23</f>
        <v>3698.14</v>
      </c>
      <c r="J23" s="128" t="n">
        <f aca="false">VLOOKUP(B23,'תקציב  '!$B:$S,7,0)*1</f>
        <v>0</v>
      </c>
      <c r="K23" s="126" t="str">
        <f aca="false">IFERROR(G23/J23-1,"-")</f>
        <v>-</v>
      </c>
      <c r="L23" s="129" t="n">
        <f aca="false">G23-J23</f>
        <v>92404.96</v>
      </c>
    </row>
    <row r="24" customFormat="false" ht="14.25" hidden="false" customHeight="true" outlineLevel="0" collapsed="false">
      <c r="A24" s="85" t="s">
        <v>147</v>
      </c>
      <c r="B24" s="84" t="s">
        <v>61</v>
      </c>
      <c r="C24" s="65" t="s">
        <v>62</v>
      </c>
      <c r="D24" s="26" t="s">
        <v>63</v>
      </c>
      <c r="E24" s="125" t="n">
        <v>17556.44</v>
      </c>
      <c r="F24" s="125" t="n">
        <v>11888.32</v>
      </c>
      <c r="G24" s="125"/>
      <c r="H24" s="126" t="n">
        <f aca="false">G24/F24-1</f>
        <v>-1</v>
      </c>
      <c r="I24" s="127" t="n">
        <f aca="false">G24-F24</f>
        <v>-11888.32</v>
      </c>
      <c r="J24" s="128" t="n">
        <f aca="false">VLOOKUP(B24,'תקציב  '!$B:$S,7,0)*1</f>
        <v>10000</v>
      </c>
      <c r="K24" s="126" t="n">
        <f aca="false">G24/J24-1</f>
        <v>-1</v>
      </c>
      <c r="L24" s="129" t="n">
        <f aca="false">G24-J24</f>
        <v>-10000</v>
      </c>
    </row>
    <row r="25" customFormat="false" ht="14.25" hidden="false" customHeight="true" outlineLevel="0" collapsed="false">
      <c r="A25" s="85" t="s">
        <v>148</v>
      </c>
      <c r="B25" s="84" t="s">
        <v>64</v>
      </c>
      <c r="C25" s="65" t="s">
        <v>65</v>
      </c>
      <c r="D25" s="26" t="s">
        <v>66</v>
      </c>
      <c r="E25" s="125" t="n">
        <v>0</v>
      </c>
      <c r="F25" s="125" t="n">
        <v>0</v>
      </c>
      <c r="G25" s="125"/>
      <c r="H25" s="126" t="str">
        <f aca="false">IFERROR(G25/F25-1,"-")</f>
        <v>-</v>
      </c>
      <c r="I25" s="127" t="n">
        <f aca="false">G25-F25</f>
        <v>0</v>
      </c>
      <c r="J25" s="128" t="n">
        <f aca="false">VLOOKUP(B25,'תקציב  '!$B:$S,7,0)*1</f>
        <v>5000</v>
      </c>
      <c r="K25" s="126" t="n">
        <f aca="false">G25/J25-1</f>
        <v>-1</v>
      </c>
      <c r="L25" s="129" t="n">
        <f aca="false">G25-J25</f>
        <v>-5000</v>
      </c>
    </row>
    <row r="26" customFormat="false" ht="13.5" hidden="false" customHeight="true" outlineLevel="0" collapsed="false">
      <c r="A26" s="85" t="s">
        <v>149</v>
      </c>
      <c r="B26" s="84" t="s">
        <v>67</v>
      </c>
      <c r="C26" s="65" t="s">
        <v>68</v>
      </c>
      <c r="D26" s="26" t="s">
        <v>69</v>
      </c>
      <c r="E26" s="125" t="n">
        <v>0</v>
      </c>
      <c r="F26" s="125" t="n">
        <v>0</v>
      </c>
      <c r="G26" s="145" t="n">
        <v>165356.86</v>
      </c>
      <c r="H26" s="126" t="str">
        <f aca="false">IFERROR(G26/F26-1,"-")</f>
        <v>-</v>
      </c>
      <c r="I26" s="127" t="n">
        <f aca="false">G26-F26</f>
        <v>165356.86</v>
      </c>
      <c r="J26" s="128" t="n">
        <f aca="false">VLOOKUP(B26,'תקציב  '!$B:$S,7,0)*1</f>
        <v>150000</v>
      </c>
      <c r="K26" s="126" t="n">
        <f aca="false">G26/J26-1</f>
        <v>0.102379066666667</v>
      </c>
      <c r="L26" s="129" t="n">
        <f aca="false">G26-J26</f>
        <v>15356.86</v>
      </c>
    </row>
    <row r="27" customFormat="false" ht="14.25" hidden="false" customHeight="true" outlineLevel="0" collapsed="false">
      <c r="A27" s="85" t="s">
        <v>150</v>
      </c>
      <c r="B27" s="84" t="s">
        <v>70</v>
      </c>
      <c r="C27" s="65" t="s">
        <v>71</v>
      </c>
      <c r="D27" s="26" t="s">
        <v>72</v>
      </c>
      <c r="E27" s="125" t="n">
        <v>0</v>
      </c>
      <c r="F27" s="125" t="n">
        <v>35240.62</v>
      </c>
      <c r="G27" s="125"/>
      <c r="H27" s="126" t="n">
        <f aca="false">G27/F27-1</f>
        <v>-1</v>
      </c>
      <c r="I27" s="127" t="n">
        <f aca="false">G27-F27</f>
        <v>-35240.62</v>
      </c>
      <c r="J27" s="128" t="n">
        <f aca="false">VLOOKUP(B27,'תקציב  '!$B:$S,7,0)*1</f>
        <v>40000</v>
      </c>
      <c r="K27" s="126" t="n">
        <f aca="false">G27/J27-1</f>
        <v>-1</v>
      </c>
      <c r="L27" s="129" t="n">
        <f aca="false">G27-J27</f>
        <v>-40000</v>
      </c>
    </row>
    <row r="28" customFormat="false" ht="13.5" hidden="false" customHeight="true" outlineLevel="0" collapsed="false">
      <c r="A28" s="85" t="s">
        <v>151</v>
      </c>
      <c r="B28" s="84" t="s">
        <v>73</v>
      </c>
      <c r="C28" s="65" t="s">
        <v>74</v>
      </c>
      <c r="D28" s="26" t="s">
        <v>75</v>
      </c>
      <c r="E28" s="125" t="n">
        <v>0</v>
      </c>
      <c r="F28" s="125" t="n">
        <v>0</v>
      </c>
      <c r="G28" s="125"/>
      <c r="H28" s="126" t="str">
        <f aca="false">IFERROR(G28/F28-1,"-")</f>
        <v>-</v>
      </c>
      <c r="I28" s="127" t="n">
        <f aca="false">G28-F28</f>
        <v>0</v>
      </c>
      <c r="J28" s="128" t="n">
        <f aca="false">VLOOKUP(B28,'תקציב  '!$B:$S,7,0)*1</f>
        <v>0</v>
      </c>
      <c r="K28" s="126" t="str">
        <f aca="false">IFERROR(G28/J28-1,"-")</f>
        <v>-</v>
      </c>
      <c r="L28" s="129" t="n">
        <f aca="false">G28-J28</f>
        <v>0</v>
      </c>
    </row>
    <row r="29" customFormat="false" ht="13.5" hidden="false" customHeight="true" outlineLevel="0" collapsed="false">
      <c r="A29" s="85" t="s">
        <v>152</v>
      </c>
      <c r="B29" s="84" t="s">
        <v>76</v>
      </c>
      <c r="C29" s="65" t="s">
        <v>77</v>
      </c>
      <c r="D29" s="26" t="s">
        <v>78</v>
      </c>
      <c r="E29" s="125" t="n">
        <v>27828.48</v>
      </c>
      <c r="F29" s="125" t="n">
        <v>38170.88</v>
      </c>
      <c r="G29" s="145" t="n">
        <v>60931.15</v>
      </c>
      <c r="H29" s="126" t="n">
        <f aca="false">G29/F29-1</f>
        <v>0.596273127577881</v>
      </c>
      <c r="I29" s="127" t="n">
        <f aca="false">G29-F29</f>
        <v>22760.27</v>
      </c>
      <c r="J29" s="128" t="n">
        <f aca="false">VLOOKUP(B29,'תקציב  '!$B:$S,7,0)*1</f>
        <v>39765.076</v>
      </c>
      <c r="K29" s="126" t="n">
        <f aca="false">G29/J29-1</f>
        <v>0.53227797175592</v>
      </c>
      <c r="L29" s="129" t="n">
        <f aca="false">G29-J29</f>
        <v>21166.074</v>
      </c>
    </row>
    <row r="30" customFormat="false" ht="14.25" hidden="false" customHeight="true" outlineLevel="0" collapsed="false">
      <c r="A30" s="85" t="s">
        <v>153</v>
      </c>
      <c r="B30" s="84" t="s">
        <v>79</v>
      </c>
      <c r="C30" s="65" t="s">
        <v>80</v>
      </c>
      <c r="D30" s="26" t="s">
        <v>81</v>
      </c>
      <c r="E30" s="125" t="n">
        <v>49617.59</v>
      </c>
      <c r="F30" s="125" t="n">
        <v>0</v>
      </c>
      <c r="G30" s="125"/>
      <c r="H30" s="126" t="str">
        <f aca="false">IFERROR(G30/F30-1,"-")</f>
        <v>-</v>
      </c>
      <c r="I30" s="127" t="n">
        <f aca="false">G30-F30</f>
        <v>0</v>
      </c>
      <c r="J30" s="128" t="n">
        <f aca="false">VLOOKUP(B30,'תקציב  '!$B:$S,7,0)*1</f>
        <v>35000</v>
      </c>
      <c r="K30" s="126" t="n">
        <f aca="false">G30/J30-1</f>
        <v>-1</v>
      </c>
      <c r="L30" s="129" t="n">
        <f aca="false">G30-J30</f>
        <v>-35000</v>
      </c>
    </row>
    <row r="31" customFormat="false" ht="14.25" hidden="false" customHeight="true" outlineLevel="0" collapsed="false">
      <c r="A31" s="85" t="s">
        <v>154</v>
      </c>
      <c r="B31" s="84" t="s">
        <v>82</v>
      </c>
      <c r="C31" s="65" t="s">
        <v>83</v>
      </c>
      <c r="D31" s="26" t="s">
        <v>81</v>
      </c>
      <c r="E31" s="125" t="n">
        <v>20354.79</v>
      </c>
      <c r="F31" s="125" t="n">
        <v>0</v>
      </c>
      <c r="G31" s="145" t="n">
        <v>17809.5</v>
      </c>
      <c r="H31" s="126" t="str">
        <f aca="false">IFERROR(G31/F31-1,"-")</f>
        <v>-</v>
      </c>
      <c r="I31" s="127" t="n">
        <f aca="false">G31-F31</f>
        <v>17809.5</v>
      </c>
      <c r="J31" s="128" t="n">
        <f aca="false">VLOOKUP(B31,'תקציב  '!$B:$S,7,0)*1</f>
        <v>0</v>
      </c>
      <c r="K31" s="126" t="str">
        <f aca="false">IFERROR(G31/J31-1,"-")</f>
        <v>-</v>
      </c>
      <c r="L31" s="129" t="n">
        <f aca="false">G31-J31</f>
        <v>17809.5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25" t="n">
        <v>0</v>
      </c>
      <c r="F32" s="125" t="n">
        <v>0</v>
      </c>
      <c r="G32" s="125"/>
      <c r="H32" s="126" t="str">
        <f aca="false">IFERROR(G32/F32-1,"-")</f>
        <v>-</v>
      </c>
      <c r="I32" s="127" t="n">
        <f aca="false">G32-F32</f>
        <v>0</v>
      </c>
      <c r="J32" s="128" t="n">
        <f aca="false">VLOOKUP(B32,'תקציב  '!$B:$S,7,0)*1</f>
        <v>0</v>
      </c>
      <c r="K32" s="126" t="str">
        <f aca="false">IFERROR(G32/J32-1,"-")</f>
        <v>-</v>
      </c>
      <c r="L32" s="129" t="n">
        <f aca="false">G32-J32</f>
        <v>0</v>
      </c>
    </row>
    <row r="33" customFormat="false" ht="13.5" hidden="true" customHeight="true" outlineLevel="0" collapsed="false">
      <c r="B33" s="84"/>
      <c r="C33" s="65" t="s">
        <v>155</v>
      </c>
      <c r="D33" s="26" t="s">
        <v>156</v>
      </c>
      <c r="E33" s="125"/>
      <c r="F33" s="125"/>
      <c r="G33" s="125"/>
      <c r="H33" s="126" t="str">
        <f aca="false">IFERROR(G33/F33-1,"-")</f>
        <v>-</v>
      </c>
      <c r="I33" s="127" t="n">
        <f aca="false">G33-F33</f>
        <v>0</v>
      </c>
      <c r="J33" s="128"/>
      <c r="K33" s="126" t="str">
        <f aca="false">IFERROR(G33/J33-1,"-")</f>
        <v>-</v>
      </c>
      <c r="L33" s="129" t="n">
        <f aca="false">G33-J33</f>
        <v>0</v>
      </c>
    </row>
    <row r="34" customFormat="false" ht="13.5" hidden="false" customHeight="true" outlineLevel="0" collapsed="false">
      <c r="A34" s="85" t="s">
        <v>157</v>
      </c>
      <c r="B34" s="84" t="s">
        <v>87</v>
      </c>
      <c r="C34" s="65" t="s">
        <v>88</v>
      </c>
      <c r="D34" s="26" t="s">
        <v>89</v>
      </c>
      <c r="E34" s="125" t="n">
        <v>0</v>
      </c>
      <c r="F34" s="125" t="n">
        <v>0</v>
      </c>
      <c r="G34" s="125"/>
      <c r="H34" s="126" t="str">
        <f aca="false">IFERROR(G34/F34-1,"-")</f>
        <v>-</v>
      </c>
      <c r="I34" s="127" t="n">
        <f aca="false">G34-F34</f>
        <v>0</v>
      </c>
      <c r="J34" s="128" t="n">
        <f aca="false">VLOOKUP(B34,'תקציב  '!$B:$S,7,0)*1</f>
        <v>0</v>
      </c>
      <c r="K34" s="126" t="str">
        <f aca="false">IFERROR(G34/J34-1,"-")</f>
        <v>-</v>
      </c>
      <c r="L34" s="129" t="n">
        <f aca="false">G34-J34</f>
        <v>0</v>
      </c>
    </row>
    <row r="35" customFormat="false" ht="13.5" hidden="false" customHeight="true" outlineLevel="0" collapsed="false">
      <c r="A35" s="85" t="s">
        <v>158</v>
      </c>
      <c r="B35" s="84" t="s">
        <v>90</v>
      </c>
      <c r="C35" s="65" t="s">
        <v>91</v>
      </c>
      <c r="D35" s="26" t="s">
        <v>92</v>
      </c>
      <c r="E35" s="125" t="n">
        <v>0</v>
      </c>
      <c r="F35" s="125" t="n">
        <v>0</v>
      </c>
      <c r="G35" s="125"/>
      <c r="H35" s="126" t="str">
        <f aca="false">IFERROR(G35/F35-1,"-")</f>
        <v>-</v>
      </c>
      <c r="I35" s="127" t="n">
        <f aca="false">G35-F35</f>
        <v>0</v>
      </c>
      <c r="J35" s="128" t="n">
        <f aca="false">VLOOKUP(B35,'תקציב  '!$B:$S,7,0)*1</f>
        <v>0</v>
      </c>
      <c r="K35" s="126" t="str">
        <f aca="false">IFERROR(G35/J35-1,"-")</f>
        <v>-</v>
      </c>
      <c r="L35" s="129" t="n">
        <f aca="false">G35-J35</f>
        <v>0</v>
      </c>
    </row>
    <row r="36" customFormat="false" ht="14.25" hidden="false" customHeight="true" outlineLevel="0" collapsed="false">
      <c r="A36" s="85" t="s">
        <v>159</v>
      </c>
      <c r="B36" s="85" t="s">
        <v>159</v>
      </c>
      <c r="C36" s="65" t="s">
        <v>160</v>
      </c>
      <c r="D36" s="26" t="s">
        <v>78</v>
      </c>
      <c r="E36" s="125" t="n">
        <v>41531.96</v>
      </c>
      <c r="F36" s="125" t="n">
        <v>0</v>
      </c>
      <c r="G36" s="125"/>
      <c r="H36" s="126" t="str">
        <f aca="false">IFERROR(G36/F36-1,"-")</f>
        <v>-</v>
      </c>
      <c r="I36" s="127" t="n">
        <f aca="false">G36-F36</f>
        <v>0</v>
      </c>
      <c r="J36" s="128"/>
      <c r="K36" s="126" t="str">
        <f aca="false">IFERROR(G36/J36-1,"-")</f>
        <v>-</v>
      </c>
      <c r="L36" s="129" t="n">
        <f aca="false">G36-J36</f>
        <v>0</v>
      </c>
    </row>
    <row r="37" customFormat="false" ht="14.25" hidden="false" customHeight="true" outlineLevel="0" collapsed="false">
      <c r="A37" s="85" t="s">
        <v>161</v>
      </c>
      <c r="B37" s="85" t="s">
        <v>161</v>
      </c>
      <c r="C37" s="65" t="s">
        <v>93</v>
      </c>
      <c r="D37" s="26" t="s">
        <v>162</v>
      </c>
      <c r="E37" s="125" t="n">
        <v>0</v>
      </c>
      <c r="F37" s="125" t="n">
        <v>0</v>
      </c>
      <c r="G37" s="125"/>
      <c r="H37" s="126" t="str">
        <f aca="false">IFERROR(G37/F37-1,"-")</f>
        <v>-</v>
      </c>
      <c r="I37" s="127" t="n">
        <f aca="false">G37-F37</f>
        <v>0</v>
      </c>
      <c r="J37" s="128"/>
      <c r="K37" s="126" t="str">
        <f aca="false">IFERROR(G37/J37-1,"-")</f>
        <v>-</v>
      </c>
      <c r="L37" s="129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25" t="n">
        <v>0</v>
      </c>
      <c r="F38" s="125" t="n">
        <v>0</v>
      </c>
      <c r="G38" s="125"/>
      <c r="H38" s="126" t="str">
        <f aca="false">IFERROR(G38/F38-1,"-")</f>
        <v>-</v>
      </c>
      <c r="I38" s="127" t="n">
        <f aca="false">G38-F38</f>
        <v>0</v>
      </c>
      <c r="J38" s="128" t="n">
        <f aca="false">VLOOKUP(B38,'תקציב  '!$B:$S,7,0)*1</f>
        <v>200000</v>
      </c>
      <c r="K38" s="126" t="n">
        <f aca="false">G38/J38-1</f>
        <v>-1</v>
      </c>
      <c r="L38" s="129" t="n">
        <f aca="false">G38-J38</f>
        <v>-200000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25"/>
      <c r="F39" s="125"/>
      <c r="G39" s="125"/>
      <c r="H39" s="126" t="str">
        <f aca="false">IFERROR(G39/F39-1,"-")</f>
        <v>-</v>
      </c>
      <c r="I39" s="127" t="n">
        <f aca="false">G39-F39</f>
        <v>0</v>
      </c>
      <c r="J39" s="128" t="n">
        <f aca="false">VLOOKUP(B39,'תקציב  '!$B:$S,7,0)*1</f>
        <v>0</v>
      </c>
      <c r="K39" s="126" t="str">
        <f aca="false">IFERROR(G39/J39-1,"-")</f>
        <v>-</v>
      </c>
      <c r="L39" s="129" t="n">
        <f aca="false">G39-J39</f>
        <v>0</v>
      </c>
    </row>
    <row r="40" customFormat="false" ht="15" hidden="false" customHeight="true" outlineLevel="0" collapsed="false">
      <c r="B40" s="135" t="s">
        <v>98</v>
      </c>
      <c r="C40" s="135"/>
      <c r="D40" s="135"/>
      <c r="E40" s="136" t="n">
        <f aca="false">SUM(E20:E39)+E51+E52</f>
        <v>605760.28</v>
      </c>
      <c r="F40" s="136" t="n">
        <f aca="false">SUM(F20:F39)+F51+F52</f>
        <v>629620.66</v>
      </c>
      <c r="G40" s="136" t="n">
        <f aca="false">SUM(G20:G39)+G51+G52</f>
        <v>675326.18</v>
      </c>
      <c r="H40" s="137" t="n">
        <f aca="false">G40/F40-1</f>
        <v>0.0725921541392876</v>
      </c>
      <c r="I40" s="136" t="n">
        <f aca="false">SUM(I20:I39)+I51+I52</f>
        <v>45705.52</v>
      </c>
      <c r="J40" s="136" t="n">
        <f aca="false">SUM(J20:J39)+J51+J52</f>
        <v>946901.2663</v>
      </c>
      <c r="K40" s="137" t="n">
        <f aca="false">G40/J40-1</f>
        <v>-0.286804016390405</v>
      </c>
      <c r="L40" s="136" t="n">
        <f aca="false">SUM(L20:L39)+L51+L52</f>
        <v>-271575.0863</v>
      </c>
    </row>
    <row r="41" customFormat="false" ht="16.5" hidden="false" customHeight="true" outlineLevel="0" collapsed="false">
      <c r="B41" s="138" t="s">
        <v>163</v>
      </c>
      <c r="C41" s="138"/>
      <c r="D41" s="138"/>
      <c r="E41" s="139" t="n">
        <f aca="false">E40+E19</f>
        <v>2025782.746</v>
      </c>
      <c r="F41" s="139" t="n">
        <f aca="false">F40+F19</f>
        <v>2289139.09000001</v>
      </c>
      <c r="G41" s="139" t="n">
        <f aca="false">G40+G19</f>
        <v>2396808.45800002</v>
      </c>
      <c r="H41" s="140" t="n">
        <f aca="false">G41/F41-1</f>
        <v>0.0470348737087942</v>
      </c>
      <c r="I41" s="139" t="n">
        <f aca="false">I40+I19</f>
        <v>107669.368000015</v>
      </c>
      <c r="J41" s="139" t="n">
        <f aca="false">J40+J19</f>
        <v>2944067.66732636</v>
      </c>
      <c r="K41" s="140" t="n">
        <f aca="false">G41/J41-1</f>
        <v>-0.185885404537367</v>
      </c>
      <c r="L41" s="139" t="n">
        <f aca="false">L40+L19</f>
        <v>-547259.209326343</v>
      </c>
    </row>
    <row r="42" customFormat="false" ht="15.75" hidden="false" customHeight="true" outlineLevel="0" collapsed="false">
      <c r="B42" s="141" t="s">
        <v>117</v>
      </c>
      <c r="C42" s="141"/>
      <c r="D42" s="141"/>
      <c r="E42" s="142" t="n">
        <f aca="false">E40/E41</f>
        <v>0.299025293406265</v>
      </c>
      <c r="F42" s="142" t="n">
        <f aca="false">F40/F41</f>
        <v>0.275046921679188</v>
      </c>
      <c r="G42" s="142" t="n">
        <f aca="false">G40/G41</f>
        <v>0.281760596156906</v>
      </c>
      <c r="H42" s="143"/>
      <c r="I42" s="5"/>
      <c r="J42" s="76" t="n">
        <f aca="false">J41-'תקציב  '!H41*1</f>
        <v>0</v>
      </c>
    </row>
    <row r="43" customFormat="false" ht="14.25" hidden="false" customHeight="true" outlineLevel="0" collapsed="false">
      <c r="E43" s="144" t="n">
        <v>0</v>
      </c>
      <c r="I43" s="5"/>
    </row>
    <row r="50" customFormat="false" ht="14.25" hidden="false" customHeight="true" outlineLevel="0" collapsed="false">
      <c r="A50" s="85"/>
      <c r="B50" s="24" t="s">
        <v>164</v>
      </c>
      <c r="C50" s="24" t="s">
        <v>164</v>
      </c>
      <c r="D50" s="26" t="s">
        <v>32</v>
      </c>
      <c r="E50" s="125"/>
      <c r="F50" s="125"/>
      <c r="G50" s="125" t="n">
        <v>0</v>
      </c>
      <c r="H50" s="126" t="str">
        <f aca="false">IFERROR(G50/F50-1,"-")</f>
        <v>-</v>
      </c>
      <c r="I50" s="127" t="n">
        <f aca="false">G50-F50</f>
        <v>0</v>
      </c>
      <c r="J50" s="128"/>
      <c r="K50" s="126" t="str">
        <f aca="false">IFERROR(G50/J50-1,"-")</f>
        <v>-</v>
      </c>
      <c r="L50" s="129" t="n">
        <f aca="false">G50-J50</f>
        <v>0</v>
      </c>
    </row>
    <row r="51" customFormat="false" ht="14.25" hidden="false" customHeight="true" outlineLevel="0" collapsed="false">
      <c r="A51" s="85"/>
      <c r="B51" s="84" t="s">
        <v>165</v>
      </c>
      <c r="C51" s="65" t="s">
        <v>165</v>
      </c>
      <c r="D51" s="26" t="s">
        <v>166</v>
      </c>
      <c r="E51" s="125"/>
      <c r="F51" s="125"/>
      <c r="G51" s="145" t="n">
        <v>0</v>
      </c>
      <c r="H51" s="126" t="str">
        <f aca="false">IFERROR(G51/F51-1,"-")</f>
        <v>-</v>
      </c>
      <c r="I51" s="127" t="n">
        <f aca="false">G51-F51</f>
        <v>0</v>
      </c>
      <c r="J51" s="128"/>
      <c r="K51" s="126" t="str">
        <f aca="false">IFERROR(G51/J51-1,"-")</f>
        <v>-</v>
      </c>
      <c r="L51" s="129" t="n">
        <f aca="false">G51-J51</f>
        <v>0</v>
      </c>
    </row>
    <row r="52" customFormat="false" ht="14.25" hidden="false" customHeight="true" outlineLevel="0" collapsed="false">
      <c r="A52" s="85"/>
      <c r="B52" s="84" t="s">
        <v>167</v>
      </c>
      <c r="C52" s="65" t="s">
        <v>167</v>
      </c>
      <c r="D52" s="26" t="s">
        <v>167</v>
      </c>
      <c r="E52" s="125"/>
      <c r="F52" s="125"/>
      <c r="G52" s="145" t="n">
        <v>0</v>
      </c>
      <c r="H52" s="126" t="str">
        <f aca="false">IFERROR(G52/F52-1,"-")</f>
        <v>-</v>
      </c>
      <c r="I52" s="127" t="n">
        <f aca="false">G52-F52</f>
        <v>0</v>
      </c>
      <c r="J52" s="128"/>
      <c r="K52" s="126" t="str">
        <f aca="false">IFERROR(G52/J52-1,"-")</f>
        <v>-</v>
      </c>
      <c r="L52" s="129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J39" activeCellId="0" sqref="J39"/>
    </sheetView>
  </sheetViews>
  <sheetFormatPr defaultColWidth="8.62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8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8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19" t="s">
        <v>171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customFormat="false" ht="15" hidden="false" customHeight="true" outlineLevel="0" collapsed="false">
      <c r="B2" s="77"/>
      <c r="C2" s="10"/>
      <c r="D2" s="10" t="s">
        <v>3</v>
      </c>
      <c r="E2" s="120" t="n">
        <v>5.2024</v>
      </c>
      <c r="F2" s="120" t="n">
        <v>5.2025</v>
      </c>
      <c r="G2" s="120" t="n">
        <v>5.2026</v>
      </c>
      <c r="H2" s="121" t="s">
        <v>128</v>
      </c>
      <c r="I2" s="122" t="s">
        <v>129</v>
      </c>
      <c r="J2" s="122" t="s">
        <v>130</v>
      </c>
      <c r="K2" s="123" t="s">
        <v>111</v>
      </c>
      <c r="L2" s="124" t="s">
        <v>112</v>
      </c>
    </row>
    <row r="3" customFormat="false" ht="14.25" hidden="false" customHeight="true" outlineLevel="0" collapsed="false">
      <c r="A3" s="85" t="s">
        <v>131</v>
      </c>
      <c r="B3" s="24" t="s">
        <v>31</v>
      </c>
      <c r="C3" s="24" t="s">
        <v>31</v>
      </c>
      <c r="D3" s="26" t="s">
        <v>32</v>
      </c>
      <c r="E3" s="125" t="n">
        <v>155618.13</v>
      </c>
      <c r="F3" s="125" t="n">
        <v>131634</v>
      </c>
      <c r="G3" s="125"/>
      <c r="H3" s="126" t="n">
        <f aca="false">G3/F3-1</f>
        <v>-1</v>
      </c>
      <c r="I3" s="127" t="n">
        <f aca="false">G3-F3</f>
        <v>-131634</v>
      </c>
      <c r="J3" s="128" t="n">
        <f aca="false">VLOOKUP(B3,'תקציב  '!$B:$S,8,0)*1</f>
        <v>188253.968253968</v>
      </c>
      <c r="K3" s="126" t="n">
        <f aca="false">G3/J3-1</f>
        <v>-1</v>
      </c>
      <c r="L3" s="129" t="n">
        <f aca="false">G3-J3</f>
        <v>-188253.968253968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25" t="n">
        <v>560199.913</v>
      </c>
      <c r="F4" s="125" t="n">
        <v>729180.694700011</v>
      </c>
      <c r="G4" s="125" t="n">
        <v>498482.53</v>
      </c>
      <c r="H4" s="126" t="n">
        <f aca="false">G4/F4-1</f>
        <v>-0.316379967786889</v>
      </c>
      <c r="I4" s="127" t="n">
        <f aca="false">G4-F4</f>
        <v>-230698.164700011</v>
      </c>
      <c r="J4" s="128" t="n">
        <f aca="false">VLOOKUP(B4,'תקציב  '!$B:$S,8,0)*1</f>
        <v>558634.920634921</v>
      </c>
      <c r="K4" s="126" t="n">
        <f aca="false">G4/J4-1</f>
        <v>-0.107677462351538</v>
      </c>
      <c r="L4" s="129" t="n">
        <f aca="false">G4-J4</f>
        <v>-60152.390634921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25" t="n">
        <v>104005.538</v>
      </c>
      <c r="F5" s="125" t="n">
        <v>80577.77</v>
      </c>
      <c r="G5" s="125" t="n">
        <v>81328.338</v>
      </c>
      <c r="H5" s="126" t="n">
        <f aca="false">G5/F5-1</f>
        <v>0.00931482715394094</v>
      </c>
      <c r="I5" s="127" t="n">
        <f aca="false">G5-F5</f>
        <v>750.567999999999</v>
      </c>
      <c r="J5" s="128" t="n">
        <f aca="false">VLOOKUP(B5,'תקציב  '!$B:$S,8,0)*1</f>
        <v>71428.5714285714</v>
      </c>
      <c r="K5" s="126" t="n">
        <f aca="false">G5/J5-1</f>
        <v>0.138596732</v>
      </c>
      <c r="L5" s="129" t="n">
        <f aca="false">G5-J5</f>
        <v>9899.7665714286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25" t="n">
        <v>211638.805</v>
      </c>
      <c r="F6" s="125" t="n">
        <v>186515.155300001</v>
      </c>
      <c r="G6" s="125" t="n">
        <v>148972.084</v>
      </c>
      <c r="H6" s="126" t="n">
        <f aca="false">G6/F6-1</f>
        <v>-0.201286974453174</v>
      </c>
      <c r="I6" s="127" t="n">
        <f aca="false">G6-F6</f>
        <v>-37543.071300001</v>
      </c>
      <c r="J6" s="128" t="n">
        <f aca="false">VLOOKUP(A6,'תקציב  '!$B:$S,8,0)*1</f>
        <v>160793.650793651</v>
      </c>
      <c r="K6" s="126" t="n">
        <f aca="false">G6/J6-1</f>
        <v>-0.0735201093780861</v>
      </c>
      <c r="L6" s="129" t="n">
        <f aca="false">G6-J6</f>
        <v>-11821.566793651</v>
      </c>
    </row>
    <row r="7" customFormat="false" ht="14.25" hidden="false" customHeight="true" outlineLevel="0" collapsed="false">
      <c r="A7" s="85" t="s">
        <v>132</v>
      </c>
      <c r="B7" s="24" t="s">
        <v>36</v>
      </c>
      <c r="C7" s="24" t="s">
        <v>36</v>
      </c>
      <c r="D7" s="26" t="s">
        <v>32</v>
      </c>
      <c r="E7" s="125" t="n">
        <v>327442</v>
      </c>
      <c r="F7" s="125" t="n">
        <v>307503</v>
      </c>
      <c r="G7" s="125" t="n">
        <v>318846.8</v>
      </c>
      <c r="H7" s="126" t="n">
        <f aca="false">G7/F7-1</f>
        <v>0.0368900466011712</v>
      </c>
      <c r="I7" s="127" t="n">
        <f aca="false">G7-F7</f>
        <v>11343.8</v>
      </c>
      <c r="J7" s="128" t="n">
        <f aca="false">VLOOKUP(B7,'תקציב  '!$B:$S,8,0)*1</f>
        <v>365000</v>
      </c>
      <c r="K7" s="126" t="n">
        <f aca="false">G7/J7-1</f>
        <v>-0.126447123287671</v>
      </c>
      <c r="L7" s="129" t="n">
        <f aca="false">G7-J7</f>
        <v>-46153.2</v>
      </c>
    </row>
    <row r="8" customFormat="false" ht="14.25" hidden="false" customHeight="true" outlineLevel="0" collapsed="false">
      <c r="A8" s="85" t="s">
        <v>133</v>
      </c>
      <c r="B8" s="24" t="s">
        <v>37</v>
      </c>
      <c r="C8" s="24" t="s">
        <v>37</v>
      </c>
      <c r="D8" s="26" t="s">
        <v>32</v>
      </c>
      <c r="E8" s="125" t="n">
        <v>65998.04</v>
      </c>
      <c r="F8" s="125" t="n">
        <v>88130.8</v>
      </c>
      <c r="G8" s="125" t="n">
        <v>47091.772</v>
      </c>
      <c r="H8" s="126" t="n">
        <f aca="false">G8/F8-1</f>
        <v>-0.465660450149097</v>
      </c>
      <c r="I8" s="127" t="n">
        <f aca="false">G8-F8</f>
        <v>-41039.028</v>
      </c>
      <c r="J8" s="128" t="n">
        <f aca="false">VLOOKUP(B8,'תקציב  '!$B:$S,8,0)*1</f>
        <v>99365.0793650794</v>
      </c>
      <c r="K8" s="126" t="n">
        <f aca="false">G8/J8-1</f>
        <v>-0.526073221086262</v>
      </c>
      <c r="L8" s="129" t="n">
        <f aca="false">G8-J8</f>
        <v>-52273.3073650794</v>
      </c>
    </row>
    <row r="9" customFormat="false" ht="14.25" hidden="false" customHeight="true" outlineLevel="0" collapsed="false">
      <c r="A9" s="85" t="s">
        <v>134</v>
      </c>
      <c r="B9" s="24" t="s">
        <v>38</v>
      </c>
      <c r="C9" s="24" t="s">
        <v>38</v>
      </c>
      <c r="D9" s="26" t="s">
        <v>32</v>
      </c>
      <c r="E9" s="125" t="n">
        <v>99310.41</v>
      </c>
      <c r="F9" s="125" t="n">
        <v>94846.85</v>
      </c>
      <c r="G9" s="125" t="n">
        <v>102176.91</v>
      </c>
      <c r="H9" s="126" t="n">
        <f aca="false">G9/F9-1</f>
        <v>0.0772831148319633</v>
      </c>
      <c r="I9" s="127" t="n">
        <f aca="false">G9-F9</f>
        <v>7330.06</v>
      </c>
      <c r="J9" s="128" t="n">
        <f aca="false">VLOOKUP(B9,'תקציב  '!$B:$S,8,0)*1</f>
        <v>170079.365079365</v>
      </c>
      <c r="K9" s="126" t="n">
        <f aca="false">G9/J9-1</f>
        <v>-0.399239819878674</v>
      </c>
      <c r="L9" s="129" t="n">
        <f aca="false">G9-J9</f>
        <v>-67902.455079365</v>
      </c>
    </row>
    <row r="10" customFormat="false" ht="14.25" hidden="false" customHeight="true" outlineLevel="0" collapsed="false">
      <c r="A10" s="85" t="s">
        <v>135</v>
      </c>
      <c r="B10" s="36" t="s">
        <v>39</v>
      </c>
      <c r="C10" s="36" t="s">
        <v>39</v>
      </c>
      <c r="D10" s="26" t="s">
        <v>32</v>
      </c>
      <c r="E10" s="125" t="n">
        <v>16034.44</v>
      </c>
      <c r="F10" s="125" t="n">
        <v>15870.65</v>
      </c>
      <c r="G10" s="125" t="n">
        <v>6343.11</v>
      </c>
      <c r="H10" s="126" t="n">
        <f aca="false">G10/F10-1</f>
        <v>-0.600324498366482</v>
      </c>
      <c r="I10" s="127" t="n">
        <f aca="false">G10-F10</f>
        <v>-9527.54</v>
      </c>
      <c r="J10" s="128" t="n">
        <f aca="false">VLOOKUP(B10,'תקציב  '!$B:$S,8,0)*1</f>
        <v>15079.3650793651</v>
      </c>
      <c r="K10" s="126" t="n">
        <f aca="false">G10/J10-1</f>
        <v>-0.57935165263158</v>
      </c>
      <c r="L10" s="129" t="n">
        <f aca="false">G10-J10</f>
        <v>-8736.2550793651</v>
      </c>
    </row>
    <row r="11" customFormat="false" ht="14.25" hidden="false" customHeight="true" outlineLevel="0" collapsed="false">
      <c r="A11" s="85" t="s">
        <v>136</v>
      </c>
      <c r="B11" s="24" t="s">
        <v>40</v>
      </c>
      <c r="C11" s="24" t="s">
        <v>40</v>
      </c>
      <c r="D11" s="26" t="s">
        <v>32</v>
      </c>
      <c r="E11" s="125" t="n">
        <v>1188.66</v>
      </c>
      <c r="F11" s="125" t="n">
        <v>5871.12</v>
      </c>
      <c r="G11" s="125" t="n">
        <v>7664.69</v>
      </c>
      <c r="H11" s="126" t="n">
        <f aca="false">G11/F11-1</f>
        <v>0.305490264208533</v>
      </c>
      <c r="I11" s="127" t="n">
        <f aca="false">G11-F11</f>
        <v>1793.57</v>
      </c>
      <c r="J11" s="128" t="n">
        <f aca="false">VLOOKUP(B11,'תקציב  '!$B:$S,8,0)*1</f>
        <v>7936.50793650794</v>
      </c>
      <c r="K11" s="126" t="n">
        <f aca="false">G11/J11-1</f>
        <v>-0.0342490600000005</v>
      </c>
      <c r="L11" s="129" t="n">
        <f aca="false">G11-J11</f>
        <v>-271.81793650794</v>
      </c>
    </row>
    <row r="12" customFormat="false" ht="14.25" hidden="false" customHeight="true" outlineLevel="0" collapsed="false">
      <c r="A12" s="85" t="s">
        <v>137</v>
      </c>
      <c r="B12" s="24" t="s">
        <v>41</v>
      </c>
      <c r="C12" s="24" t="s">
        <v>41</v>
      </c>
      <c r="D12" s="26" t="s">
        <v>32</v>
      </c>
      <c r="E12" s="125" t="n">
        <v>0</v>
      </c>
      <c r="F12" s="125" t="n">
        <v>0</v>
      </c>
      <c r="G12" s="125"/>
      <c r="H12" s="126" t="str">
        <f aca="false">IFERROR(G12/F12-1,"-")</f>
        <v>-</v>
      </c>
      <c r="I12" s="127" t="n">
        <f aca="false">G12-F12</f>
        <v>0</v>
      </c>
      <c r="J12" s="128" t="n">
        <f aca="false">VLOOKUP(B12,'תקציב  '!$B:$S,8,0)*1</f>
        <v>0</v>
      </c>
      <c r="K12" s="126"/>
      <c r="L12" s="129" t="n">
        <f aca="false">G12-J12</f>
        <v>0</v>
      </c>
    </row>
    <row r="13" customFormat="false" ht="14.25" hidden="false" customHeight="true" outlineLevel="0" collapsed="false">
      <c r="A13" s="85" t="s">
        <v>138</v>
      </c>
      <c r="B13" s="24" t="s">
        <v>47</v>
      </c>
      <c r="C13" s="24" t="s">
        <v>47</v>
      </c>
      <c r="D13" s="26" t="s">
        <v>32</v>
      </c>
      <c r="E13" s="125" t="n">
        <v>1597.46</v>
      </c>
      <c r="F13" s="125" t="n">
        <v>0</v>
      </c>
      <c r="G13" s="125" t="n">
        <v>1896.82</v>
      </c>
      <c r="H13" s="126" t="str">
        <f aca="false">IFERROR(G13/F13-1,"-")</f>
        <v>-</v>
      </c>
      <c r="I13" s="127" t="n">
        <f aca="false">G13-F13</f>
        <v>1896.82</v>
      </c>
      <c r="J13" s="128" t="n">
        <f aca="false">VLOOKUP(B13,'תקציב  '!$B:$S,8,0)*1</f>
        <v>0</v>
      </c>
      <c r="K13" s="126" t="str">
        <f aca="false">IFERROR(G13/J13-1,"-")</f>
        <v>-</v>
      </c>
      <c r="L13" s="129" t="n">
        <f aca="false">G13-J13</f>
        <v>1896.82</v>
      </c>
    </row>
    <row r="14" customFormat="false" ht="14.25" hidden="false" customHeight="true" outlineLevel="0" collapsed="false">
      <c r="A14" s="85" t="s">
        <v>139</v>
      </c>
      <c r="B14" s="24" t="s">
        <v>43</v>
      </c>
      <c r="C14" s="24" t="s">
        <v>43</v>
      </c>
      <c r="D14" s="26" t="s">
        <v>32</v>
      </c>
      <c r="E14" s="125" t="n">
        <v>0</v>
      </c>
      <c r="F14" s="125" t="n">
        <v>0</v>
      </c>
      <c r="G14" s="125" t="n">
        <v>3430</v>
      </c>
      <c r="H14" s="126" t="str">
        <f aca="false">IFERROR(G14/F14-1,"-")</f>
        <v>-</v>
      </c>
      <c r="I14" s="127" t="n">
        <f aca="false">G14-F14</f>
        <v>3430</v>
      </c>
      <c r="J14" s="128" t="n">
        <f aca="false">VLOOKUP(B14,'תקציב  '!$B:$S,8,0)*1</f>
        <v>50000</v>
      </c>
      <c r="K14" s="126" t="n">
        <f aca="false">G14/J14-1</f>
        <v>-0.9314</v>
      </c>
      <c r="L14" s="129" t="n">
        <f aca="false">G14-J14</f>
        <v>-46570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25" t="n">
        <v>3187.34</v>
      </c>
      <c r="F15" s="125" t="n">
        <v>707.660000000001</v>
      </c>
      <c r="G15" s="125" t="n">
        <v>6150.22</v>
      </c>
      <c r="H15" s="126" t="n">
        <f aca="false">G15/F15-1</f>
        <v>7.69092502049005</v>
      </c>
      <c r="I15" s="127" t="n">
        <f aca="false">G15-F15</f>
        <v>5442.56</v>
      </c>
      <c r="J15" s="128" t="n">
        <f aca="false">VLOOKUP(B15,'תקציב  '!$B:$S,8,0)*1</f>
        <v>15873.0158730159</v>
      </c>
      <c r="K15" s="126" t="n">
        <f aca="false">G15/J15-1</f>
        <v>-0.612536140000001</v>
      </c>
      <c r="L15" s="129" t="n">
        <f aca="false">G15-J15</f>
        <v>-9722.7958730159</v>
      </c>
    </row>
    <row r="16" customFormat="false" ht="15" hidden="false" customHeight="true" outlineLevel="0" collapsed="false">
      <c r="B16" s="130" t="s">
        <v>115</v>
      </c>
      <c r="C16" s="130"/>
      <c r="D16" s="130"/>
      <c r="E16" s="131" t="n">
        <f aca="false">SUM(E3:E15)+E50</f>
        <v>1546220.736</v>
      </c>
      <c r="F16" s="131" t="n">
        <f aca="false">SUM(F3:F15)+F50</f>
        <v>1640837.70000001</v>
      </c>
      <c r="G16" s="131" t="n">
        <f aca="false">SUM(G3:G15)+G50</f>
        <v>1222383.274</v>
      </c>
      <c r="H16" s="132" t="n">
        <f aca="false">G16/F16-1</f>
        <v>-0.255024872965808</v>
      </c>
      <c r="I16" s="131" t="n">
        <f aca="false">SUM(I3:I15)+I50</f>
        <v>-418454.426000012</v>
      </c>
      <c r="J16" s="131" t="n">
        <f aca="false">SUM(J3:J15)+J50</f>
        <v>1702444.44444444</v>
      </c>
      <c r="K16" s="132" t="n">
        <f aca="false">G16/J16-1</f>
        <v>-0.281983457381543</v>
      </c>
      <c r="L16" s="131" t="n">
        <f aca="false">SUM(L3:L15)+L50</f>
        <v>-480061.170444445</v>
      </c>
    </row>
    <row r="17" customFormat="false" ht="14.25" hidden="false" customHeight="true" outlineLevel="0" collapsed="false">
      <c r="A17" s="85" t="s">
        <v>141</v>
      </c>
      <c r="B17" s="24" t="s">
        <v>45</v>
      </c>
      <c r="C17" s="24" t="s">
        <v>45</v>
      </c>
      <c r="D17" s="26" t="s">
        <v>32</v>
      </c>
      <c r="E17" s="125" t="n">
        <v>49304.7</v>
      </c>
      <c r="F17" s="125" t="n">
        <v>99302.9500000002</v>
      </c>
      <c r="G17" s="125" t="n">
        <v>404699.340000001</v>
      </c>
      <c r="H17" s="126" t="n">
        <f aca="false">G17/F17-1</f>
        <v>3.07540098254886</v>
      </c>
      <c r="I17" s="127" t="n">
        <f aca="false">G17-F17</f>
        <v>305396.390000001</v>
      </c>
      <c r="J17" s="128" t="n">
        <f aca="false">VLOOKUP(B17,'תקציב  '!$B:$S,8,0)*1</f>
        <v>592182.203389831</v>
      </c>
      <c r="K17" s="126" t="n">
        <f aca="false">G17/J17-1</f>
        <v>-0.316596585166898</v>
      </c>
      <c r="L17" s="129" t="n">
        <f aca="false">G17-J17</f>
        <v>-187482.86338983</v>
      </c>
    </row>
    <row r="18" customFormat="false" ht="14.25" hidden="false" customHeight="true" outlineLevel="0" collapsed="false">
      <c r="A18" s="85" t="s">
        <v>142</v>
      </c>
      <c r="B18" s="38" t="s">
        <v>46</v>
      </c>
      <c r="C18" s="38" t="s">
        <v>46</v>
      </c>
      <c r="D18" s="26" t="s">
        <v>32</v>
      </c>
      <c r="E18" s="125" t="n">
        <v>2364.29</v>
      </c>
      <c r="F18" s="125" t="n">
        <v>1491.14</v>
      </c>
      <c r="G18" s="125" t="n">
        <v>2347.76</v>
      </c>
      <c r="H18" s="126" t="n">
        <f aca="false">G18/F18-1</f>
        <v>0.574473221830278</v>
      </c>
      <c r="I18" s="127" t="n">
        <f aca="false">G18-F18</f>
        <v>856.62</v>
      </c>
      <c r="J18" s="128" t="n">
        <f aca="false">VLOOKUP(B18,'תקציב  '!$B:$S,8,0)*1</f>
        <v>2536.92833333333</v>
      </c>
      <c r="K18" s="126" t="n">
        <f aca="false">G18/J18-1</f>
        <v>-0.0745658956336291</v>
      </c>
      <c r="L18" s="129" t="n">
        <f aca="false">G18-J18</f>
        <v>-189.16833333333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33" t="n">
        <f aca="false">E16+E17+E18</f>
        <v>1597889.726</v>
      </c>
      <c r="F19" s="133" t="n">
        <f aca="false">F16+F17+F18</f>
        <v>1741631.79000001</v>
      </c>
      <c r="G19" s="133" t="n">
        <f aca="false">G16+G17+G18</f>
        <v>1629430.374</v>
      </c>
      <c r="H19" s="134" t="n">
        <f aca="false">G19/F19-1</f>
        <v>-0.064423155711926</v>
      </c>
      <c r="I19" s="133" t="n">
        <f aca="false">I16+I17+I18</f>
        <v>-112201.416000011</v>
      </c>
      <c r="J19" s="133" t="n">
        <f aca="false">J16+J17+J18</f>
        <v>2297163.57616761</v>
      </c>
      <c r="K19" s="134" t="n">
        <f aca="false">G19/J19-1</f>
        <v>-0.290677254808992</v>
      </c>
      <c r="L19" s="133" t="n">
        <f aca="false">L16+L17+L18</f>
        <v>-667733.202167608</v>
      </c>
    </row>
    <row r="20" customFormat="false" ht="14.25" hidden="false" customHeight="true" outlineLevel="0" collapsed="false">
      <c r="A20" s="85" t="s">
        <v>143</v>
      </c>
      <c r="B20" s="84" t="s">
        <v>49</v>
      </c>
      <c r="C20" s="65" t="s">
        <v>50</v>
      </c>
      <c r="D20" s="26" t="s">
        <v>51</v>
      </c>
      <c r="E20" s="125" t="n">
        <v>318316.8</v>
      </c>
      <c r="F20" s="125" t="n">
        <v>252540.02</v>
      </c>
      <c r="G20" s="125" t="n">
        <v>224163.96</v>
      </c>
      <c r="H20" s="126" t="n">
        <f aca="false">G20/F20-1</f>
        <v>-0.112362626723479</v>
      </c>
      <c r="I20" s="127" t="n">
        <f aca="false">G20-F20</f>
        <v>-28376.06</v>
      </c>
      <c r="J20" s="128" t="n">
        <f aca="false">VLOOKUP(B20,'תקציב  '!$B:$S,8,0)*1</f>
        <v>398486.4708</v>
      </c>
      <c r="K20" s="126" t="n">
        <f aca="false">G20/J20-1</f>
        <v>-0.437461554089981</v>
      </c>
      <c r="L20" s="129" t="n">
        <f aca="false">G20-J20</f>
        <v>-174322.5108</v>
      </c>
    </row>
    <row r="21" customFormat="false" ht="14.25" hidden="false" customHeight="true" outlineLevel="0" collapsed="false">
      <c r="A21" s="85" t="s">
        <v>144</v>
      </c>
      <c r="B21" s="84" t="s">
        <v>52</v>
      </c>
      <c r="C21" s="65" t="s">
        <v>53</v>
      </c>
      <c r="D21" s="26" t="s">
        <v>54</v>
      </c>
      <c r="E21" s="125" t="n">
        <v>0</v>
      </c>
      <c r="F21" s="125" t="n">
        <v>0</v>
      </c>
      <c r="G21" s="145" t="n">
        <v>204882.82</v>
      </c>
      <c r="H21" s="126" t="str">
        <f aca="false">IFERROR(G21/F21-1,"-")</f>
        <v>-</v>
      </c>
      <c r="I21" s="127" t="n">
        <f aca="false">G21-F21</f>
        <v>204882.82</v>
      </c>
      <c r="J21" s="128" t="n">
        <f aca="false">VLOOKUP(B21,'תקציב  '!$B:$S,8,0)*1</f>
        <v>235200</v>
      </c>
      <c r="K21" s="126" t="n">
        <f aca="false">G21/J21-1</f>
        <v>-0.128899574829932</v>
      </c>
      <c r="L21" s="129" t="n">
        <f aca="false">G21-J21</f>
        <v>-30317.18</v>
      </c>
    </row>
    <row r="22" customFormat="false" ht="14.25" hidden="false" customHeight="true" outlineLevel="0" collapsed="false">
      <c r="A22" s="85" t="s">
        <v>145</v>
      </c>
      <c r="B22" s="84" t="s">
        <v>55</v>
      </c>
      <c r="C22" s="65" t="s">
        <v>56</v>
      </c>
      <c r="D22" s="26" t="s">
        <v>57</v>
      </c>
      <c r="E22" s="125" t="n">
        <v>169505.88</v>
      </c>
      <c r="F22" s="125" t="n">
        <v>1513.3</v>
      </c>
      <c r="G22" s="145" t="n">
        <v>5036.8</v>
      </c>
      <c r="H22" s="126" t="n">
        <f aca="false">G22/F22-1</f>
        <v>2.32835525011564</v>
      </c>
      <c r="I22" s="127" t="n">
        <f aca="false">G22-F22</f>
        <v>3523.5</v>
      </c>
      <c r="J22" s="128" t="n">
        <f aca="false">VLOOKUP(B22,'תקציב  '!$B:$S,8,0)*1</f>
        <v>15000</v>
      </c>
      <c r="K22" s="126" t="n">
        <f aca="false">G22/J22-1</f>
        <v>-0.664213333333333</v>
      </c>
      <c r="L22" s="129" t="n">
        <f aca="false">G22-J22</f>
        <v>-9963.2</v>
      </c>
    </row>
    <row r="23" customFormat="false" ht="14.25" hidden="false" customHeight="true" outlineLevel="0" collapsed="false">
      <c r="A23" s="85" t="s">
        <v>146</v>
      </c>
      <c r="B23" s="84" t="s">
        <v>58</v>
      </c>
      <c r="C23" s="65" t="s">
        <v>59</v>
      </c>
      <c r="D23" s="26" t="s">
        <v>60</v>
      </c>
      <c r="E23" s="125" t="n">
        <v>0</v>
      </c>
      <c r="F23" s="125" t="n">
        <v>0</v>
      </c>
      <c r="G23" s="146"/>
      <c r="H23" s="126" t="str">
        <f aca="false">IFERROR(G23/F23-1,"-")</f>
        <v>-</v>
      </c>
      <c r="I23" s="127" t="n">
        <f aca="false">G23-F23</f>
        <v>0</v>
      </c>
      <c r="J23" s="128" t="n">
        <f aca="false">VLOOKUP(B23,'תקציב  '!$B:$S,8,0)*1</f>
        <v>85000</v>
      </c>
      <c r="K23" s="126" t="n">
        <f aca="false">G23/J23-1</f>
        <v>-1</v>
      </c>
      <c r="L23" s="129" t="n">
        <f aca="false">G23-J23</f>
        <v>-85000</v>
      </c>
    </row>
    <row r="24" customFormat="false" ht="14.25" hidden="false" customHeight="true" outlineLevel="0" collapsed="false">
      <c r="A24" s="85" t="s">
        <v>147</v>
      </c>
      <c r="B24" s="84" t="s">
        <v>61</v>
      </c>
      <c r="C24" s="65" t="s">
        <v>62</v>
      </c>
      <c r="D24" s="26" t="s">
        <v>63</v>
      </c>
      <c r="E24" s="125" t="n">
        <v>0</v>
      </c>
      <c r="F24" s="125" t="n">
        <v>0</v>
      </c>
      <c r="G24" s="125" t="n">
        <v>16087.48</v>
      </c>
      <c r="H24" s="126" t="str">
        <f aca="false">IFERROR(G24/F24-1,"-")</f>
        <v>-</v>
      </c>
      <c r="I24" s="127" t="n">
        <f aca="false">G24-F24</f>
        <v>16087.48</v>
      </c>
      <c r="J24" s="128" t="n">
        <f aca="false">VLOOKUP(B24,'תקציב  '!$B:$S,8,0)*1</f>
        <v>17000</v>
      </c>
      <c r="K24" s="126" t="n">
        <f aca="false">G24/J24-1</f>
        <v>-0.0536776470588236</v>
      </c>
      <c r="L24" s="129" t="n">
        <f aca="false">G24-J24</f>
        <v>-912.52</v>
      </c>
    </row>
    <row r="25" customFormat="false" ht="14.25" hidden="false" customHeight="true" outlineLevel="0" collapsed="false">
      <c r="A25" s="85" t="s">
        <v>148</v>
      </c>
      <c r="B25" s="84" t="s">
        <v>64</v>
      </c>
      <c r="C25" s="65" t="s">
        <v>65</v>
      </c>
      <c r="D25" s="26" t="s">
        <v>66</v>
      </c>
      <c r="E25" s="125" t="n">
        <v>0</v>
      </c>
      <c r="F25" s="125" t="n">
        <v>10766.89</v>
      </c>
      <c r="G25" s="125"/>
      <c r="H25" s="126" t="n">
        <f aca="false">G25/F25-1</f>
        <v>-1</v>
      </c>
      <c r="I25" s="127" t="n">
        <f aca="false">G25-F25</f>
        <v>-10766.89</v>
      </c>
      <c r="J25" s="128" t="n">
        <f aca="false">VLOOKUP(B25,'תקציב  '!$B:$S,8,0)*1</f>
        <v>5000</v>
      </c>
      <c r="K25" s="126" t="n">
        <f aca="false">G25/J25-1</f>
        <v>-1</v>
      </c>
      <c r="L25" s="129" t="n">
        <f aca="false">G25-J25</f>
        <v>-5000</v>
      </c>
    </row>
    <row r="26" customFormat="false" ht="13.5" hidden="false" customHeight="true" outlineLevel="0" collapsed="false">
      <c r="A26" s="85" t="s">
        <v>149</v>
      </c>
      <c r="B26" s="84" t="s">
        <v>67</v>
      </c>
      <c r="C26" s="65" t="s">
        <v>68</v>
      </c>
      <c r="D26" s="26" t="s">
        <v>69</v>
      </c>
      <c r="E26" s="125" t="n">
        <v>0</v>
      </c>
      <c r="F26" s="125" t="n">
        <v>172805.6</v>
      </c>
      <c r="G26" s="125" t="n">
        <v>-19940.33</v>
      </c>
      <c r="H26" s="126" t="n">
        <f aca="false">G26/F26-1</f>
        <v>-1.11539168869527</v>
      </c>
      <c r="I26" s="127" t="n">
        <f aca="false">G26-F26</f>
        <v>-192745.93</v>
      </c>
      <c r="J26" s="128" t="n">
        <f aca="false">VLOOKUP(B26,'תקציב  '!$B:$S,8,0)*1</f>
        <v>0</v>
      </c>
      <c r="K26" s="126" t="str">
        <f aca="false">IFERROR(G26/J26-1,"-")</f>
        <v>-</v>
      </c>
      <c r="L26" s="129" t="n">
        <f aca="false">G26-J26</f>
        <v>-19940.33</v>
      </c>
    </row>
    <row r="27" customFormat="false" ht="14.25" hidden="false" customHeight="true" outlineLevel="0" collapsed="false">
      <c r="A27" s="85" t="s">
        <v>150</v>
      </c>
      <c r="B27" s="84" t="s">
        <v>70</v>
      </c>
      <c r="C27" s="65" t="s">
        <v>71</v>
      </c>
      <c r="D27" s="26" t="s">
        <v>72</v>
      </c>
      <c r="E27" s="125" t="n">
        <v>-0.48</v>
      </c>
      <c r="F27" s="125" t="n">
        <v>0</v>
      </c>
      <c r="G27" s="145" t="n">
        <v>18541.7</v>
      </c>
      <c r="H27" s="126" t="str">
        <f aca="false">IFERROR(G27/F27-1,"-")</f>
        <v>-</v>
      </c>
      <c r="I27" s="127" t="n">
        <f aca="false">G27-F27</f>
        <v>18541.7</v>
      </c>
      <c r="J27" s="128" t="n">
        <f aca="false">VLOOKUP(B27,'תקציב  '!$B:$S,8,0)*1</f>
        <v>0</v>
      </c>
      <c r="K27" s="126" t="str">
        <f aca="false">IFERROR(G27/J27-1,"-")</f>
        <v>-</v>
      </c>
      <c r="L27" s="129" t="n">
        <f aca="false">G27-J27</f>
        <v>18541.7</v>
      </c>
    </row>
    <row r="28" customFormat="false" ht="13.5" hidden="false" customHeight="true" outlineLevel="0" collapsed="false">
      <c r="A28" s="85" t="s">
        <v>151</v>
      </c>
      <c r="B28" s="84" t="s">
        <v>73</v>
      </c>
      <c r="C28" s="65" t="s">
        <v>74</v>
      </c>
      <c r="D28" s="26" t="s">
        <v>75</v>
      </c>
      <c r="E28" s="125" t="n">
        <v>0</v>
      </c>
      <c r="F28" s="125" t="n">
        <v>0</v>
      </c>
      <c r="G28" s="125"/>
      <c r="H28" s="126" t="str">
        <f aca="false">IFERROR(G28/F28-1,"-")</f>
        <v>-</v>
      </c>
      <c r="I28" s="127" t="n">
        <f aca="false">G28-F28</f>
        <v>0</v>
      </c>
      <c r="J28" s="128" t="n">
        <f aca="false">VLOOKUP(B28,'תקציב  '!$B:$S,8,0)*1</f>
        <v>0</v>
      </c>
      <c r="K28" s="126" t="str">
        <f aca="false">IFERROR(G28/J28-1,"-")</f>
        <v>-</v>
      </c>
      <c r="L28" s="129" t="n">
        <f aca="false">G28-J28</f>
        <v>0</v>
      </c>
    </row>
    <row r="29" customFormat="false" ht="13.5" hidden="false" customHeight="true" outlineLevel="0" collapsed="false">
      <c r="A29" s="85" t="s">
        <v>152</v>
      </c>
      <c r="B29" s="84" t="s">
        <v>76</v>
      </c>
      <c r="C29" s="65" t="s">
        <v>77</v>
      </c>
      <c r="D29" s="26" t="s">
        <v>78</v>
      </c>
      <c r="E29" s="125" t="n">
        <v>31259.76</v>
      </c>
      <c r="F29" s="125" t="n">
        <v>56732.32</v>
      </c>
      <c r="G29" s="145" t="n">
        <v>33066.23</v>
      </c>
      <c r="H29" s="126" t="n">
        <f aca="false">G29/F29-1</f>
        <v>-0.417153573130801</v>
      </c>
      <c r="I29" s="127" t="n">
        <f aca="false">G29-F29</f>
        <v>-23666.09</v>
      </c>
      <c r="J29" s="128" t="n">
        <f aca="false">VLOOKUP(B29,'תקציב  '!$B:$S,8,0)*1</f>
        <v>39765.076</v>
      </c>
      <c r="K29" s="126" t="n">
        <f aca="false">G29/J29-1</f>
        <v>-0.168460535571465</v>
      </c>
      <c r="L29" s="129" t="n">
        <f aca="false">G29-J29</f>
        <v>-6698.846</v>
      </c>
    </row>
    <row r="30" customFormat="false" ht="14.25" hidden="false" customHeight="true" outlineLevel="0" collapsed="false">
      <c r="A30" s="85" t="s">
        <v>153</v>
      </c>
      <c r="B30" s="84" t="s">
        <v>79</v>
      </c>
      <c r="C30" s="65" t="s">
        <v>80</v>
      </c>
      <c r="D30" s="26" t="s">
        <v>81</v>
      </c>
      <c r="E30" s="125" t="n">
        <v>0</v>
      </c>
      <c r="F30" s="125" t="n">
        <v>0</v>
      </c>
      <c r="G30" s="145" t="n">
        <v>43116.44</v>
      </c>
      <c r="H30" s="126" t="str">
        <f aca="false">IFERROR(G30/F30-1,"-")</f>
        <v>-</v>
      </c>
      <c r="I30" s="127" t="n">
        <f aca="false">G30-F30</f>
        <v>43116.44</v>
      </c>
      <c r="J30" s="128" t="n">
        <f aca="false">VLOOKUP(B30,'תקציב  '!$B:$S,8,0)*1</f>
        <v>0</v>
      </c>
      <c r="K30" s="126" t="str">
        <f aca="false">IFERROR(G30/J30-1,"-")</f>
        <v>-</v>
      </c>
      <c r="L30" s="129" t="n">
        <f aca="false">G30-J30</f>
        <v>43116.44</v>
      </c>
    </row>
    <row r="31" customFormat="false" ht="14.25" hidden="false" customHeight="true" outlineLevel="0" collapsed="false">
      <c r="A31" s="85" t="s">
        <v>154</v>
      </c>
      <c r="B31" s="84" t="s">
        <v>82</v>
      </c>
      <c r="C31" s="65" t="s">
        <v>83</v>
      </c>
      <c r="D31" s="26" t="s">
        <v>81</v>
      </c>
      <c r="E31" s="125" t="n">
        <v>0</v>
      </c>
      <c r="F31" s="125" t="n">
        <v>18835.73</v>
      </c>
      <c r="G31" s="125"/>
      <c r="H31" s="126" t="n">
        <f aca="false">G31/F31-1</f>
        <v>-1</v>
      </c>
      <c r="I31" s="127" t="n">
        <f aca="false">G31-F31</f>
        <v>-18835.73</v>
      </c>
      <c r="J31" s="128" t="n">
        <f aca="false">VLOOKUP(B31,'תקציב  '!$B:$S,8,0)*1</f>
        <v>0</v>
      </c>
      <c r="K31" s="126" t="str">
        <f aca="false">IFERROR(G31/J31-1,"-")</f>
        <v>-</v>
      </c>
      <c r="L31" s="129" t="n">
        <f aca="false">G31-J31</f>
        <v>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25" t="n">
        <v>0</v>
      </c>
      <c r="F32" s="125" t="n">
        <v>0</v>
      </c>
      <c r="G32" s="125"/>
      <c r="H32" s="126" t="str">
        <f aca="false">IFERROR(G32/F32-1,"-")</f>
        <v>-</v>
      </c>
      <c r="I32" s="127" t="n">
        <f aca="false">G32-F32</f>
        <v>0</v>
      </c>
      <c r="J32" s="128" t="n">
        <f aca="false">VLOOKUP(B32,'תקציב  '!$B:$S,8,0)*1</f>
        <v>0</v>
      </c>
      <c r="K32" s="126" t="str">
        <f aca="false">IFERROR(G32/J32-1,"-")</f>
        <v>-</v>
      </c>
      <c r="L32" s="129" t="n">
        <f aca="false">G32-J32</f>
        <v>0</v>
      </c>
    </row>
    <row r="33" customFormat="false" ht="13.5" hidden="false" customHeight="true" outlineLevel="0" collapsed="false">
      <c r="B33" s="84"/>
      <c r="C33" s="65" t="s">
        <v>155</v>
      </c>
      <c r="D33" s="26" t="s">
        <v>156</v>
      </c>
      <c r="E33" s="125"/>
      <c r="F33" s="125"/>
      <c r="G33" s="125"/>
      <c r="H33" s="126" t="str">
        <f aca="false">IFERROR(G33/F33-1,"-")</f>
        <v>-</v>
      </c>
      <c r="I33" s="127" t="n">
        <f aca="false">G33-F33</f>
        <v>0</v>
      </c>
      <c r="J33" s="128"/>
      <c r="K33" s="126" t="str">
        <f aca="false">IFERROR(G33/J33-1,"-")</f>
        <v>-</v>
      </c>
      <c r="L33" s="129" t="n">
        <f aca="false">G33-J33</f>
        <v>0</v>
      </c>
    </row>
    <row r="34" customFormat="false" ht="13.5" hidden="false" customHeight="true" outlineLevel="0" collapsed="false">
      <c r="A34" s="85" t="s">
        <v>157</v>
      </c>
      <c r="B34" s="84" t="s">
        <v>87</v>
      </c>
      <c r="C34" s="65" t="s">
        <v>88</v>
      </c>
      <c r="D34" s="26" t="s">
        <v>89</v>
      </c>
      <c r="E34" s="125" t="n">
        <v>0</v>
      </c>
      <c r="F34" s="125" t="n">
        <v>19017.88</v>
      </c>
      <c r="G34" s="125"/>
      <c r="H34" s="126" t="n">
        <f aca="false">G34/F34-1</f>
        <v>-1</v>
      </c>
      <c r="I34" s="127" t="n">
        <f aca="false">G34-F34</f>
        <v>-19017.88</v>
      </c>
      <c r="J34" s="128" t="n">
        <f aca="false">VLOOKUP(B34,'תקציב  '!$B:$S,8,0)*1</f>
        <v>21207.34</v>
      </c>
      <c r="K34" s="126" t="n">
        <f aca="false">G34/J34-1</f>
        <v>-1</v>
      </c>
      <c r="L34" s="129" t="n">
        <f aca="false">G34-J34</f>
        <v>-21207.34</v>
      </c>
    </row>
    <row r="35" customFormat="false" ht="13.5" hidden="false" customHeight="true" outlineLevel="0" collapsed="false">
      <c r="A35" s="85" t="s">
        <v>158</v>
      </c>
      <c r="B35" s="84" t="s">
        <v>90</v>
      </c>
      <c r="C35" s="65" t="s">
        <v>91</v>
      </c>
      <c r="D35" s="26" t="s">
        <v>92</v>
      </c>
      <c r="E35" s="125" t="n">
        <v>0</v>
      </c>
      <c r="F35" s="125" t="n">
        <v>30531.53</v>
      </c>
      <c r="G35" s="125"/>
      <c r="H35" s="126" t="n">
        <f aca="false">G35/F35-1</f>
        <v>-1</v>
      </c>
      <c r="I35" s="127" t="n">
        <f aca="false">G35-F35</f>
        <v>-30531.53</v>
      </c>
      <c r="J35" s="128" t="n">
        <f aca="false">VLOOKUP(B35,'תקציב  '!$B:$S,8,0)*1</f>
        <v>40000</v>
      </c>
      <c r="K35" s="126" t="n">
        <f aca="false">G35/J35-1</f>
        <v>-1</v>
      </c>
      <c r="L35" s="129" t="n">
        <f aca="false">G35-J35</f>
        <v>-40000</v>
      </c>
    </row>
    <row r="36" customFormat="false" ht="14.25" hidden="false" customHeight="true" outlineLevel="0" collapsed="false">
      <c r="A36" s="85" t="s">
        <v>159</v>
      </c>
      <c r="B36" s="85" t="s">
        <v>159</v>
      </c>
      <c r="C36" s="65" t="s">
        <v>160</v>
      </c>
      <c r="D36" s="26" t="s">
        <v>78</v>
      </c>
      <c r="E36" s="125" t="n">
        <v>0</v>
      </c>
      <c r="F36" s="125" t="n">
        <v>0</v>
      </c>
      <c r="G36" s="125"/>
      <c r="H36" s="126" t="str">
        <f aca="false">IFERROR(G36/F36-1,"-")</f>
        <v>-</v>
      </c>
      <c r="I36" s="127" t="n">
        <f aca="false">G36-F36</f>
        <v>0</v>
      </c>
      <c r="J36" s="128"/>
      <c r="K36" s="126" t="str">
        <f aca="false">IFERROR(G36/J36-1,"-")</f>
        <v>-</v>
      </c>
      <c r="L36" s="129" t="n">
        <f aca="false">G36-J36</f>
        <v>0</v>
      </c>
    </row>
    <row r="37" customFormat="false" ht="14.25" hidden="false" customHeight="true" outlineLevel="0" collapsed="false">
      <c r="A37" s="85" t="s">
        <v>161</v>
      </c>
      <c r="B37" s="85" t="s">
        <v>161</v>
      </c>
      <c r="C37" s="65" t="s">
        <v>93</v>
      </c>
      <c r="D37" s="26" t="s">
        <v>162</v>
      </c>
      <c r="E37" s="125" t="n">
        <v>0</v>
      </c>
      <c r="F37" s="125" t="n">
        <v>0</v>
      </c>
      <c r="G37" s="125"/>
      <c r="H37" s="126" t="str">
        <f aca="false">IFERROR(G37/F37-1,"-")</f>
        <v>-</v>
      </c>
      <c r="I37" s="127" t="n">
        <f aca="false">G37-F37</f>
        <v>0</v>
      </c>
      <c r="J37" s="128"/>
      <c r="K37" s="126" t="str">
        <f aca="false">IFERROR(G37/J37-1,"-")</f>
        <v>-</v>
      </c>
      <c r="L37" s="129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25" t="n">
        <v>0</v>
      </c>
      <c r="F38" s="125" t="n">
        <v>248.59</v>
      </c>
      <c r="G38" s="125"/>
      <c r="H38" s="126" t="n">
        <f aca="false">G38/F38-1</f>
        <v>-1</v>
      </c>
      <c r="I38" s="127" t="n">
        <f aca="false">G38-F38</f>
        <v>-248.59</v>
      </c>
      <c r="J38" s="128" t="n">
        <f aca="false">VLOOKUP(B38,'תקציב  '!$B:$S,8,0)*1</f>
        <v>0</v>
      </c>
      <c r="K38" s="126" t="str">
        <f aca="false">IFERROR(G38/J38-1,"-")</f>
        <v>-</v>
      </c>
      <c r="L38" s="129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25"/>
      <c r="F39" s="125"/>
      <c r="G39" s="125"/>
      <c r="H39" s="126" t="str">
        <f aca="false">IFERROR(G39/F39-1,"-")</f>
        <v>-</v>
      </c>
      <c r="I39" s="127" t="n">
        <f aca="false">G39-F39</f>
        <v>0</v>
      </c>
      <c r="J39" s="128" t="n">
        <f aca="false">VLOOKUP(B39,'תקציב  '!$B:$S,8,0)*1</f>
        <v>0</v>
      </c>
      <c r="K39" s="126" t="str">
        <f aca="false">IFERROR(G39/J39-1,"-")</f>
        <v>-</v>
      </c>
      <c r="L39" s="129" t="n">
        <f aca="false">G39-J39</f>
        <v>0</v>
      </c>
    </row>
    <row r="40" customFormat="false" ht="15" hidden="false" customHeight="true" outlineLevel="0" collapsed="false">
      <c r="B40" s="135" t="s">
        <v>98</v>
      </c>
      <c r="C40" s="135"/>
      <c r="D40" s="135"/>
      <c r="E40" s="136" t="n">
        <f aca="false">SUM(E20:E39)+E51+E52</f>
        <v>519081.96</v>
      </c>
      <c r="F40" s="136" t="n">
        <f aca="false">SUM(F20:F39)+F51+F52</f>
        <v>562991.86</v>
      </c>
      <c r="G40" s="136" t="n">
        <f aca="false">SUM(G20:G39)+G51+G52</f>
        <v>524955.1</v>
      </c>
      <c r="H40" s="137" t="n">
        <f aca="false">G40/F40-1</f>
        <v>-0.0675618294019384</v>
      </c>
      <c r="I40" s="136" t="n">
        <f aca="false">SUM(I20:I39)+I51+I52</f>
        <v>-38036.76</v>
      </c>
      <c r="J40" s="136" t="n">
        <f aca="false">SUM(J20:J39)+J51+J52</f>
        <v>856658.8868</v>
      </c>
      <c r="K40" s="137" t="n">
        <f aca="false">G40/J40-1</f>
        <v>-0.387206380405462</v>
      </c>
      <c r="L40" s="136" t="n">
        <f aca="false">SUM(L20:L39)+L51+L52</f>
        <v>-331703.7868</v>
      </c>
    </row>
    <row r="41" customFormat="false" ht="16.5" hidden="false" customHeight="true" outlineLevel="0" collapsed="false">
      <c r="B41" s="138" t="s">
        <v>163</v>
      </c>
      <c r="C41" s="138"/>
      <c r="D41" s="138"/>
      <c r="E41" s="139" t="n">
        <f aca="false">E40+E19</f>
        <v>2116971.686</v>
      </c>
      <c r="F41" s="139" t="n">
        <f aca="false">F40+F19</f>
        <v>2304623.65000001</v>
      </c>
      <c r="G41" s="139" t="n">
        <f aca="false">G40+G19</f>
        <v>2154385.474</v>
      </c>
      <c r="H41" s="140" t="n">
        <f aca="false">G41/F41-1</f>
        <v>-0.0651898959728242</v>
      </c>
      <c r="I41" s="139" t="n">
        <f aca="false">I40+I19</f>
        <v>-150238.176000011</v>
      </c>
      <c r="J41" s="139" t="n">
        <f aca="false">J40+J19</f>
        <v>3153822.46296761</v>
      </c>
      <c r="K41" s="140" t="n">
        <f aca="false">G41/J41-1</f>
        <v>-0.316897035487274</v>
      </c>
      <c r="L41" s="139" t="n">
        <f aca="false">L40+L19</f>
        <v>-999436.988967608</v>
      </c>
    </row>
    <row r="42" customFormat="false" ht="15.75" hidden="false" customHeight="true" outlineLevel="0" collapsed="false">
      <c r="B42" s="141" t="s">
        <v>117</v>
      </c>
      <c r="C42" s="141"/>
      <c r="D42" s="141"/>
      <c r="E42" s="142" t="n">
        <f aca="false">E40/E41</f>
        <v>0.245200237411206</v>
      </c>
      <c r="F42" s="142" t="n">
        <f aca="false">F40/F41</f>
        <v>0.244287981684123</v>
      </c>
      <c r="G42" s="142" t="n">
        <f aca="false">G40/G41</f>
        <v>0.243668139400015</v>
      </c>
      <c r="H42" s="143"/>
      <c r="I42" s="5"/>
      <c r="J42" s="76" t="n">
        <f aca="false">J41-'תקציב  '!I41*1</f>
        <v>0</v>
      </c>
    </row>
    <row r="43" customFormat="false" ht="14.25" hidden="false" customHeight="true" outlineLevel="0" collapsed="false">
      <c r="E43" s="144" t="n">
        <v>0</v>
      </c>
      <c r="I43" s="5"/>
    </row>
    <row r="50" customFormat="false" ht="14.25" hidden="false" customHeight="true" outlineLevel="0" collapsed="false">
      <c r="A50" s="85"/>
      <c r="B50" s="24" t="s">
        <v>164</v>
      </c>
      <c r="C50" s="24" t="s">
        <v>164</v>
      </c>
      <c r="D50" s="26" t="s">
        <v>32</v>
      </c>
      <c r="E50" s="125"/>
      <c r="F50" s="125"/>
      <c r="G50" s="125" t="n">
        <v>0</v>
      </c>
      <c r="H50" s="126" t="str">
        <f aca="false">IFERROR(G50/F50-1,"-")</f>
        <v>-</v>
      </c>
      <c r="I50" s="127" t="n">
        <f aca="false">G50-F50</f>
        <v>0</v>
      </c>
      <c r="J50" s="128"/>
      <c r="K50" s="126" t="str">
        <f aca="false">IFERROR(G50/J50-1,"-")</f>
        <v>-</v>
      </c>
      <c r="L50" s="129" t="n">
        <f aca="false">G50-J50</f>
        <v>0</v>
      </c>
    </row>
    <row r="51" customFormat="false" ht="14.25" hidden="false" customHeight="true" outlineLevel="0" collapsed="false">
      <c r="A51" s="85"/>
      <c r="B51" s="84" t="s">
        <v>165</v>
      </c>
      <c r="C51" s="65" t="s">
        <v>165</v>
      </c>
      <c r="D51" s="26" t="s">
        <v>166</v>
      </c>
      <c r="E51" s="125"/>
      <c r="F51" s="125"/>
      <c r="G51" s="125" t="n">
        <v>0</v>
      </c>
      <c r="H51" s="126" t="str">
        <f aca="false">IFERROR(G51/F51-1,"-")</f>
        <v>-</v>
      </c>
      <c r="I51" s="127" t="n">
        <f aca="false">G51-F51</f>
        <v>0</v>
      </c>
      <c r="J51" s="128"/>
      <c r="K51" s="126" t="str">
        <f aca="false">IFERROR(G51/J51-1,"-")</f>
        <v>-</v>
      </c>
      <c r="L51" s="129" t="n">
        <f aca="false">G51-J51</f>
        <v>0</v>
      </c>
    </row>
    <row r="52" customFormat="false" ht="14.25" hidden="false" customHeight="true" outlineLevel="0" collapsed="false">
      <c r="A52" s="85"/>
      <c r="B52" s="84" t="s">
        <v>167</v>
      </c>
      <c r="C52" s="65" t="s">
        <v>167</v>
      </c>
      <c r="D52" s="26" t="s">
        <v>167</v>
      </c>
      <c r="E52" s="125"/>
      <c r="F52" s="125"/>
      <c r="G52" s="125" t="n">
        <v>0</v>
      </c>
      <c r="H52" s="126" t="str">
        <f aca="false">IFERROR(G52/F52-1,"-")</f>
        <v>-</v>
      </c>
      <c r="I52" s="127" t="n">
        <f aca="false">G52-F52</f>
        <v>0</v>
      </c>
      <c r="J52" s="128"/>
      <c r="K52" s="126" t="str">
        <f aca="false">IFERROR(G52/J52-1,"-")</f>
        <v>-</v>
      </c>
      <c r="L52" s="129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K38" activeCellId="0" sqref="K38"/>
    </sheetView>
  </sheetViews>
  <sheetFormatPr defaultColWidth="8.62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8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8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19" t="s">
        <v>172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customFormat="false" ht="15" hidden="false" customHeight="true" outlineLevel="0" collapsed="false">
      <c r="B2" s="77"/>
      <c r="C2" s="10"/>
      <c r="D2" s="10" t="s">
        <v>3</v>
      </c>
      <c r="E2" s="120" t="n">
        <v>6.2024</v>
      </c>
      <c r="F2" s="120" t="n">
        <v>6.2025</v>
      </c>
      <c r="G2" s="120" t="n">
        <v>6.2026</v>
      </c>
      <c r="H2" s="121" t="s">
        <v>128</v>
      </c>
      <c r="I2" s="122" t="s">
        <v>129</v>
      </c>
      <c r="J2" s="122" t="s">
        <v>130</v>
      </c>
      <c r="K2" s="123" t="s">
        <v>111</v>
      </c>
      <c r="L2" s="124" t="s">
        <v>112</v>
      </c>
    </row>
    <row r="3" customFormat="false" ht="14.25" hidden="false" customHeight="true" outlineLevel="0" collapsed="false">
      <c r="A3" s="85" t="s">
        <v>131</v>
      </c>
      <c r="B3" s="24" t="s">
        <v>31</v>
      </c>
      <c r="C3" s="24" t="s">
        <v>31</v>
      </c>
      <c r="D3" s="26" t="s">
        <v>32</v>
      </c>
      <c r="E3" s="125" t="n">
        <v>144633.67</v>
      </c>
      <c r="F3" s="125" t="n">
        <v>0</v>
      </c>
      <c r="G3" s="125" t="n">
        <v>65131.7</v>
      </c>
      <c r="H3" s="126" t="str">
        <f aca="false">IFERROR(G3/F3-1,"-")</f>
        <v>-</v>
      </c>
      <c r="I3" s="127" t="n">
        <f aca="false">G3-F3</f>
        <v>65131.7</v>
      </c>
      <c r="J3" s="128" t="n">
        <f aca="false">VLOOKUP(B3,'תקציב  '!$B:$S,9,0)*1</f>
        <v>235079.365079365</v>
      </c>
      <c r="K3" s="126" t="n">
        <f aca="false">G3/J3-1</f>
        <v>-0.722937400405132</v>
      </c>
      <c r="L3" s="129" t="n">
        <f aca="false">G3-J3</f>
        <v>-169947.665079365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25" t="n">
        <v>429114.049</v>
      </c>
      <c r="F4" s="125" t="n">
        <v>452295.980000005</v>
      </c>
      <c r="G4" s="125" t="n">
        <v>534754.402</v>
      </c>
      <c r="H4" s="126" t="n">
        <f aca="false">G4/F4-1</f>
        <v>0.182310755890411</v>
      </c>
      <c r="I4" s="127" t="n">
        <f aca="false">G4-F4</f>
        <v>82458.421999995</v>
      </c>
      <c r="J4" s="128" t="n">
        <f aca="false">VLOOKUP(B4,'תקציב  '!$B:$S,9,0)*1</f>
        <v>605698.412698413</v>
      </c>
      <c r="K4" s="126" t="n">
        <f aca="false">G4/J4-1</f>
        <v>-0.117127615346315</v>
      </c>
      <c r="L4" s="129" t="n">
        <f aca="false">G4-J4</f>
        <v>-70944.010698413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25" t="n">
        <v>94683.953</v>
      </c>
      <c r="F5" s="125" t="n">
        <v>87191.65</v>
      </c>
      <c r="G5" s="125" t="n">
        <v>76564.033</v>
      </c>
      <c r="H5" s="126" t="n">
        <f aca="false">G5/F5-1</f>
        <v>-0.121888013359077</v>
      </c>
      <c r="I5" s="127" t="n">
        <f aca="false">G5-F5</f>
        <v>-10627.617</v>
      </c>
      <c r="J5" s="128" t="n">
        <f aca="false">VLOOKUP(B5,'תקציב  '!$B:$S,9,0)*1</f>
        <v>78571.4285714286</v>
      </c>
      <c r="K5" s="126" t="n">
        <f aca="false">G5/J5-1</f>
        <v>-0.0255486709090913</v>
      </c>
      <c r="L5" s="129" t="n">
        <f aca="false">G5-J5</f>
        <v>-2007.3955714286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25" t="n">
        <v>174598.676</v>
      </c>
      <c r="F6" s="125" t="n">
        <v>160476.44</v>
      </c>
      <c r="G6" s="125" t="n">
        <v>188367.581</v>
      </c>
      <c r="H6" s="126" t="n">
        <f aca="false">G6/F6-1</f>
        <v>0.173802092070338</v>
      </c>
      <c r="I6" s="127" t="n">
        <f aca="false">G6-F6</f>
        <v>27891.141</v>
      </c>
      <c r="J6" s="128" t="n">
        <f aca="false">VLOOKUP(A6,'תקציב  '!$B:$S,9,0)*1</f>
        <v>170873.015873016</v>
      </c>
      <c r="K6" s="126" t="n">
        <f aca="false">G6/J6-1</f>
        <v>0.102383428053878</v>
      </c>
      <c r="L6" s="129" t="n">
        <f aca="false">G6-J6</f>
        <v>17494.565126984</v>
      </c>
    </row>
    <row r="7" customFormat="false" ht="14.25" hidden="false" customHeight="true" outlineLevel="0" collapsed="false">
      <c r="A7" s="85" t="s">
        <v>132</v>
      </c>
      <c r="B7" s="24" t="s">
        <v>36</v>
      </c>
      <c r="C7" s="24" t="s">
        <v>36</v>
      </c>
      <c r="D7" s="26" t="s">
        <v>32</v>
      </c>
      <c r="E7" s="125" t="n">
        <v>315729.5</v>
      </c>
      <c r="F7" s="125" t="n">
        <v>363201.5</v>
      </c>
      <c r="G7" s="125" t="n">
        <v>339371.75</v>
      </c>
      <c r="H7" s="126" t="n">
        <f aca="false">G7/F7-1</f>
        <v>-0.065610274186643</v>
      </c>
      <c r="I7" s="127" t="n">
        <f aca="false">G7-F7</f>
        <v>-23829.75</v>
      </c>
      <c r="J7" s="128" t="n">
        <f aca="false">VLOOKUP(B7,'תקציב  '!$B:$S,9,0)*1</f>
        <v>365000</v>
      </c>
      <c r="K7" s="126" t="n">
        <f aca="false">G7/J7-1</f>
        <v>-0.0702143835616439</v>
      </c>
      <c r="L7" s="129" t="n">
        <f aca="false">G7-J7</f>
        <v>-25628.25</v>
      </c>
    </row>
    <row r="8" customFormat="false" ht="14.25" hidden="false" customHeight="true" outlineLevel="0" collapsed="false">
      <c r="A8" s="85" t="s">
        <v>133</v>
      </c>
      <c r="B8" s="24" t="s">
        <v>37</v>
      </c>
      <c r="C8" s="24" t="s">
        <v>37</v>
      </c>
      <c r="D8" s="26" t="s">
        <v>32</v>
      </c>
      <c r="E8" s="125" t="n">
        <v>43688.56</v>
      </c>
      <c r="F8" s="125" t="n">
        <v>62616.16</v>
      </c>
      <c r="G8" s="125" t="n">
        <v>70005.299</v>
      </c>
      <c r="H8" s="126" t="n">
        <f aca="false">G8/F8-1</f>
        <v>0.118006901093903</v>
      </c>
      <c r="I8" s="127" t="n">
        <f aca="false">G8-F8</f>
        <v>7389.139</v>
      </c>
      <c r="J8" s="128" t="n">
        <f aca="false">VLOOKUP(B8,'תקציב  '!$B:$S,9,0)*1</f>
        <v>107301.587301587</v>
      </c>
      <c r="K8" s="126" t="n">
        <f aca="false">G8/J8-1</f>
        <v>-0.347583751923075</v>
      </c>
      <c r="L8" s="129" t="n">
        <f aca="false">G8-J8</f>
        <v>-37296.288301587</v>
      </c>
    </row>
    <row r="9" customFormat="false" ht="14.25" hidden="false" customHeight="true" outlineLevel="0" collapsed="false">
      <c r="A9" s="85" t="s">
        <v>134</v>
      </c>
      <c r="B9" s="24" t="s">
        <v>38</v>
      </c>
      <c r="C9" s="24" t="s">
        <v>38</v>
      </c>
      <c r="D9" s="26" t="s">
        <v>32</v>
      </c>
      <c r="E9" s="125" t="n">
        <v>77555.62</v>
      </c>
      <c r="F9" s="125" t="n">
        <v>63999.64</v>
      </c>
      <c r="G9" s="125" t="n">
        <v>67723.22</v>
      </c>
      <c r="H9" s="126" t="n">
        <f aca="false">G9/F9-1</f>
        <v>0.0581812647696143</v>
      </c>
      <c r="I9" s="127" t="n">
        <f aca="false">G9-F9</f>
        <v>3723.58</v>
      </c>
      <c r="J9" s="128" t="n">
        <f aca="false">VLOOKUP(B9,'תקציב  '!$B:$S,9,0)*1</f>
        <v>177087.301587302</v>
      </c>
      <c r="K9" s="126" t="n">
        <f aca="false">G9/J9-1</f>
        <v>-0.617571562766101</v>
      </c>
      <c r="L9" s="129" t="n">
        <f aca="false">G9-J9</f>
        <v>-109364.081587302</v>
      </c>
    </row>
    <row r="10" customFormat="false" ht="14.25" hidden="false" customHeight="true" outlineLevel="0" collapsed="false">
      <c r="A10" s="85" t="s">
        <v>135</v>
      </c>
      <c r="B10" s="36" t="s">
        <v>39</v>
      </c>
      <c r="C10" s="36" t="s">
        <v>39</v>
      </c>
      <c r="D10" s="26" t="s">
        <v>32</v>
      </c>
      <c r="E10" s="125" t="n">
        <v>13321.91</v>
      </c>
      <c r="F10" s="125" t="n">
        <v>9192.17</v>
      </c>
      <c r="G10" s="125" t="n">
        <v>6761.44</v>
      </c>
      <c r="H10" s="126" t="n">
        <f aca="false">G10/F10-1</f>
        <v>-0.264434839651573</v>
      </c>
      <c r="I10" s="127" t="n">
        <f aca="false">G10-F10</f>
        <v>-2430.73</v>
      </c>
      <c r="J10" s="128" t="n">
        <f aca="false">VLOOKUP(B10,'תקציב  '!$B:$S,9,0)*1</f>
        <v>16587.3015873016</v>
      </c>
      <c r="K10" s="126" t="n">
        <f aca="false">G10/J10-1</f>
        <v>-0.592372516746412</v>
      </c>
      <c r="L10" s="129" t="n">
        <f aca="false">G10-J10</f>
        <v>-9825.8615873016</v>
      </c>
    </row>
    <row r="11" customFormat="false" ht="14.25" hidden="false" customHeight="true" outlineLevel="0" collapsed="false">
      <c r="A11" s="85" t="s">
        <v>136</v>
      </c>
      <c r="B11" s="24" t="s">
        <v>40</v>
      </c>
      <c r="C11" s="24" t="s">
        <v>40</v>
      </c>
      <c r="D11" s="26" t="s">
        <v>32</v>
      </c>
      <c r="E11" s="125" t="n">
        <v>11738.24</v>
      </c>
      <c r="F11" s="125" t="n">
        <v>4288.26</v>
      </c>
      <c r="G11" s="125" t="n">
        <v>8984.58</v>
      </c>
      <c r="H11" s="126" t="n">
        <f aca="false">G11/F11-1</f>
        <v>1.09515747645898</v>
      </c>
      <c r="I11" s="127" t="n">
        <f aca="false">G11-F11</f>
        <v>4696.32</v>
      </c>
      <c r="J11" s="128" t="n">
        <f aca="false">VLOOKUP(B11,'תקציב  '!$B:$S,9,0)*1</f>
        <v>8730.15873015873</v>
      </c>
      <c r="K11" s="126" t="n">
        <f aca="false">G11/J11-1</f>
        <v>0.0291428</v>
      </c>
      <c r="L11" s="129" t="n">
        <f aca="false">G11-J11</f>
        <v>254.42126984127</v>
      </c>
    </row>
    <row r="12" customFormat="false" ht="14.25" hidden="false" customHeight="true" outlineLevel="0" collapsed="false">
      <c r="A12" s="85" t="s">
        <v>137</v>
      </c>
      <c r="B12" s="24" t="s">
        <v>41</v>
      </c>
      <c r="C12" s="24" t="s">
        <v>41</v>
      </c>
      <c r="D12" s="26" t="s">
        <v>32</v>
      </c>
      <c r="E12" s="125" t="n">
        <v>0</v>
      </c>
      <c r="F12" s="125" t="n">
        <v>1244.84</v>
      </c>
      <c r="G12" s="125" t="n">
        <v>1658.99</v>
      </c>
      <c r="H12" s="126" t="n">
        <f aca="false">G12/F12-1</f>
        <v>0.332693358182578</v>
      </c>
      <c r="I12" s="127" t="n">
        <f aca="false">G12-F12</f>
        <v>414.15</v>
      </c>
      <c r="J12" s="128" t="n">
        <f aca="false">VLOOKUP(B12,'תקציב  '!$B:$S,9,0)*1</f>
        <v>0</v>
      </c>
      <c r="K12" s="126"/>
      <c r="L12" s="129" t="n">
        <f aca="false">G12-J12</f>
        <v>1658.99</v>
      </c>
    </row>
    <row r="13" customFormat="false" ht="14.25" hidden="false" customHeight="true" outlineLevel="0" collapsed="false">
      <c r="A13" s="85" t="s">
        <v>138</v>
      </c>
      <c r="B13" s="24" t="s">
        <v>47</v>
      </c>
      <c r="C13" s="24" t="s">
        <v>47</v>
      </c>
      <c r="D13" s="26" t="s">
        <v>32</v>
      </c>
      <c r="E13" s="125" t="n">
        <v>0</v>
      </c>
      <c r="F13" s="125" t="n">
        <v>0</v>
      </c>
      <c r="G13" s="125"/>
      <c r="H13" s="126" t="str">
        <f aca="false">IFERROR(G13/F13-1,"-")</f>
        <v>-</v>
      </c>
      <c r="I13" s="127" t="n">
        <f aca="false">G13-F13</f>
        <v>0</v>
      </c>
      <c r="J13" s="128" t="n">
        <f aca="false">VLOOKUP(B13,'תקציב  '!$B:$S,9,0)*1</f>
        <v>0</v>
      </c>
      <c r="K13" s="126" t="str">
        <f aca="false">IFERROR(G13/J13-1,"-")</f>
        <v>-</v>
      </c>
      <c r="L13" s="129" t="n">
        <f aca="false">G13-J13</f>
        <v>0</v>
      </c>
    </row>
    <row r="14" customFormat="false" ht="14.25" hidden="false" customHeight="true" outlineLevel="0" collapsed="false">
      <c r="A14" s="85" t="s">
        <v>139</v>
      </c>
      <c r="B14" s="24" t="s">
        <v>43</v>
      </c>
      <c r="C14" s="24" t="s">
        <v>43</v>
      </c>
      <c r="D14" s="26" t="s">
        <v>32</v>
      </c>
      <c r="E14" s="125" t="n">
        <v>4579.64</v>
      </c>
      <c r="F14" s="125" t="n">
        <v>0</v>
      </c>
      <c r="G14" s="125"/>
      <c r="H14" s="126" t="str">
        <f aca="false">IFERROR(G14/F14-1,"-")</f>
        <v>-</v>
      </c>
      <c r="I14" s="127" t="n">
        <f aca="false">G14-F14</f>
        <v>0</v>
      </c>
      <c r="J14" s="128" t="n">
        <f aca="false">VLOOKUP(B14,'תקציב  '!$B:$S,9,0)*1</f>
        <v>50000</v>
      </c>
      <c r="K14" s="126" t="n">
        <f aca="false">G14/J14-1</f>
        <v>-1</v>
      </c>
      <c r="L14" s="129" t="n">
        <f aca="false">G14-J14</f>
        <v>-50000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25" t="n">
        <v>5235.63</v>
      </c>
      <c r="F15" s="125" t="n">
        <v>17697.58</v>
      </c>
      <c r="G15" s="125" t="n">
        <v>15643.41</v>
      </c>
      <c r="H15" s="126" t="n">
        <f aca="false">G15/F15-1</f>
        <v>-0.116070671809366</v>
      </c>
      <c r="I15" s="127" t="n">
        <f aca="false">G15-F15</f>
        <v>-2054.17</v>
      </c>
      <c r="J15" s="128" t="n">
        <f aca="false">VLOOKUP(B15,'תקציב  '!$B:$S,9,0)*1</f>
        <v>17460.3174603175</v>
      </c>
      <c r="K15" s="126" t="n">
        <f aca="false">G15/J15-1</f>
        <v>-0.104059245454547</v>
      </c>
      <c r="L15" s="129" t="n">
        <f aca="false">G15-J15</f>
        <v>-1816.9074603175</v>
      </c>
    </row>
    <row r="16" customFormat="false" ht="15" hidden="false" customHeight="true" outlineLevel="0" collapsed="false">
      <c r="B16" s="130" t="s">
        <v>115</v>
      </c>
      <c r="C16" s="130"/>
      <c r="D16" s="130"/>
      <c r="E16" s="131" t="n">
        <f aca="false">SUM(E3:E15)+E50</f>
        <v>1314879.448</v>
      </c>
      <c r="F16" s="131" t="n">
        <f aca="false">SUM(F3:F15)+F50</f>
        <v>1222204.22000001</v>
      </c>
      <c r="G16" s="131" t="n">
        <f aca="false">SUM(G3:G15)+G50</f>
        <v>1374966.405</v>
      </c>
      <c r="H16" s="132" t="n">
        <f aca="false">G16/F16-1</f>
        <v>0.124989083248293</v>
      </c>
      <c r="I16" s="131" t="n">
        <f aca="false">SUM(I3:I15)+I50</f>
        <v>152762.184999995</v>
      </c>
      <c r="J16" s="131" t="n">
        <f aca="false">SUM(J3:J15)+J50</f>
        <v>1832388.88888889</v>
      </c>
      <c r="K16" s="132" t="n">
        <f aca="false">G16/J16-1</f>
        <v>-0.249631771215475</v>
      </c>
      <c r="L16" s="131" t="n">
        <f aca="false">SUM(L3:L15)+L50</f>
        <v>-457422.483888889</v>
      </c>
    </row>
    <row r="17" customFormat="false" ht="14.25" hidden="false" customHeight="true" outlineLevel="0" collapsed="false">
      <c r="A17" s="85" t="s">
        <v>141</v>
      </c>
      <c r="B17" s="24" t="s">
        <v>45</v>
      </c>
      <c r="C17" s="24" t="s">
        <v>45</v>
      </c>
      <c r="D17" s="26" t="s">
        <v>32</v>
      </c>
      <c r="E17" s="125" t="n">
        <v>52569.54</v>
      </c>
      <c r="F17" s="125" t="n">
        <v>128892.76</v>
      </c>
      <c r="G17" s="125" t="n">
        <v>423398.059999998</v>
      </c>
      <c r="H17" s="126" t="n">
        <f aca="false">G17/F17-1</f>
        <v>2.28488628841525</v>
      </c>
      <c r="I17" s="127" t="n">
        <f aca="false">G17-F17</f>
        <v>294505.299999998</v>
      </c>
      <c r="J17" s="128" t="n">
        <f aca="false">VLOOKUP(B17,'תקציב  '!$B:$S,9,0)*1</f>
        <v>888273.728813559</v>
      </c>
      <c r="K17" s="126" t="n">
        <f aca="false">G17/J17-1</f>
        <v>-0.523347312584018</v>
      </c>
      <c r="L17" s="129" t="n">
        <f aca="false">G17-J17</f>
        <v>-464875.668813561</v>
      </c>
    </row>
    <row r="18" customFormat="false" ht="14.25" hidden="false" customHeight="true" outlineLevel="0" collapsed="false">
      <c r="A18" s="85" t="s">
        <v>142</v>
      </c>
      <c r="B18" s="38" t="s">
        <v>46</v>
      </c>
      <c r="C18" s="38" t="s">
        <v>46</v>
      </c>
      <c r="D18" s="26" t="s">
        <v>32</v>
      </c>
      <c r="E18" s="125" t="n">
        <v>5374.81</v>
      </c>
      <c r="F18" s="125" t="n">
        <v>4432.93</v>
      </c>
      <c r="G18" s="125" t="n">
        <v>1069.29</v>
      </c>
      <c r="H18" s="126" t="n">
        <f aca="false">G18/F18-1</f>
        <v>-0.758784821777019</v>
      </c>
      <c r="I18" s="127" t="n">
        <f aca="false">G18-F18</f>
        <v>-3363.64</v>
      </c>
      <c r="J18" s="128" t="n">
        <f aca="false">VLOOKUP(B18,'תקציב  '!$B:$S,9,0)*1</f>
        <v>2536.92833333333</v>
      </c>
      <c r="K18" s="126" t="n">
        <f aca="false">G18/J18-1</f>
        <v>-0.578509969733739</v>
      </c>
      <c r="L18" s="129" t="n">
        <f aca="false">G18-J18</f>
        <v>-1467.63833333333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33" t="n">
        <f aca="false">E16+E17+E18</f>
        <v>1372823.798</v>
      </c>
      <c r="F19" s="133" t="n">
        <f aca="false">F16+F17+F18</f>
        <v>1355529.91000001</v>
      </c>
      <c r="G19" s="133" t="n">
        <f aca="false">G16+G17+G18</f>
        <v>1799433.755</v>
      </c>
      <c r="H19" s="134" t="n">
        <f aca="false">G19/F19-1</f>
        <v>0.327476245064922</v>
      </c>
      <c r="I19" s="133" t="n">
        <f aca="false">I16+I17+I18</f>
        <v>443903.844999993</v>
      </c>
      <c r="J19" s="133" t="n">
        <f aca="false">J16+J17+J18</f>
        <v>2723199.54603578</v>
      </c>
      <c r="K19" s="134" t="n">
        <f aca="false">G19/J19-1</f>
        <v>-0.339220749496866</v>
      </c>
      <c r="L19" s="133" t="n">
        <f aca="false">L16+L17+L18</f>
        <v>-923765.791035784</v>
      </c>
    </row>
    <row r="20" customFormat="false" ht="14.25" hidden="false" customHeight="true" outlineLevel="0" collapsed="false">
      <c r="A20" s="85" t="s">
        <v>143</v>
      </c>
      <c r="B20" s="84" t="s">
        <v>49</v>
      </c>
      <c r="C20" s="65" t="s">
        <v>50</v>
      </c>
      <c r="D20" s="26" t="s">
        <v>51</v>
      </c>
      <c r="E20" s="125" t="n">
        <v>371311.12</v>
      </c>
      <c r="F20" s="125" t="n">
        <v>68328.76</v>
      </c>
      <c r="G20" s="125" t="n">
        <v>229029.21</v>
      </c>
      <c r="H20" s="126" t="n">
        <f aca="false">G20/F20-1</f>
        <v>2.35187130572836</v>
      </c>
      <c r="I20" s="127" t="n">
        <f aca="false">G20-F20</f>
        <v>160700.45</v>
      </c>
      <c r="J20" s="128" t="n">
        <f aca="false">VLOOKUP(B20,'תקציב  '!$B:$S,9,0)*1</f>
        <v>428463.7533</v>
      </c>
      <c r="K20" s="126" t="n">
        <f aca="false">G20/J20-1</f>
        <v>-0.46546421199919</v>
      </c>
      <c r="L20" s="129" t="n">
        <f aca="false">G20-J20</f>
        <v>-199434.5433</v>
      </c>
    </row>
    <row r="21" customFormat="false" ht="14.25" hidden="false" customHeight="true" outlineLevel="0" collapsed="false">
      <c r="A21" s="85" t="s">
        <v>144</v>
      </c>
      <c r="B21" s="84" t="s">
        <v>52</v>
      </c>
      <c r="C21" s="65" t="s">
        <v>53</v>
      </c>
      <c r="D21" s="26" t="s">
        <v>54</v>
      </c>
      <c r="E21" s="125" t="n">
        <v>0</v>
      </c>
      <c r="F21" s="125" t="n">
        <v>0</v>
      </c>
      <c r="G21" s="125"/>
      <c r="H21" s="126" t="str">
        <f aca="false">IFERROR(G21/F21-1,"-")</f>
        <v>-</v>
      </c>
      <c r="I21" s="127" t="n">
        <f aca="false">G21-F21</f>
        <v>0</v>
      </c>
      <c r="J21" s="128" t="n">
        <f aca="false">VLOOKUP(B21,'תקציב  '!$B:$S,9,0)*1</f>
        <v>0</v>
      </c>
      <c r="K21" s="126" t="str">
        <f aca="false">IFERROR(G21/J21-1,"-")</f>
        <v>-</v>
      </c>
      <c r="L21" s="129" t="n">
        <f aca="false">G21-J21</f>
        <v>0</v>
      </c>
    </row>
    <row r="22" customFormat="false" ht="14.25" hidden="false" customHeight="true" outlineLevel="0" collapsed="false">
      <c r="A22" s="85" t="s">
        <v>145</v>
      </c>
      <c r="B22" s="84" t="s">
        <v>55</v>
      </c>
      <c r="C22" s="65" t="s">
        <v>56</v>
      </c>
      <c r="D22" s="26" t="s">
        <v>57</v>
      </c>
      <c r="E22" s="125" t="n">
        <v>14810.7</v>
      </c>
      <c r="F22" s="125" t="n">
        <v>0</v>
      </c>
      <c r="G22" s="145" t="n">
        <v>55255.27</v>
      </c>
      <c r="H22" s="126" t="str">
        <f aca="false">IFERROR(G22/F22-1,"-")</f>
        <v>-</v>
      </c>
      <c r="I22" s="127" t="n">
        <f aca="false">G22-F22</f>
        <v>55255.27</v>
      </c>
      <c r="J22" s="128" t="n">
        <f aca="false">VLOOKUP(B22,'תקציב  '!$B:$S,9,0)*1</f>
        <v>35000</v>
      </c>
      <c r="K22" s="126" t="n">
        <f aca="false">G22/J22-1</f>
        <v>0.578722</v>
      </c>
      <c r="L22" s="129" t="n">
        <f aca="false">G22-J22</f>
        <v>20255.27</v>
      </c>
    </row>
    <row r="23" customFormat="false" ht="14.25" hidden="false" customHeight="true" outlineLevel="0" collapsed="false">
      <c r="A23" s="85" t="s">
        <v>146</v>
      </c>
      <c r="B23" s="84" t="s">
        <v>58</v>
      </c>
      <c r="C23" s="65" t="s">
        <v>59</v>
      </c>
      <c r="D23" s="26" t="s">
        <v>60</v>
      </c>
      <c r="E23" s="125" t="n">
        <v>83128.56</v>
      </c>
      <c r="F23" s="125" t="n">
        <v>0</v>
      </c>
      <c r="G23" s="147" t="n">
        <v>147489.2</v>
      </c>
      <c r="H23" s="126" t="str">
        <f aca="false">IFERROR(G23/F23-1,"-")</f>
        <v>-</v>
      </c>
      <c r="I23" s="127" t="n">
        <f aca="false">G23-F23</f>
        <v>147489.2</v>
      </c>
      <c r="J23" s="128" t="n">
        <f aca="false">VLOOKUP(B23,'תקציב  '!$B:$S,9,0)*1</f>
        <v>0</v>
      </c>
      <c r="K23" s="126" t="str">
        <f aca="false">IFERROR(G23/J23-1,"-")</f>
        <v>-</v>
      </c>
      <c r="L23" s="129" t="n">
        <f aca="false">G23-J23</f>
        <v>147489.2</v>
      </c>
    </row>
    <row r="24" customFormat="false" ht="14.25" hidden="false" customHeight="true" outlineLevel="0" collapsed="false">
      <c r="A24" s="85" t="s">
        <v>147</v>
      </c>
      <c r="B24" s="84" t="s">
        <v>61</v>
      </c>
      <c r="C24" s="65" t="s">
        <v>62</v>
      </c>
      <c r="D24" s="26" t="s">
        <v>63</v>
      </c>
      <c r="E24" s="125" t="n">
        <v>14559.92</v>
      </c>
      <c r="F24" s="125" t="n">
        <v>0</v>
      </c>
      <c r="G24" s="145" t="n">
        <v>15795</v>
      </c>
      <c r="H24" s="126"/>
      <c r="I24" s="127" t="n">
        <f aca="false">G24-F24</f>
        <v>15795</v>
      </c>
      <c r="J24" s="128" t="n">
        <f aca="false">VLOOKUP(B24,'תקציב  '!$B:$S,9,0)*1</f>
        <v>10000</v>
      </c>
      <c r="K24" s="126" t="n">
        <f aca="false">G24/J24-1</f>
        <v>0.5795</v>
      </c>
      <c r="L24" s="129" t="n">
        <f aca="false">G24-J24</f>
        <v>5795</v>
      </c>
    </row>
    <row r="25" customFormat="false" ht="14.25" hidden="false" customHeight="true" outlineLevel="0" collapsed="false">
      <c r="A25" s="85" t="s">
        <v>148</v>
      </c>
      <c r="B25" s="84" t="s">
        <v>64</v>
      </c>
      <c r="C25" s="65" t="s">
        <v>65</v>
      </c>
      <c r="D25" s="26" t="s">
        <v>66</v>
      </c>
      <c r="E25" s="125" t="n">
        <v>65362.29</v>
      </c>
      <c r="F25" s="125" t="n">
        <v>0</v>
      </c>
      <c r="G25" s="125"/>
      <c r="H25" s="126" t="str">
        <f aca="false">IFERROR(G25/F25-1,"-")</f>
        <v>-</v>
      </c>
      <c r="I25" s="127" t="n">
        <f aca="false">G25-F25</f>
        <v>0</v>
      </c>
      <c r="J25" s="128" t="n">
        <f aca="false">VLOOKUP(B25,'תקציב  '!$B:$S,9,0)*1</f>
        <v>5000</v>
      </c>
      <c r="K25" s="126" t="n">
        <f aca="false">G25/J25-1</f>
        <v>-1</v>
      </c>
      <c r="L25" s="129" t="n">
        <f aca="false">G25-J25</f>
        <v>-5000</v>
      </c>
    </row>
    <row r="26" customFormat="false" ht="13.5" hidden="false" customHeight="true" outlineLevel="0" collapsed="false">
      <c r="A26" s="85" t="s">
        <v>149</v>
      </c>
      <c r="B26" s="84" t="s">
        <v>67</v>
      </c>
      <c r="C26" s="65" t="s">
        <v>68</v>
      </c>
      <c r="D26" s="26" t="s">
        <v>69</v>
      </c>
      <c r="E26" s="125" t="n">
        <v>0</v>
      </c>
      <c r="F26" s="125" t="n">
        <v>0.33</v>
      </c>
      <c r="G26" s="125"/>
      <c r="H26" s="126" t="n">
        <f aca="false">G26/F26-1</f>
        <v>-1</v>
      </c>
      <c r="I26" s="127" t="n">
        <f aca="false">G26-F26</f>
        <v>-0.33</v>
      </c>
      <c r="J26" s="128" t="n">
        <f aca="false">VLOOKUP(B26,'תקציב  '!$B:$S,9,0)*1</f>
        <v>0</v>
      </c>
      <c r="K26" s="126" t="str">
        <f aca="false">IFERROR(G26/J26-1,"-")</f>
        <v>-</v>
      </c>
      <c r="L26" s="129" t="n">
        <f aca="false">G26-J26</f>
        <v>0</v>
      </c>
    </row>
    <row r="27" customFormat="false" ht="14.25" hidden="false" customHeight="true" outlineLevel="0" collapsed="false">
      <c r="A27" s="85" t="s">
        <v>150</v>
      </c>
      <c r="B27" s="84" t="s">
        <v>70</v>
      </c>
      <c r="C27" s="65" t="s">
        <v>71</v>
      </c>
      <c r="D27" s="26" t="s">
        <v>72</v>
      </c>
      <c r="E27" s="125" t="n">
        <v>37671.79</v>
      </c>
      <c r="F27" s="125" t="n">
        <v>0</v>
      </c>
      <c r="G27" s="125"/>
      <c r="H27" s="126" t="str">
        <f aca="false">IFERROR(G27/F27-1,"-")</f>
        <v>-</v>
      </c>
      <c r="I27" s="127" t="n">
        <f aca="false">G27-F27</f>
        <v>0</v>
      </c>
      <c r="J27" s="128" t="n">
        <f aca="false">VLOOKUP(B27,'תקציב  '!$B:$S,9,0)*1</f>
        <v>40000</v>
      </c>
      <c r="K27" s="126" t="n">
        <f aca="false">G27/J27-1</f>
        <v>-1</v>
      </c>
      <c r="L27" s="129" t="n">
        <f aca="false">G27-J27</f>
        <v>-40000</v>
      </c>
    </row>
    <row r="28" customFormat="false" ht="13.5" hidden="false" customHeight="true" outlineLevel="0" collapsed="false">
      <c r="A28" s="85" t="s">
        <v>151</v>
      </c>
      <c r="B28" s="84" t="s">
        <v>73</v>
      </c>
      <c r="C28" s="65" t="s">
        <v>74</v>
      </c>
      <c r="D28" s="26" t="s">
        <v>75</v>
      </c>
      <c r="E28" s="125" t="n">
        <v>0</v>
      </c>
      <c r="F28" s="125" t="n">
        <v>0</v>
      </c>
      <c r="G28" s="125"/>
      <c r="H28" s="126" t="str">
        <f aca="false">IFERROR(G28/F28-1,"-")</f>
        <v>-</v>
      </c>
      <c r="I28" s="127" t="n">
        <f aca="false">G28-F28</f>
        <v>0</v>
      </c>
      <c r="J28" s="128" t="n">
        <f aca="false">VLOOKUP(B28,'תקציב  '!$B:$S,9,0)*1</f>
        <v>0</v>
      </c>
      <c r="K28" s="126" t="str">
        <f aca="false">IFERROR(G28/J28-1,"-")</f>
        <v>-</v>
      </c>
      <c r="L28" s="129" t="n">
        <f aca="false">G28-J28</f>
        <v>0</v>
      </c>
    </row>
    <row r="29" customFormat="false" ht="13.5" hidden="false" customHeight="true" outlineLevel="0" collapsed="false">
      <c r="A29" s="85" t="s">
        <v>152</v>
      </c>
      <c r="B29" s="84" t="s">
        <v>76</v>
      </c>
      <c r="C29" s="65" t="s">
        <v>77</v>
      </c>
      <c r="D29" s="26" t="s">
        <v>78</v>
      </c>
      <c r="E29" s="125" t="n">
        <v>37331.12</v>
      </c>
      <c r="F29" s="125" t="n">
        <v>53.7</v>
      </c>
      <c r="G29" s="145" t="n">
        <v>57084.96</v>
      </c>
      <c r="H29" s="126" t="n">
        <f aca="false">G29/F29-1</f>
        <v>1062.03463687151</v>
      </c>
      <c r="I29" s="127" t="n">
        <f aca="false">G29-F29</f>
        <v>57031.26</v>
      </c>
      <c r="J29" s="128" t="n">
        <f aca="false">VLOOKUP(B29,'תקציב  '!$B:$S,9,0)*1</f>
        <v>39765.076</v>
      </c>
      <c r="K29" s="126" t="n">
        <f aca="false">G29/J29-1</f>
        <v>0.435555159004349</v>
      </c>
      <c r="L29" s="129" t="n">
        <f aca="false">G29-J29</f>
        <v>17319.884</v>
      </c>
    </row>
    <row r="30" customFormat="false" ht="14.25" hidden="false" customHeight="true" outlineLevel="0" collapsed="false">
      <c r="A30" s="85" t="s">
        <v>153</v>
      </c>
      <c r="B30" s="84" t="s">
        <v>79</v>
      </c>
      <c r="C30" s="65" t="s">
        <v>80</v>
      </c>
      <c r="D30" s="26" t="s">
        <v>81</v>
      </c>
      <c r="E30" s="125" t="n">
        <v>0</v>
      </c>
      <c r="F30" s="125" t="n">
        <v>0</v>
      </c>
      <c r="G30" s="125"/>
      <c r="H30" s="126" t="str">
        <f aca="false">IFERROR(G30/F30-1,"-")</f>
        <v>-</v>
      </c>
      <c r="I30" s="127" t="n">
        <f aca="false">G30-F30</f>
        <v>0</v>
      </c>
      <c r="J30" s="128" t="n">
        <f aca="false">VLOOKUP(B30,'תקציב  '!$B:$S,9,0)*1</f>
        <v>0</v>
      </c>
      <c r="K30" s="126" t="str">
        <f aca="false">IFERROR(G30/J30-1,"-")</f>
        <v>-</v>
      </c>
      <c r="L30" s="129" t="n">
        <f aca="false">G30-J30</f>
        <v>0</v>
      </c>
    </row>
    <row r="31" customFormat="false" ht="14.25" hidden="false" customHeight="true" outlineLevel="0" collapsed="false">
      <c r="A31" s="85" t="s">
        <v>154</v>
      </c>
      <c r="B31" s="84" t="s">
        <v>82</v>
      </c>
      <c r="C31" s="65" t="s">
        <v>83</v>
      </c>
      <c r="D31" s="26" t="s">
        <v>81</v>
      </c>
      <c r="E31" s="125" t="n">
        <v>0</v>
      </c>
      <c r="F31" s="125" t="n">
        <v>0</v>
      </c>
      <c r="G31" s="125"/>
      <c r="H31" s="126" t="str">
        <f aca="false">IFERROR(G31/F31-1,"-")</f>
        <v>-</v>
      </c>
      <c r="I31" s="127" t="n">
        <f aca="false">G31-F31</f>
        <v>0</v>
      </c>
      <c r="J31" s="128" t="n">
        <f aca="false">VLOOKUP(B31,'תקציב  '!$B:$S,9,0)*1</f>
        <v>0</v>
      </c>
      <c r="K31" s="126" t="str">
        <f aca="false">IFERROR(G31/J31-1,"-")</f>
        <v>-</v>
      </c>
      <c r="L31" s="129" t="n">
        <f aca="false">G31-J31</f>
        <v>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25" t="n">
        <v>0</v>
      </c>
      <c r="F32" s="125" t="n">
        <v>0</v>
      </c>
      <c r="G32" s="125"/>
      <c r="H32" s="126" t="str">
        <f aca="false">IFERROR(G32/F32-1,"-")</f>
        <v>-</v>
      </c>
      <c r="I32" s="127" t="n">
        <f aca="false">G32-F32</f>
        <v>0</v>
      </c>
      <c r="J32" s="128" t="n">
        <f aca="false">VLOOKUP(B32,'תקציב  '!$B:$S,9,0)*1</f>
        <v>0</v>
      </c>
      <c r="K32" s="126" t="str">
        <f aca="false">IFERROR(G32/J32-1,"-")</f>
        <v>-</v>
      </c>
      <c r="L32" s="129" t="n">
        <f aca="false">G32-J32</f>
        <v>0</v>
      </c>
    </row>
    <row r="33" customFormat="false" ht="13.5" hidden="false" customHeight="true" outlineLevel="0" collapsed="false">
      <c r="B33" s="84"/>
      <c r="C33" s="65" t="s">
        <v>155</v>
      </c>
      <c r="D33" s="26" t="s">
        <v>156</v>
      </c>
      <c r="E33" s="125"/>
      <c r="F33" s="125"/>
      <c r="G33" s="125"/>
      <c r="H33" s="126" t="str">
        <f aca="false">IFERROR(G33/F33-1,"-")</f>
        <v>-</v>
      </c>
      <c r="I33" s="127" t="n">
        <f aca="false">G33-F33</f>
        <v>0</v>
      </c>
      <c r="J33" s="128"/>
      <c r="K33" s="126" t="str">
        <f aca="false">IFERROR(G33/J33-1,"-")</f>
        <v>-</v>
      </c>
      <c r="L33" s="129" t="n">
        <f aca="false">G33-J33</f>
        <v>0</v>
      </c>
    </row>
    <row r="34" customFormat="false" ht="13.5" hidden="false" customHeight="true" outlineLevel="0" collapsed="false">
      <c r="A34" s="85" t="s">
        <v>157</v>
      </c>
      <c r="B34" s="84" t="s">
        <v>87</v>
      </c>
      <c r="C34" s="65" t="s">
        <v>88</v>
      </c>
      <c r="D34" s="26" t="s">
        <v>89</v>
      </c>
      <c r="E34" s="125" t="n">
        <v>0</v>
      </c>
      <c r="F34" s="125" t="n">
        <v>0</v>
      </c>
      <c r="G34" s="125"/>
      <c r="H34" s="126" t="str">
        <f aca="false">IFERROR(G34/F34-1,"-")</f>
        <v>-</v>
      </c>
      <c r="I34" s="127" t="n">
        <f aca="false">G34-F34</f>
        <v>0</v>
      </c>
      <c r="J34" s="128" t="n">
        <f aca="false">VLOOKUP(B34,'תקציב  '!$B:$S,9,0)*1</f>
        <v>0</v>
      </c>
      <c r="K34" s="126" t="str">
        <f aca="false">IFERROR(G34/J34-1,"-")</f>
        <v>-</v>
      </c>
      <c r="L34" s="129" t="n">
        <f aca="false">G34-J34</f>
        <v>0</v>
      </c>
    </row>
    <row r="35" customFormat="false" ht="13.5" hidden="false" customHeight="true" outlineLevel="0" collapsed="false">
      <c r="A35" s="85" t="s">
        <v>158</v>
      </c>
      <c r="B35" s="84" t="s">
        <v>90</v>
      </c>
      <c r="C35" s="65" t="s">
        <v>91</v>
      </c>
      <c r="D35" s="26" t="s">
        <v>92</v>
      </c>
      <c r="E35" s="125" t="n">
        <v>0</v>
      </c>
      <c r="F35" s="125" t="n">
        <v>0</v>
      </c>
      <c r="G35" s="125"/>
      <c r="H35" s="126" t="str">
        <f aca="false">IFERROR(G35/F35-1,"-")</f>
        <v>-</v>
      </c>
      <c r="I35" s="127" t="n">
        <f aca="false">G35-F35</f>
        <v>0</v>
      </c>
      <c r="J35" s="128" t="n">
        <f aca="false">VLOOKUP(B35,'תקציב  '!$B:$S,9,0)*1</f>
        <v>0</v>
      </c>
      <c r="K35" s="126" t="str">
        <f aca="false">IFERROR(G35/J35-1,"-")</f>
        <v>-</v>
      </c>
      <c r="L35" s="129" t="n">
        <f aca="false">G35-J35</f>
        <v>0</v>
      </c>
    </row>
    <row r="36" customFormat="false" ht="14.25" hidden="false" customHeight="true" outlineLevel="0" collapsed="false">
      <c r="A36" s="85" t="s">
        <v>159</v>
      </c>
      <c r="B36" s="85" t="s">
        <v>159</v>
      </c>
      <c r="C36" s="65" t="s">
        <v>160</v>
      </c>
      <c r="D36" s="26" t="s">
        <v>78</v>
      </c>
      <c r="E36" s="125" t="n">
        <v>0</v>
      </c>
      <c r="F36" s="125" t="n">
        <v>0</v>
      </c>
      <c r="G36" s="125"/>
      <c r="H36" s="126" t="str">
        <f aca="false">IFERROR(G36/F36-1,"-")</f>
        <v>-</v>
      </c>
      <c r="I36" s="127" t="n">
        <f aca="false">G36-F36</f>
        <v>0</v>
      </c>
      <c r="J36" s="128"/>
      <c r="K36" s="126" t="str">
        <f aca="false">IFERROR(G36/J36-1,"-")</f>
        <v>-</v>
      </c>
      <c r="L36" s="129" t="n">
        <f aca="false">G36-J36</f>
        <v>0</v>
      </c>
    </row>
    <row r="37" customFormat="false" ht="14.25" hidden="false" customHeight="true" outlineLevel="0" collapsed="false">
      <c r="A37" s="85" t="s">
        <v>161</v>
      </c>
      <c r="B37" s="85" t="s">
        <v>161</v>
      </c>
      <c r="C37" s="65" t="s">
        <v>93</v>
      </c>
      <c r="D37" s="26" t="s">
        <v>162</v>
      </c>
      <c r="E37" s="125" t="n">
        <v>22310.96</v>
      </c>
      <c r="F37" s="125" t="n">
        <v>0</v>
      </c>
      <c r="G37" s="125"/>
      <c r="H37" s="126" t="str">
        <f aca="false">IFERROR(G37/F37-1,"-")</f>
        <v>-</v>
      </c>
      <c r="I37" s="127" t="n">
        <f aca="false">G37-F37</f>
        <v>0</v>
      </c>
      <c r="J37" s="128"/>
      <c r="K37" s="126" t="str">
        <f aca="false">IFERROR(G37/J37-1,"-")</f>
        <v>-</v>
      </c>
      <c r="L37" s="129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25" t="n">
        <v>0</v>
      </c>
      <c r="F38" s="125" t="n">
        <v>0</v>
      </c>
      <c r="G38" s="125"/>
      <c r="H38" s="126" t="str">
        <f aca="false">IFERROR(G38/F38-1,"-")</f>
        <v>-</v>
      </c>
      <c r="I38" s="127" t="n">
        <f aca="false">G38-F38</f>
        <v>0</v>
      </c>
      <c r="J38" s="128" t="n">
        <f aca="false">VLOOKUP(B38,'תקציב  '!$B:$S,9,0)*1</f>
        <v>0</v>
      </c>
      <c r="K38" s="126" t="str">
        <f aca="false">IFERROR(G38/J38-1,"-")</f>
        <v>-</v>
      </c>
      <c r="L38" s="129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25"/>
      <c r="F39" s="125"/>
      <c r="G39" s="125"/>
      <c r="H39" s="126" t="str">
        <f aca="false">IFERROR(G39/F39-1,"-")</f>
        <v>-</v>
      </c>
      <c r="I39" s="127" t="n">
        <f aca="false">G39-F39</f>
        <v>0</v>
      </c>
      <c r="J39" s="128" t="n">
        <f aca="false">VLOOKUP(B39,'תקציב  '!$B:$S,9,0)*1</f>
        <v>200000</v>
      </c>
      <c r="K39" s="126" t="n">
        <f aca="false">G39/J39-1</f>
        <v>-1</v>
      </c>
      <c r="L39" s="129" t="n">
        <f aca="false">G39-J39</f>
        <v>-200000</v>
      </c>
    </row>
    <row r="40" customFormat="false" ht="15" hidden="false" customHeight="true" outlineLevel="0" collapsed="false">
      <c r="B40" s="135" t="s">
        <v>98</v>
      </c>
      <c r="C40" s="135"/>
      <c r="D40" s="135"/>
      <c r="E40" s="136" t="n">
        <f aca="false">SUM(E20:E39)+E51+E52</f>
        <v>646486.46</v>
      </c>
      <c r="F40" s="136" t="n">
        <f aca="false">SUM(F20:F39)+F51+F52</f>
        <v>68382.79</v>
      </c>
      <c r="G40" s="136" t="n">
        <f aca="false">SUM(G20:G39)+G51+G52</f>
        <v>504653.64</v>
      </c>
      <c r="H40" s="137" t="n">
        <f aca="false">G40/F40-1</f>
        <v>6.37983401964149</v>
      </c>
      <c r="I40" s="136" t="n">
        <f aca="false">SUM(I20:I39)+I51+I52</f>
        <v>436270.85</v>
      </c>
      <c r="J40" s="136" t="n">
        <f aca="false">SUM(J20:J39)+J51+J52</f>
        <v>758228.8293</v>
      </c>
      <c r="K40" s="137" t="n">
        <f aca="false">G40/J40-1</f>
        <v>-0.334430952109934</v>
      </c>
      <c r="L40" s="136" t="n">
        <f aca="false">SUM(L20:L39)+L51+L52</f>
        <v>-253575.1893</v>
      </c>
    </row>
    <row r="41" customFormat="false" ht="16.5" hidden="false" customHeight="true" outlineLevel="0" collapsed="false">
      <c r="B41" s="138" t="s">
        <v>163</v>
      </c>
      <c r="C41" s="138"/>
      <c r="D41" s="138"/>
      <c r="E41" s="139" t="n">
        <f aca="false">E40+E19</f>
        <v>2019310.258</v>
      </c>
      <c r="F41" s="139" t="n">
        <f aca="false">F40+F19</f>
        <v>1423912.70000001</v>
      </c>
      <c r="G41" s="139" t="n">
        <f aca="false">G40+G19</f>
        <v>2304087.395</v>
      </c>
      <c r="H41" s="140" t="n">
        <f aca="false">G41/F41-1</f>
        <v>0.618138102848574</v>
      </c>
      <c r="I41" s="139" t="n">
        <f aca="false">I40+I19</f>
        <v>880174.694999993</v>
      </c>
      <c r="J41" s="139" t="n">
        <f aca="false">J40+J19</f>
        <v>3481428.37533578</v>
      </c>
      <c r="K41" s="140" t="n">
        <f aca="false">G41/J41-1</f>
        <v>-0.338177567769789</v>
      </c>
      <c r="L41" s="139" t="n">
        <f aca="false">L40+L19</f>
        <v>-1177340.98033578</v>
      </c>
    </row>
    <row r="42" customFormat="false" ht="15.75" hidden="false" customHeight="true" outlineLevel="0" collapsed="false">
      <c r="B42" s="141" t="s">
        <v>117</v>
      </c>
      <c r="C42" s="141"/>
      <c r="D42" s="141"/>
      <c r="E42" s="142" t="n">
        <f aca="false">E40/E41</f>
        <v>0.320152119981951</v>
      </c>
      <c r="F42" s="142" t="n">
        <f aca="false">F40/F41</f>
        <v>0.048024566393712</v>
      </c>
      <c r="G42" s="142" t="n">
        <f aca="false">G40/G41</f>
        <v>0.219025389876759</v>
      </c>
      <c r="H42" s="143"/>
      <c r="I42" s="5"/>
      <c r="J42" s="76" t="n">
        <f aca="false">J41-'תקציב  '!J41*1</f>
        <v>0</v>
      </c>
    </row>
    <row r="43" customFormat="false" ht="14.25" hidden="false" customHeight="true" outlineLevel="0" collapsed="false">
      <c r="E43" s="144" t="n">
        <v>0</v>
      </c>
      <c r="I43" s="5"/>
    </row>
    <row r="50" customFormat="false" ht="14.25" hidden="false" customHeight="true" outlineLevel="0" collapsed="false">
      <c r="A50" s="85"/>
      <c r="B50" s="24" t="s">
        <v>164</v>
      </c>
      <c r="C50" s="24" t="s">
        <v>164</v>
      </c>
      <c r="D50" s="26" t="s">
        <v>32</v>
      </c>
      <c r="E50" s="125"/>
      <c r="F50" s="125"/>
      <c r="G50" s="125" t="n">
        <v>0</v>
      </c>
      <c r="H50" s="126" t="str">
        <f aca="false">IFERROR(G50/F50-1,"-")</f>
        <v>-</v>
      </c>
      <c r="I50" s="127" t="n">
        <f aca="false">G50-F50</f>
        <v>0</v>
      </c>
      <c r="J50" s="128"/>
      <c r="K50" s="126" t="str">
        <f aca="false">IFERROR(G50/J50-1,"-")</f>
        <v>-</v>
      </c>
      <c r="L50" s="129" t="n">
        <f aca="false">G50-J50</f>
        <v>0</v>
      </c>
    </row>
    <row r="51" customFormat="false" ht="14.25" hidden="false" customHeight="true" outlineLevel="0" collapsed="false">
      <c r="A51" s="85"/>
      <c r="B51" s="84" t="s">
        <v>165</v>
      </c>
      <c r="C51" s="65" t="s">
        <v>165</v>
      </c>
      <c r="D51" s="26" t="s">
        <v>166</v>
      </c>
      <c r="E51" s="125"/>
      <c r="F51" s="125"/>
      <c r="G51" s="125" t="n">
        <v>0</v>
      </c>
      <c r="H51" s="126" t="str">
        <f aca="false">IFERROR(G51/F51-1,"-")</f>
        <v>-</v>
      </c>
      <c r="I51" s="127" t="n">
        <f aca="false">G51-F51</f>
        <v>0</v>
      </c>
      <c r="J51" s="128"/>
      <c r="K51" s="126" t="str">
        <f aca="false">IFERROR(G51/J51-1,"-")</f>
        <v>-</v>
      </c>
      <c r="L51" s="129" t="n">
        <f aca="false">G51-J51</f>
        <v>0</v>
      </c>
    </row>
    <row r="52" customFormat="false" ht="14.25" hidden="false" customHeight="true" outlineLevel="0" collapsed="false">
      <c r="A52" s="85"/>
      <c r="B52" s="84" t="s">
        <v>167</v>
      </c>
      <c r="C52" s="65" t="s">
        <v>167</v>
      </c>
      <c r="D52" s="26" t="s">
        <v>167</v>
      </c>
      <c r="E52" s="125"/>
      <c r="F52" s="125"/>
      <c r="G52" s="125" t="n">
        <v>0</v>
      </c>
      <c r="H52" s="126" t="str">
        <f aca="false">IFERROR(G52/F52-1,"-")</f>
        <v>-</v>
      </c>
      <c r="I52" s="127" t="n">
        <f aca="false">G52-F52</f>
        <v>0</v>
      </c>
      <c r="J52" s="128"/>
      <c r="K52" s="126" t="str">
        <f aca="false">IFERROR(G52/J52-1,"-")</f>
        <v>-</v>
      </c>
      <c r="L52" s="129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2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5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K46" activeCellId="0" sqref="K46"/>
    </sheetView>
  </sheetViews>
  <sheetFormatPr defaultColWidth="8.625" defaultRowHeight="14.25" zeroHeight="false" outlineLevelRow="1" outlineLevelCol="0"/>
  <cols>
    <col collapsed="false" customWidth="true" hidden="false" outlineLevel="0" max="1" min="1" style="1" width="2.88"/>
    <col collapsed="false" customWidth="true" hidden="true" outlineLevel="0" max="2" min="2" style="1" width="31"/>
    <col collapsed="false" customWidth="true" hidden="true" outlineLevel="0" max="3" min="3" style="1" width="33"/>
    <col collapsed="false" customWidth="true" hidden="false" outlineLevel="0" max="4" min="4" style="90" width="26"/>
    <col collapsed="false" customWidth="true" hidden="true" outlineLevel="0" max="5" min="5" style="90" width="12.5"/>
    <col collapsed="false" customWidth="true" hidden="true" outlineLevel="0" max="7" min="6" style="1" width="9.87"/>
    <col collapsed="false" customWidth="true" hidden="false" outlineLevel="0" max="8" min="8" style="1" width="9.87"/>
    <col collapsed="false" customWidth="true" hidden="false" outlineLevel="0" max="9" min="9" style="1" width="5"/>
    <col collapsed="false" customWidth="true" hidden="false" outlineLevel="0" max="10" min="10" style="118" width="10"/>
    <col collapsed="false" customWidth="true" hidden="false" outlineLevel="0" max="11" min="11" style="1" width="14.12"/>
    <col collapsed="false" customWidth="true" hidden="false" outlineLevel="0" max="12" min="12" style="1" width="2.5"/>
    <col collapsed="false" customWidth="true" hidden="false" outlineLevel="0" max="13" min="13" style="1" width="9.87"/>
    <col collapsed="false" customWidth="true" hidden="true" outlineLevel="0" max="14" min="14" style="1" width="11"/>
    <col collapsed="false" customWidth="true" hidden="false" outlineLevel="0" max="15" min="15" style="1" width="7.62"/>
    <col collapsed="false" customWidth="true" hidden="false" outlineLevel="0" max="16" min="16" style="1" width="13.62"/>
    <col collapsed="false" customWidth="true" hidden="false" outlineLevel="0" max="17" min="17" style="1" width="2.5"/>
    <col collapsed="false" customWidth="true" hidden="false" outlineLevel="0" max="18" min="18" style="1" width="9.87"/>
    <col collapsed="false" customWidth="true" hidden="true" outlineLevel="0" max="19" min="19" style="1" width="10.88"/>
    <col collapsed="false" customWidth="true" hidden="false" outlineLevel="0" max="20" min="20" style="1" width="7.62"/>
    <col collapsed="false" customWidth="true" hidden="false" outlineLevel="0" max="21" min="21" style="1" width="13"/>
    <col collapsed="false" customWidth="true" hidden="true" outlineLevel="0" max="22" min="22" style="1" width="20.38"/>
    <col collapsed="false" customWidth="true" hidden="false" outlineLevel="0" max="24" min="24" style="1" width="9.87"/>
    <col collapsed="false" customWidth="true" hidden="false" outlineLevel="0" max="25" min="25" style="1" width="10"/>
    <col collapsed="false" customWidth="true" hidden="false" outlineLevel="0" max="26" min="26" style="148" width="9"/>
  </cols>
  <sheetData>
    <row r="1" customFormat="false" ht="15.75" hidden="false" customHeight="true" outlineLevel="0" collapsed="false">
      <c r="B1" s="7"/>
      <c r="C1" s="7" t="s">
        <v>173</v>
      </c>
      <c r="D1" s="149" t="s">
        <v>173</v>
      </c>
      <c r="E1" s="150"/>
      <c r="F1" s="7"/>
      <c r="G1" s="7"/>
      <c r="H1" s="7"/>
      <c r="I1" s="7"/>
      <c r="J1" s="7"/>
      <c r="K1" s="7"/>
      <c r="M1" s="7"/>
      <c r="N1" s="7"/>
      <c r="O1" s="7"/>
      <c r="P1" s="7"/>
      <c r="R1" s="7"/>
      <c r="S1" s="7"/>
      <c r="T1" s="7"/>
      <c r="U1" s="7"/>
      <c r="X1" s="7"/>
    </row>
    <row r="2" s="157" customFormat="true" ht="15" hidden="false" customHeight="true" outlineLevel="0" collapsed="false">
      <c r="A2" s="151" t="s">
        <v>2</v>
      </c>
      <c r="B2" s="152"/>
      <c r="C2" s="152"/>
      <c r="D2" s="38"/>
      <c r="E2" s="153" t="s">
        <v>3</v>
      </c>
      <c r="F2" s="154" t="n">
        <v>7.2024</v>
      </c>
      <c r="G2" s="154" t="n">
        <v>7.2025</v>
      </c>
      <c r="H2" s="154" t="n">
        <v>7.2026</v>
      </c>
      <c r="I2" s="155" t="s">
        <v>174</v>
      </c>
      <c r="J2" s="155" t="s">
        <v>108</v>
      </c>
      <c r="K2" s="156" t="s">
        <v>129</v>
      </c>
      <c r="M2" s="158" t="s">
        <v>130</v>
      </c>
      <c r="N2" s="155" t="s">
        <v>111</v>
      </c>
      <c r="O2" s="155" t="s">
        <v>175</v>
      </c>
      <c r="P2" s="158" t="s">
        <v>176</v>
      </c>
      <c r="R2" s="156" t="s">
        <v>1</v>
      </c>
      <c r="S2" s="155" t="s">
        <v>177</v>
      </c>
      <c r="T2" s="155" t="s">
        <v>175</v>
      </c>
      <c r="U2" s="158" t="s">
        <v>178</v>
      </c>
      <c r="X2" s="154" t="n">
        <v>7.2026</v>
      </c>
      <c r="Z2" s="148"/>
    </row>
    <row r="3" customFormat="false" ht="14.25" hidden="false" customHeight="true" outlineLevel="1" collapsed="false">
      <c r="A3" s="159" t="n">
        <v>5</v>
      </c>
      <c r="B3" s="160" t="s">
        <v>131</v>
      </c>
      <c r="C3" s="160" t="s">
        <v>31</v>
      </c>
      <c r="D3" s="161" t="s">
        <v>31</v>
      </c>
      <c r="E3" s="39" t="s">
        <v>32</v>
      </c>
      <c r="F3" s="145" t="n">
        <v>214594.9</v>
      </c>
      <c r="G3" s="145" t="n">
        <v>83088</v>
      </c>
      <c r="H3" s="145" t="n">
        <v>73969</v>
      </c>
      <c r="I3" s="162" t="n">
        <f aca="false">H3/$H$19</f>
        <v>0.0440460206667319</v>
      </c>
      <c r="J3" s="162" t="n">
        <f aca="false">IFERROR(H3/G3-1,"-")</f>
        <v>-0.109751107259773</v>
      </c>
      <c r="K3" s="145" t="n">
        <f aca="false">H3-G3</f>
        <v>-9119</v>
      </c>
      <c r="M3" s="147" t="n">
        <f aca="false">VLOOKUP(C3,'תקציב  '!$B:$S,10,0)*1</f>
        <v>235079.365079365</v>
      </c>
      <c r="N3" s="162" t="n">
        <f aca="false">IFERROR(H3/M3-1,"-")</f>
        <v>-0.685344564483457</v>
      </c>
      <c r="O3" s="162" t="n">
        <f aca="false">IFERROR(H3/M3,"-")</f>
        <v>0.314655435516543</v>
      </c>
      <c r="P3" s="147" t="n">
        <f aca="false">H3-M3</f>
        <v>-161110.365079365</v>
      </c>
      <c r="R3" s="147" t="n">
        <v>200000</v>
      </c>
      <c r="S3" s="162" t="n">
        <f aca="false">IFERROR(H3/R3-1,"-")</f>
        <v>-0.630155</v>
      </c>
      <c r="T3" s="162" t="n">
        <f aca="false">IFERROR(H3/R3,"-")</f>
        <v>0.369845</v>
      </c>
      <c r="U3" s="147" t="n">
        <f aca="false">H3-R3</f>
        <v>-126031</v>
      </c>
      <c r="X3" s="145" t="n">
        <v>73969</v>
      </c>
      <c r="Y3" s="5" t="n">
        <f aca="false">H3-X3</f>
        <v>0</v>
      </c>
      <c r="Z3" s="163" t="n">
        <f aca="false">IFERROR((H3/X3)-1,"-")</f>
        <v>0</v>
      </c>
    </row>
    <row r="4" customFormat="false" ht="14.25" hidden="false" customHeight="true" outlineLevel="1" collapsed="false">
      <c r="A4" s="164" t="n">
        <v>1</v>
      </c>
      <c r="B4" s="38" t="s">
        <v>33</v>
      </c>
      <c r="C4" s="38" t="s">
        <v>33</v>
      </c>
      <c r="D4" s="161" t="s">
        <v>33</v>
      </c>
      <c r="E4" s="39" t="s">
        <v>32</v>
      </c>
      <c r="F4" s="145" t="n">
        <v>502006.141</v>
      </c>
      <c r="G4" s="145" t="n">
        <v>486312.520000005</v>
      </c>
      <c r="H4" s="145" t="n">
        <v>453851.216</v>
      </c>
      <c r="I4" s="162" t="n">
        <f aca="false">H4/$H$19</f>
        <v>0.270252944335565</v>
      </c>
      <c r="J4" s="162" t="n">
        <f aca="false">IFERROR(H4/G4-1,"-")</f>
        <v>-0.0667498833877538</v>
      </c>
      <c r="K4" s="145" t="n">
        <f aca="false">H4-G4</f>
        <v>-32461.304000005</v>
      </c>
      <c r="M4" s="147" t="n">
        <f aca="false">VLOOKUP(C4,'תקציב  '!$B:$S,10,0)*1</f>
        <v>605698.412698413</v>
      </c>
      <c r="N4" s="162" t="n">
        <f aca="false">IFERROR(H4/M4-1,"-")</f>
        <v>-0.250697696270867</v>
      </c>
      <c r="O4" s="162" t="n">
        <f aca="false">IFERROR(H4/M4,"-")</f>
        <v>0.749302303729133</v>
      </c>
      <c r="P4" s="147" t="n">
        <f aca="false">H4-M4</f>
        <v>-151847.196698413</v>
      </c>
      <c r="R4" s="147" t="n">
        <v>550000</v>
      </c>
      <c r="S4" s="162" t="n">
        <f aca="false">IFERROR(H4/R4-1,"-")</f>
        <v>-0.174815970909091</v>
      </c>
      <c r="T4" s="162" t="n">
        <f aca="false">IFERROR(H4/R4,"-")</f>
        <v>0.825184029090909</v>
      </c>
      <c r="U4" s="147" t="n">
        <f aca="false">H4-R4</f>
        <v>-96148.784</v>
      </c>
      <c r="X4" s="145" t="n">
        <v>443876.464</v>
      </c>
      <c r="Y4" s="5" t="n">
        <f aca="false">H4-X4</f>
        <v>9974.75200000004</v>
      </c>
      <c r="Z4" s="163" t="n">
        <f aca="false">IFERROR((H4/X4)-1,"-")</f>
        <v>0.0224719101123596</v>
      </c>
    </row>
    <row r="5" customFormat="false" ht="14.25" hidden="false" customHeight="true" outlineLevel="1" collapsed="false">
      <c r="A5" s="164" t="n">
        <v>7</v>
      </c>
      <c r="B5" s="38" t="s">
        <v>34</v>
      </c>
      <c r="C5" s="38" t="s">
        <v>34</v>
      </c>
      <c r="D5" s="161" t="s">
        <v>34</v>
      </c>
      <c r="E5" s="39" t="s">
        <v>32</v>
      </c>
      <c r="F5" s="145" t="n">
        <v>95719.442</v>
      </c>
      <c r="G5" s="145" t="n">
        <v>59921.68</v>
      </c>
      <c r="H5" s="145" t="n">
        <v>72470.216</v>
      </c>
      <c r="I5" s="162" t="n">
        <f aca="false">H5/$H$19</f>
        <v>0.043153545832153</v>
      </c>
      <c r="J5" s="162" t="n">
        <f aca="false">IFERROR(H5/G5-1,"-")</f>
        <v>0.209415623861013</v>
      </c>
      <c r="K5" s="145" t="n">
        <f aca="false">H5-G5</f>
        <v>12548.536</v>
      </c>
      <c r="M5" s="147" t="n">
        <f aca="false">VLOOKUP(C5,'תקציב  '!$B:$S,10,0)*1</f>
        <v>78571.4285714286</v>
      </c>
      <c r="N5" s="162" t="n">
        <f aca="false">IFERROR(H5/M5-1,"-")</f>
        <v>-0.0776517963636366</v>
      </c>
      <c r="O5" s="162" t="n">
        <f aca="false">IFERROR(H5/M5,"-")</f>
        <v>0.922348203636363</v>
      </c>
      <c r="P5" s="147" t="n">
        <f aca="false">H5-M5</f>
        <v>-6101.21257142859</v>
      </c>
      <c r="R5" s="147" t="n">
        <v>100000</v>
      </c>
      <c r="S5" s="162" t="n">
        <f aca="false">IFERROR(H5/R5-1,"-")</f>
        <v>-0.27529784</v>
      </c>
      <c r="T5" s="162" t="n">
        <f aca="false">IFERROR(H5/R5,"-")</f>
        <v>0.72470216</v>
      </c>
      <c r="U5" s="147" t="n">
        <f aca="false">H5-R5</f>
        <v>-27529.784</v>
      </c>
      <c r="X5" s="145" t="n">
        <v>70877.464</v>
      </c>
      <c r="Y5" s="5" t="n">
        <f aca="false">H5-X5</f>
        <v>1592.75199999999</v>
      </c>
      <c r="Z5" s="163" t="n">
        <f aca="false">IFERROR((H5/X5)-1,"-")</f>
        <v>0.0224719101123594</v>
      </c>
    </row>
    <row r="6" customFormat="false" ht="14.25" hidden="false" customHeight="true" outlineLevel="1" collapsed="false">
      <c r="A6" s="164" t="n">
        <v>4</v>
      </c>
      <c r="B6" s="38" t="s">
        <v>35</v>
      </c>
      <c r="C6" s="38" t="s">
        <v>35</v>
      </c>
      <c r="D6" s="161" t="s">
        <v>35</v>
      </c>
      <c r="E6" s="39" t="s">
        <v>32</v>
      </c>
      <c r="F6" s="145" t="n">
        <v>157377.696</v>
      </c>
      <c r="G6" s="145" t="n">
        <v>221525.16</v>
      </c>
      <c r="H6" s="145" t="n">
        <v>152144.318</v>
      </c>
      <c r="I6" s="162" t="n">
        <f aca="false">H6/$H$19</f>
        <v>0.0905967604665986</v>
      </c>
      <c r="J6" s="162" t="n">
        <f aca="false">IFERROR(H6/G6-1,"-")</f>
        <v>-0.313196216628396</v>
      </c>
      <c r="K6" s="145" t="n">
        <f aca="false">H6-G6</f>
        <v>-69380.842</v>
      </c>
      <c r="M6" s="147" t="n">
        <f aca="false">VLOOKUP(B6,'תקציב  '!$B:$S,10,0)*1</f>
        <v>170873.015873016</v>
      </c>
      <c r="N6" s="162" t="n">
        <f aca="false">IFERROR(H6/M6-1,"-")</f>
        <v>-0.109605942034371</v>
      </c>
      <c r="O6" s="162" t="n">
        <f aca="false">IFERROR(H6/M6,"-")</f>
        <v>0.890394057965629</v>
      </c>
      <c r="P6" s="147" t="n">
        <f aca="false">H6-M6</f>
        <v>-18728.697873016</v>
      </c>
      <c r="R6" s="147" t="n">
        <v>200000</v>
      </c>
      <c r="S6" s="162" t="n">
        <f aca="false">IFERROR(H6/R6-1,"-")</f>
        <v>-0.23927841</v>
      </c>
      <c r="T6" s="162" t="n">
        <f aca="false">IFERROR(H6/R6,"-")</f>
        <v>0.76072159</v>
      </c>
      <c r="U6" s="147" t="n">
        <f aca="false">H6-R6</f>
        <v>-47855.682</v>
      </c>
      <c r="X6" s="145" t="n">
        <v>149138.682</v>
      </c>
      <c r="Y6" s="5" t="n">
        <f aca="false">H6-X6</f>
        <v>3005.636</v>
      </c>
      <c r="Z6" s="163" t="n">
        <f aca="false">IFERROR((H6/X6)-1,"-")</f>
        <v>0.0201532959772301</v>
      </c>
    </row>
    <row r="7" customFormat="false" ht="14.25" hidden="false" customHeight="true" outlineLevel="1" collapsed="false">
      <c r="A7" s="164" t="n">
        <v>3</v>
      </c>
      <c r="B7" s="38" t="s">
        <v>132</v>
      </c>
      <c r="C7" s="38" t="s">
        <v>36</v>
      </c>
      <c r="D7" s="161" t="s">
        <v>36</v>
      </c>
      <c r="E7" s="39" t="s">
        <v>32</v>
      </c>
      <c r="F7" s="145" t="n">
        <v>326042</v>
      </c>
      <c r="G7" s="145" t="n">
        <v>329541.7</v>
      </c>
      <c r="H7" s="145" t="n">
        <v>392888.3</v>
      </c>
      <c r="I7" s="162" t="n">
        <f aca="false">H7/$H$19</f>
        <v>0.233951603800473</v>
      </c>
      <c r="J7" s="162" t="n">
        <f aca="false">IFERROR(H7/G7-1,"-")</f>
        <v>0.192226355571996</v>
      </c>
      <c r="K7" s="145" t="n">
        <f aca="false">H7-G7</f>
        <v>63346.6</v>
      </c>
      <c r="M7" s="147" t="n">
        <f aca="false">VLOOKUP(C7,'תקציב  '!$B:$S,10,0)*1</f>
        <v>365000</v>
      </c>
      <c r="N7" s="162" t="n">
        <f aca="false">IFERROR(H7/M7-1,"-")</f>
        <v>0.076406301369863</v>
      </c>
      <c r="O7" s="162" t="n">
        <f aca="false">IFERROR(H7/M7,"-")</f>
        <v>1.07640630136986</v>
      </c>
      <c r="P7" s="147" t="n">
        <f aca="false">H7-M7</f>
        <v>27888.3</v>
      </c>
      <c r="R7" s="147" t="n">
        <v>330000</v>
      </c>
      <c r="S7" s="162" t="n">
        <f aca="false">IFERROR(H7/R7-1,"-")</f>
        <v>0.190570606060606</v>
      </c>
      <c r="T7" s="162" t="n">
        <f aca="false">IFERROR(H7/R7,"-")</f>
        <v>1.19057060606061</v>
      </c>
      <c r="U7" s="147" t="n">
        <f aca="false">H7-R7</f>
        <v>62888.3</v>
      </c>
      <c r="X7" s="145" t="n">
        <v>392888.3</v>
      </c>
      <c r="Y7" s="5" t="n">
        <f aca="false">H7-X7</f>
        <v>0</v>
      </c>
      <c r="Z7" s="163" t="n">
        <f aca="false">IFERROR((H7/X7)-1,"-")</f>
        <v>0</v>
      </c>
    </row>
    <row r="8" customFormat="false" ht="14.25" hidden="false" customHeight="true" outlineLevel="1" collapsed="false">
      <c r="A8" s="164" t="n">
        <v>8</v>
      </c>
      <c r="B8" s="38" t="s">
        <v>133</v>
      </c>
      <c r="C8" s="38" t="s">
        <v>37</v>
      </c>
      <c r="D8" s="161" t="s">
        <v>37</v>
      </c>
      <c r="E8" s="39" t="s">
        <v>32</v>
      </c>
      <c r="F8" s="145" t="n">
        <v>79041.44</v>
      </c>
      <c r="G8" s="145" t="n">
        <v>95914.88</v>
      </c>
      <c r="H8" s="145" t="n">
        <v>49165.266</v>
      </c>
      <c r="I8" s="162" t="n">
        <f aca="false">H8/$H$19</f>
        <v>0.0292762417001902</v>
      </c>
      <c r="J8" s="162" t="n">
        <f aca="false">IFERROR(H8/G8-1,"-")</f>
        <v>-0.487407313651438</v>
      </c>
      <c r="K8" s="145" t="n">
        <f aca="false">H8-G8</f>
        <v>-46749.614</v>
      </c>
      <c r="M8" s="147" t="n">
        <f aca="false">VLOOKUP(C8,'תקציב  '!$B:$S,10,0)*1</f>
        <v>107301.587301587</v>
      </c>
      <c r="N8" s="162" t="n">
        <f aca="false">IFERROR(H8/M8-1,"-")</f>
        <v>-0.541802994378697</v>
      </c>
      <c r="O8" s="162" t="n">
        <f aca="false">IFERROR(H8/M8,"-")</f>
        <v>0.458197005621303</v>
      </c>
      <c r="P8" s="147" t="n">
        <f aca="false">H8-M8</f>
        <v>-58136.321301587</v>
      </c>
      <c r="R8" s="147" t="n">
        <v>100000</v>
      </c>
      <c r="S8" s="162" t="n">
        <f aca="false">IFERROR(H8/R8-1,"-")</f>
        <v>-0.50834734</v>
      </c>
      <c r="T8" s="162" t="n">
        <f aca="false">IFERROR(H8/R8,"-")</f>
        <v>0.49165266</v>
      </c>
      <c r="U8" s="147" t="n">
        <f aca="false">H8-R8</f>
        <v>-50834.734</v>
      </c>
      <c r="X8" s="145" t="n">
        <v>47990.774</v>
      </c>
      <c r="Y8" s="5" t="n">
        <f aca="false">H8-X8</f>
        <v>1174.49200000001</v>
      </c>
      <c r="Z8" s="163" t="n">
        <f aca="false">IFERROR((H8/X8)-1,"-")</f>
        <v>0.0244732873030971</v>
      </c>
    </row>
    <row r="9" customFormat="false" ht="14.25" hidden="false" customHeight="true" outlineLevel="1" collapsed="false">
      <c r="A9" s="164" t="n">
        <v>6</v>
      </c>
      <c r="B9" s="38" t="s">
        <v>134</v>
      </c>
      <c r="C9" s="38" t="s">
        <v>38</v>
      </c>
      <c r="D9" s="161" t="s">
        <v>38</v>
      </c>
      <c r="E9" s="39" t="s">
        <v>32</v>
      </c>
      <c r="F9" s="145" t="n">
        <v>76209.32</v>
      </c>
      <c r="G9" s="145" t="n">
        <v>81305.01</v>
      </c>
      <c r="H9" s="145" t="n">
        <v>65635.87</v>
      </c>
      <c r="I9" s="162" t="n">
        <f aca="false">H9/$H$19</f>
        <v>0.0390839255160801</v>
      </c>
      <c r="J9" s="162" t="n">
        <f aca="false">IFERROR(H9/G9-1,"-")</f>
        <v>-0.192720473191013</v>
      </c>
      <c r="K9" s="145" t="n">
        <f aca="false">H9-G9</f>
        <v>-15669.14</v>
      </c>
      <c r="M9" s="147" t="n">
        <f aca="false">VLOOKUP(C9,'תקציב  '!$B:$S,10,0)*1</f>
        <v>177087.301587302</v>
      </c>
      <c r="N9" s="162" t="n">
        <f aca="false">IFERROR(H9/M9-1,"-")</f>
        <v>-0.629358686864161</v>
      </c>
      <c r="O9" s="162" t="n">
        <f aca="false">IFERROR(H9/M9,"-")</f>
        <v>0.370641313135839</v>
      </c>
      <c r="P9" s="147" t="n">
        <f aca="false">H9-M9</f>
        <v>-111451.431587302</v>
      </c>
      <c r="R9" s="147" t="n">
        <v>100000</v>
      </c>
      <c r="S9" s="162" t="n">
        <f aca="false">IFERROR(H9/R9-1,"-")</f>
        <v>-0.3436413</v>
      </c>
      <c r="T9" s="162" t="n">
        <f aca="false">IFERROR(H9/R9,"-")</f>
        <v>0.6563587</v>
      </c>
      <c r="U9" s="147" t="n">
        <f aca="false">H9-R9</f>
        <v>-34364.13</v>
      </c>
      <c r="X9" s="145" t="n">
        <v>65635.87</v>
      </c>
      <c r="Y9" s="5" t="n">
        <f aca="false">H9-X9</f>
        <v>0</v>
      </c>
      <c r="Z9" s="163" t="n">
        <f aca="false">IFERROR((H9/X9)-1,"-")</f>
        <v>0</v>
      </c>
    </row>
    <row r="10" customFormat="false" ht="14.25" hidden="false" customHeight="true" outlineLevel="1" collapsed="false">
      <c r="A10" s="165" t="n">
        <v>10</v>
      </c>
      <c r="B10" s="166" t="s">
        <v>135</v>
      </c>
      <c r="C10" s="166" t="s">
        <v>39</v>
      </c>
      <c r="D10" s="167" t="s">
        <v>39</v>
      </c>
      <c r="E10" s="39" t="s">
        <v>32</v>
      </c>
      <c r="F10" s="145" t="n">
        <v>27532.1</v>
      </c>
      <c r="G10" s="145" t="n">
        <v>10971.32</v>
      </c>
      <c r="H10" s="145" t="n">
        <v>5105.8</v>
      </c>
      <c r="I10" s="162" t="n">
        <f aca="false">H10/$H$19</f>
        <v>0.0030403300344766</v>
      </c>
      <c r="J10" s="162" t="n">
        <f aca="false">IFERROR(H10/G10-1,"-")</f>
        <v>-0.534622998873426</v>
      </c>
      <c r="K10" s="145" t="n">
        <f aca="false">H10-G10</f>
        <v>-5865.52</v>
      </c>
      <c r="M10" s="147" t="n">
        <f aca="false">VLOOKUP(C10,'תקציב  '!$B:$S,10,0)*1</f>
        <v>16587.3015873016</v>
      </c>
      <c r="N10" s="162" t="n">
        <f aca="false">IFERROR(H10/M10-1,"-")</f>
        <v>-0.692186220095694</v>
      </c>
      <c r="O10" s="162" t="n">
        <f aca="false">IFERROR(H10/M10,"-")</f>
        <v>0.307813779904306</v>
      </c>
      <c r="P10" s="147" t="n">
        <f aca="false">H10-M10</f>
        <v>-11481.5015873016</v>
      </c>
      <c r="R10" s="147" t="n">
        <v>15000</v>
      </c>
      <c r="S10" s="162" t="n">
        <f aca="false">IFERROR(H10/R10-1,"-")</f>
        <v>-0.659613333333333</v>
      </c>
      <c r="T10" s="162" t="n">
        <f aca="false">IFERROR(H10/R10,"-")</f>
        <v>0.340386666666667</v>
      </c>
      <c r="U10" s="147" t="n">
        <f aca="false">H10-R10</f>
        <v>-9894.2</v>
      </c>
      <c r="X10" s="145" t="n">
        <v>5105.8</v>
      </c>
      <c r="Y10" s="5" t="n">
        <f aca="false">H10-X10</f>
        <v>0</v>
      </c>
      <c r="Z10" s="163" t="n">
        <f aca="false">IFERROR((H10/X10)-1,"-")</f>
        <v>0</v>
      </c>
    </row>
    <row r="11" customFormat="false" ht="14.25" hidden="false" customHeight="true" outlineLevel="1" collapsed="false">
      <c r="A11" s="164" t="n">
        <v>11</v>
      </c>
      <c r="B11" s="38" t="s">
        <v>136</v>
      </c>
      <c r="C11" s="38" t="s">
        <v>40</v>
      </c>
      <c r="D11" s="161" t="s">
        <v>40</v>
      </c>
      <c r="E11" s="39" t="s">
        <v>32</v>
      </c>
      <c r="F11" s="145" t="n">
        <v>8417.71</v>
      </c>
      <c r="G11" s="145" t="n">
        <v>4990.47</v>
      </c>
      <c r="H11" s="145" t="n">
        <v>3863.17</v>
      </c>
      <c r="I11" s="162" t="n">
        <f aca="false">H11/$H$19</f>
        <v>0.00230038618420012</v>
      </c>
      <c r="J11" s="162" t="n">
        <f aca="false">IFERROR(H11/G11-1,"-")</f>
        <v>-0.225890547383313</v>
      </c>
      <c r="K11" s="145" t="n">
        <f aca="false">H11-G11</f>
        <v>-1127.3</v>
      </c>
      <c r="M11" s="147" t="n">
        <f aca="false">VLOOKUP(C11,'תקציב  '!$B:$S,10,0)*1</f>
        <v>8730.15873015873</v>
      </c>
      <c r="N11" s="162" t="n">
        <f aca="false">IFERROR(H11/M11-1,"-")</f>
        <v>-0.557491436363636</v>
      </c>
      <c r="O11" s="162" t="n">
        <f aca="false">IFERROR(H11/M11,"-")</f>
        <v>0.442508563636364</v>
      </c>
      <c r="P11" s="147" t="n">
        <f aca="false">H11-M11</f>
        <v>-4866.98873015873</v>
      </c>
      <c r="R11" s="147" t="n">
        <v>10000</v>
      </c>
      <c r="S11" s="162" t="n">
        <f aca="false">IFERROR(H11/R11-1,"-")</f>
        <v>-0.613683</v>
      </c>
      <c r="T11" s="162" t="n">
        <f aca="false">IFERROR(H11/R11,"-")</f>
        <v>0.386317</v>
      </c>
      <c r="U11" s="147" t="n">
        <f aca="false">H11-R11</f>
        <v>-6136.83</v>
      </c>
      <c r="X11" s="145" t="n">
        <v>3863.17</v>
      </c>
      <c r="Y11" s="5" t="n">
        <f aca="false">H11-X11</f>
        <v>0</v>
      </c>
      <c r="Z11" s="163" t="n">
        <f aca="false">IFERROR((H11/X11)-1,"-")</f>
        <v>0</v>
      </c>
    </row>
    <row r="12" customFormat="false" ht="14.25" hidden="false" customHeight="true" outlineLevel="1" collapsed="false">
      <c r="A12" s="164" t="n">
        <v>14</v>
      </c>
      <c r="B12" s="38" t="s">
        <v>137</v>
      </c>
      <c r="C12" s="38" t="s">
        <v>41</v>
      </c>
      <c r="D12" s="161" t="s">
        <v>41</v>
      </c>
      <c r="E12" s="39" t="s">
        <v>32</v>
      </c>
      <c r="F12" s="145" t="n">
        <v>679.3</v>
      </c>
      <c r="G12" s="145" t="n">
        <v>0</v>
      </c>
      <c r="H12" s="145" t="n">
        <v>0</v>
      </c>
      <c r="I12" s="162" t="n">
        <f aca="false">H12/$H$19</f>
        <v>0</v>
      </c>
      <c r="J12" s="162" t="str">
        <f aca="false">IFERROR(H12/G12-1,"-")</f>
        <v>-</v>
      </c>
      <c r="K12" s="145" t="n">
        <f aca="false">H12-G12</f>
        <v>0</v>
      </c>
      <c r="M12" s="147" t="n">
        <f aca="false">VLOOKUP(C12,'תקציב  '!$B:$S,10,0)*1</f>
        <v>0</v>
      </c>
      <c r="N12" s="162" t="str">
        <f aca="false">IFERROR(H12/M12-1,"-")</f>
        <v>-</v>
      </c>
      <c r="O12" s="162" t="str">
        <f aca="false">IFERROR(H12/M12,"-")</f>
        <v>-</v>
      </c>
      <c r="P12" s="147" t="n">
        <f aca="false">H12-M12</f>
        <v>0</v>
      </c>
      <c r="R12" s="147" t="n">
        <v>5000</v>
      </c>
      <c r="S12" s="162" t="n">
        <f aca="false">IFERROR(H12/R12-1,"-")</f>
        <v>-1</v>
      </c>
      <c r="T12" s="162" t="n">
        <f aca="false">IFERROR(H12/R12,"-")</f>
        <v>0</v>
      </c>
      <c r="U12" s="147" t="n">
        <f aca="false">H12-R12</f>
        <v>-5000</v>
      </c>
      <c r="X12" s="145" t="n">
        <v>0</v>
      </c>
      <c r="Y12" s="5" t="n">
        <f aca="false">H12-X12</f>
        <v>0</v>
      </c>
      <c r="Z12" s="163" t="str">
        <f aca="false">IFERROR((H12/X12)-1,"-")</f>
        <v>-</v>
      </c>
    </row>
    <row r="13" customFormat="false" ht="14.25" hidden="false" customHeight="true" outlineLevel="1" collapsed="false">
      <c r="A13" s="164" t="n">
        <v>15</v>
      </c>
      <c r="B13" s="38" t="s">
        <v>138</v>
      </c>
      <c r="C13" s="38" t="s">
        <v>47</v>
      </c>
      <c r="D13" s="161" t="s">
        <v>47</v>
      </c>
      <c r="E13" s="39" t="s">
        <v>32</v>
      </c>
      <c r="F13" s="145" t="n">
        <v>0</v>
      </c>
      <c r="G13" s="145" t="n">
        <v>0</v>
      </c>
      <c r="H13" s="145" t="n">
        <v>0</v>
      </c>
      <c r="I13" s="162" t="n">
        <f aca="false">H13/$H$19</f>
        <v>0</v>
      </c>
      <c r="J13" s="162" t="str">
        <f aca="false">IFERROR(H13/G13-1,"-")</f>
        <v>-</v>
      </c>
      <c r="K13" s="145" t="n">
        <f aca="false">H13-G13</f>
        <v>0</v>
      </c>
      <c r="M13" s="147" t="n">
        <f aca="false">VLOOKUP(C13,'תקציב  '!$B:$S,10,0)*1</f>
        <v>0</v>
      </c>
      <c r="N13" s="162" t="str">
        <f aca="false">IFERROR(H13/M13-1,"-")</f>
        <v>-</v>
      </c>
      <c r="O13" s="162" t="str">
        <f aca="false">IFERROR(H13/M13,"-")</f>
        <v>-</v>
      </c>
      <c r="P13" s="147" t="n">
        <f aca="false">H13-M13</f>
        <v>0</v>
      </c>
      <c r="R13" s="147" t="n">
        <v>5000</v>
      </c>
      <c r="S13" s="162" t="n">
        <f aca="false">IFERROR(H13/R13-1,"-")</f>
        <v>-1</v>
      </c>
      <c r="T13" s="162" t="n">
        <f aca="false">IFERROR(H13/R13,"-")</f>
        <v>0</v>
      </c>
      <c r="U13" s="147" t="n">
        <f aca="false">H13-R13</f>
        <v>-5000</v>
      </c>
      <c r="X13" s="145" t="n">
        <v>0</v>
      </c>
      <c r="Y13" s="5" t="n">
        <f aca="false">H13-X13</f>
        <v>0</v>
      </c>
      <c r="Z13" s="163" t="str">
        <f aca="false">IFERROR((H13/X13)-1,"-")</f>
        <v>-</v>
      </c>
    </row>
    <row r="14" customFormat="false" ht="14.25" hidden="false" customHeight="true" outlineLevel="1" collapsed="false">
      <c r="A14" s="164" t="n">
        <v>13</v>
      </c>
      <c r="B14" s="38" t="s">
        <v>139</v>
      </c>
      <c r="C14" s="38" t="s">
        <v>43</v>
      </c>
      <c r="D14" s="161" t="s">
        <v>43</v>
      </c>
      <c r="E14" s="39" t="s">
        <v>32</v>
      </c>
      <c r="F14" s="145" t="n">
        <v>0</v>
      </c>
      <c r="G14" s="145" t="n">
        <v>651.15</v>
      </c>
      <c r="H14" s="145" t="n">
        <v>478.2</v>
      </c>
      <c r="I14" s="162" t="n">
        <f aca="false">H14/$H$19</f>
        <v>0.000284751816069316</v>
      </c>
      <c r="J14" s="162" t="n">
        <f aca="false">IFERROR(H14/G14-1,"-")</f>
        <v>-0.265607002994702</v>
      </c>
      <c r="K14" s="145" t="n">
        <f aca="false">H14-G14</f>
        <v>-172.95</v>
      </c>
      <c r="M14" s="147" t="n">
        <f aca="false">VLOOKUP(C14,'תקציב  '!$B:$S,10,0)*1</f>
        <v>50000</v>
      </c>
      <c r="N14" s="162" t="n">
        <f aca="false">IFERROR(H14/M14-1,"-")</f>
        <v>-0.990436</v>
      </c>
      <c r="O14" s="162" t="n">
        <f aca="false">IFERROR(H14/M14,"-")</f>
        <v>0.009564</v>
      </c>
      <c r="P14" s="147" t="n">
        <f aca="false">H14-M14</f>
        <v>-49521.8</v>
      </c>
      <c r="R14" s="147" t="n">
        <v>5000</v>
      </c>
      <c r="S14" s="162" t="n">
        <f aca="false">IFERROR(H14/R14-1,"-")</f>
        <v>-0.90436</v>
      </c>
      <c r="T14" s="162" t="n">
        <f aca="false">IFERROR(H14/R14,"-")</f>
        <v>0.09564</v>
      </c>
      <c r="U14" s="147" t="n">
        <f aca="false">H14-R14</f>
        <v>-4521.8</v>
      </c>
      <c r="X14" s="145" t="n">
        <v>478.2</v>
      </c>
      <c r="Y14" s="5" t="n">
        <f aca="false">H14-X14</f>
        <v>0</v>
      </c>
      <c r="Z14" s="163" t="n">
        <f aca="false">IFERROR((H14/X14)-1,"-")</f>
        <v>0</v>
      </c>
    </row>
    <row r="15" customFormat="false" ht="14.25" hidden="false" customHeight="true" outlineLevel="1" collapsed="false">
      <c r="A15" s="164" t="n">
        <v>9</v>
      </c>
      <c r="B15" s="38" t="s">
        <v>140</v>
      </c>
      <c r="C15" s="38" t="s">
        <v>44</v>
      </c>
      <c r="D15" s="161" t="s">
        <v>44</v>
      </c>
      <c r="E15" s="39" t="s">
        <v>32</v>
      </c>
      <c r="F15" s="145" t="n">
        <v>16671.18</v>
      </c>
      <c r="G15" s="145" t="n">
        <v>7828.72</v>
      </c>
      <c r="H15" s="145" t="n">
        <v>10025.73</v>
      </c>
      <c r="I15" s="162" t="n">
        <f aca="false">H15/$H$19</f>
        <v>0.00596998081330117</v>
      </c>
      <c r="J15" s="162" t="n">
        <f aca="false">IFERROR(H15/G15-1,"-")</f>
        <v>0.280634637590819</v>
      </c>
      <c r="K15" s="145" t="n">
        <f aca="false">H15-G15</f>
        <v>2197.01</v>
      </c>
      <c r="M15" s="147" t="n">
        <f aca="false">VLOOKUP(C15,'תקציב  '!$B:$S,10,0)*1</f>
        <v>17460.3174603175</v>
      </c>
      <c r="N15" s="162" t="n">
        <f aca="false">IFERROR(H15/M15-1,"-")</f>
        <v>-0.425799100000001</v>
      </c>
      <c r="O15" s="162" t="n">
        <f aca="false">IFERROR(H15/M15,"-")</f>
        <v>0.574200899999999</v>
      </c>
      <c r="P15" s="147" t="n">
        <f aca="false">H15-M15</f>
        <v>-7434.5874603175</v>
      </c>
      <c r="R15" s="147" t="n">
        <v>25000</v>
      </c>
      <c r="S15" s="162" t="n">
        <f aca="false">IFERROR(H15/R15-1,"-")</f>
        <v>-0.5989708</v>
      </c>
      <c r="T15" s="162" t="n">
        <f aca="false">IFERROR(H15/R15,"-")</f>
        <v>0.4010292</v>
      </c>
      <c r="U15" s="147" t="n">
        <f aca="false">H15-R15</f>
        <v>-14974.27</v>
      </c>
      <c r="X15" s="145" t="n">
        <v>10025.73</v>
      </c>
      <c r="Y15" s="5" t="n">
        <f aca="false">H15-X15</f>
        <v>0</v>
      </c>
      <c r="Z15" s="163" t="n">
        <f aca="false">IFERROR((H15/X15)-1,"-")</f>
        <v>0</v>
      </c>
    </row>
    <row r="16" s="174" customFormat="true" ht="15" hidden="false" customHeight="true" outlineLevel="0" collapsed="false">
      <c r="A16" s="168"/>
      <c r="B16" s="169"/>
      <c r="C16" s="169"/>
      <c r="D16" s="170" t="s">
        <v>115</v>
      </c>
      <c r="E16" s="171"/>
      <c r="F16" s="172" t="n">
        <f aca="false">SUM(F3:F15)+F50</f>
        <v>1504291.229</v>
      </c>
      <c r="G16" s="172" t="n">
        <f aca="false">SUM(G3:G15)+G50</f>
        <v>1382050.61000001</v>
      </c>
      <c r="H16" s="172" t="n">
        <f aca="false">SUM(H3:H15)+H50</f>
        <v>1279597.086</v>
      </c>
      <c r="I16" s="173" t="n">
        <f aca="false">H16/$H$19</f>
        <v>0.761956491165839</v>
      </c>
      <c r="J16" s="173" t="n">
        <f aca="false">IFERROR(H16/G16-1,"-")</f>
        <v>-0.0741315283671158</v>
      </c>
      <c r="K16" s="172" t="n">
        <f aca="false">SUM(K3:K15)+K50</f>
        <v>-102453.524000005</v>
      </c>
      <c r="M16" s="172" t="n">
        <f aca="false">SUM(M3:M15)+M50</f>
        <v>1832388.88888889</v>
      </c>
      <c r="N16" s="173" t="n">
        <f aca="false">IFERROR(H16/M16-1,"-")</f>
        <v>-0.301678211563533</v>
      </c>
      <c r="O16" s="173" t="n">
        <f aca="false">IFERROR(H16/M16,"-")</f>
        <v>0.698321788436467</v>
      </c>
      <c r="P16" s="172" t="n">
        <f aca="false">SUM(P3:P15)+P50</f>
        <v>-552791.802888889</v>
      </c>
      <c r="R16" s="172" t="n">
        <f aca="false">SUM(R3:R15)+R50</f>
        <v>1645000</v>
      </c>
      <c r="S16" s="173" t="n">
        <f aca="false">IFERROR(H16/R16-1,"-")</f>
        <v>-0.22212943100304</v>
      </c>
      <c r="T16" s="173" t="n">
        <f aca="false">IFERROR(H16/R16,"-")</f>
        <v>0.77787056899696</v>
      </c>
      <c r="U16" s="172" t="n">
        <f aca="false">H16-R16</f>
        <v>-365402.914</v>
      </c>
      <c r="X16" s="172" t="n">
        <f aca="false">SUM(X3:X15)+X50</f>
        <v>1263849.454</v>
      </c>
      <c r="Y16" s="175" t="n">
        <f aca="false">H16-X16</f>
        <v>15747.632</v>
      </c>
      <c r="Z16" s="176" t="n">
        <f aca="false">IFERROR((H16/X16)-1,"-")</f>
        <v>0.0124600536481301</v>
      </c>
    </row>
    <row r="17" customFormat="false" ht="14.25" hidden="false" customHeight="true" outlineLevel="1" collapsed="false">
      <c r="A17" s="164" t="n">
        <v>2</v>
      </c>
      <c r="B17" s="39" t="s">
        <v>141</v>
      </c>
      <c r="C17" s="39" t="s">
        <v>45</v>
      </c>
      <c r="D17" s="161" t="s">
        <v>45</v>
      </c>
      <c r="E17" s="39" t="s">
        <v>32</v>
      </c>
      <c r="F17" s="145" t="n">
        <v>56033.8100000001</v>
      </c>
      <c r="G17" s="145" t="n">
        <v>163496.619999998</v>
      </c>
      <c r="H17" s="145" t="n">
        <v>398018.329999997</v>
      </c>
      <c r="I17" s="162" t="n">
        <f aca="false">H17/$H$19</f>
        <v>0.237006361974854</v>
      </c>
      <c r="J17" s="162" t="n">
        <f aca="false">IFERROR(H17/G17-1,"-")</f>
        <v>1.43441320071327</v>
      </c>
      <c r="K17" s="145" t="n">
        <f aca="false">H17-G17</f>
        <v>234521.709999999</v>
      </c>
      <c r="M17" s="147" t="n">
        <f aca="false">VLOOKUP(C17,'תקציב  '!$B:$S,10,0)*1</f>
        <v>977100.847457627</v>
      </c>
      <c r="N17" s="162" t="n">
        <f aca="false">IFERROR(H17/M17-1,"-")</f>
        <v>-0.59265378692934</v>
      </c>
      <c r="O17" s="162" t="n">
        <f aca="false">IFERROR(H17/M17,"-")</f>
        <v>0.40734621307066</v>
      </c>
      <c r="P17" s="147" t="n">
        <f aca="false">H17-M17</f>
        <v>-579082.51745763</v>
      </c>
      <c r="R17" s="147" t="n">
        <v>450000</v>
      </c>
      <c r="S17" s="162" t="n">
        <f aca="false">IFERROR(H17/R17-1,"-")</f>
        <v>-0.115514822222229</v>
      </c>
      <c r="T17" s="162" t="n">
        <f aca="false">IFERROR(H17/R17,"-")</f>
        <v>0.884485177777771</v>
      </c>
      <c r="U17" s="147" t="n">
        <f aca="false">H17-R17</f>
        <v>-51981.670000003</v>
      </c>
      <c r="X17" s="145" t="n">
        <v>398018.329999997</v>
      </c>
      <c r="Y17" s="5" t="n">
        <f aca="false">H17-X17</f>
        <v>0</v>
      </c>
      <c r="Z17" s="163" t="n">
        <f aca="false">IFERROR((H17/X17)-1,"-")</f>
        <v>0</v>
      </c>
    </row>
    <row r="18" customFormat="false" ht="14.25" hidden="false" customHeight="true" outlineLevel="1" collapsed="false">
      <c r="A18" s="164" t="n">
        <v>12</v>
      </c>
      <c r="B18" s="39" t="s">
        <v>142</v>
      </c>
      <c r="C18" s="39" t="s">
        <v>46</v>
      </c>
      <c r="D18" s="161" t="s">
        <v>46</v>
      </c>
      <c r="E18" s="39" t="s">
        <v>32</v>
      </c>
      <c r="F18" s="145" t="n">
        <v>1788.03</v>
      </c>
      <c r="G18" s="145" t="n">
        <v>1318.12</v>
      </c>
      <c r="H18" s="145" t="n">
        <v>1741.74</v>
      </c>
      <c r="I18" s="162" t="n">
        <f aca="false">H18/$H$19</f>
        <v>0.00103714685930692</v>
      </c>
      <c r="J18" s="162" t="n">
        <f aca="false">IFERROR(H18/G18-1,"-")</f>
        <v>0.321381968257822</v>
      </c>
      <c r="K18" s="145" t="n">
        <f aca="false">H18-G18</f>
        <v>423.62</v>
      </c>
      <c r="M18" s="147" t="n">
        <f aca="false">VLOOKUP(C18,'תקציב  '!$B:$S,10,0)*1</f>
        <v>2536.92833333333</v>
      </c>
      <c r="N18" s="162" t="n">
        <f aca="false">IFERROR(H18/M18-1,"-")</f>
        <v>-0.313445327912954</v>
      </c>
      <c r="O18" s="162" t="n">
        <f aca="false">IFERROR(H18/M18,"-")</f>
        <v>0.686554672087046</v>
      </c>
      <c r="P18" s="147" t="n">
        <f aca="false">H18-M18</f>
        <v>-795.18833333333</v>
      </c>
      <c r="R18" s="147" t="n">
        <v>5000</v>
      </c>
      <c r="S18" s="162" t="n">
        <f aca="false">IFERROR(H18/R18-1,"-")</f>
        <v>-0.651652</v>
      </c>
      <c r="T18" s="162" t="n">
        <f aca="false">IFERROR(H18/R18,"-")</f>
        <v>0.348348</v>
      </c>
      <c r="U18" s="147" t="n">
        <f aca="false">H18-R18</f>
        <v>-3258.26</v>
      </c>
      <c r="X18" s="145" t="n">
        <v>1741.74</v>
      </c>
      <c r="Y18" s="5" t="n">
        <f aca="false">H18-X18</f>
        <v>0</v>
      </c>
      <c r="Z18" s="163" t="n">
        <f aca="false">IFERROR((H18/X18)-1,"-")</f>
        <v>0</v>
      </c>
    </row>
    <row r="19" s="174" customFormat="true" ht="15" hidden="false" customHeight="true" outlineLevel="0" collapsed="false">
      <c r="A19" s="165"/>
      <c r="B19" s="177"/>
      <c r="C19" s="177"/>
      <c r="D19" s="178" t="s">
        <v>48</v>
      </c>
      <c r="E19" s="179"/>
      <c r="F19" s="172" t="n">
        <f aca="false">F16+F17+F18</f>
        <v>1562113.069</v>
      </c>
      <c r="G19" s="172" t="n">
        <f aca="false">G16+G17+G18</f>
        <v>1546865.35</v>
      </c>
      <c r="H19" s="172" t="n">
        <f aca="false">H16+H17+H18</f>
        <v>1679357.156</v>
      </c>
      <c r="I19" s="173" t="n">
        <f aca="false">H19/$H$41</f>
        <v>0.76817283129015</v>
      </c>
      <c r="J19" s="173" t="n">
        <f aca="false">IFERROR(H19/G19-1,"-")</f>
        <v>0.0856518028540709</v>
      </c>
      <c r="K19" s="172" t="n">
        <f aca="false">K16+K17+K18</f>
        <v>132491.805999994</v>
      </c>
      <c r="M19" s="172" t="n">
        <f aca="false">M16+M17+M18</f>
        <v>2812026.66467985</v>
      </c>
      <c r="N19" s="173" t="n">
        <f aca="false">IFERROR(H19/M19-1,"-")</f>
        <v>-0.402794725564527</v>
      </c>
      <c r="O19" s="173" t="n">
        <f aca="false">IFERROR(H19/M19,"-")</f>
        <v>0.597205274435473</v>
      </c>
      <c r="P19" s="172" t="n">
        <f aca="false">P16+P17+P18</f>
        <v>-1132669.50867985</v>
      </c>
      <c r="R19" s="172" t="n">
        <f aca="false">R16+R17+R18</f>
        <v>2100000</v>
      </c>
      <c r="S19" s="173" t="n">
        <f aca="false">IFERROR(H19/R19-1,"-")</f>
        <v>-0.200306116190478</v>
      </c>
      <c r="T19" s="173" t="n">
        <f aca="false">IFERROR(H19/R19,"-")</f>
        <v>0.799693883809522</v>
      </c>
      <c r="U19" s="172" t="n">
        <f aca="false">H19-R19</f>
        <v>-420642.844000003</v>
      </c>
      <c r="X19" s="172" t="n">
        <f aca="false">X16+X17+X18</f>
        <v>1663609.524</v>
      </c>
      <c r="Y19" s="175" t="n">
        <f aca="false">H19-X19</f>
        <v>15747.632</v>
      </c>
      <c r="Z19" s="176" t="n">
        <f aca="false">IFERROR((H19/X19)-1,"-")</f>
        <v>0.00946594244191168</v>
      </c>
    </row>
    <row r="20" customFormat="false" ht="14.25" hidden="false" customHeight="true" outlineLevel="1" collapsed="false">
      <c r="A20" s="165" t="n">
        <v>50</v>
      </c>
      <c r="B20" s="180" t="s">
        <v>143</v>
      </c>
      <c r="C20" s="180" t="s">
        <v>49</v>
      </c>
      <c r="D20" s="167" t="s">
        <v>50</v>
      </c>
      <c r="E20" s="39" t="s">
        <v>51</v>
      </c>
      <c r="F20" s="145" t="n">
        <v>316462.25</v>
      </c>
      <c r="G20" s="145" t="n">
        <v>353503.85</v>
      </c>
      <c r="H20" s="145" t="n">
        <v>223994.55</v>
      </c>
      <c r="I20" s="162" t="n">
        <f aca="false">H20/$H$40</f>
        <v>0.44196613577021</v>
      </c>
      <c r="J20" s="162" t="n">
        <f aca="false">IFERROR(H20/G20-1,"-")</f>
        <v>-0.366358951960495</v>
      </c>
      <c r="K20" s="145" t="n">
        <f aca="false">H20-G20</f>
        <v>-129509.3</v>
      </c>
      <c r="M20" s="147" t="n">
        <f aca="false">VLOOKUP(C20,'תקציב  '!$B:$S,10,0)*1</f>
        <v>461212.916175</v>
      </c>
      <c r="N20" s="162" t="n">
        <f aca="false">IFERROR(H20/M20-1,"-")</f>
        <v>-0.5143359126677</v>
      </c>
      <c r="O20" s="162" t="n">
        <f aca="false">IFERROR(H20/M20,"-")</f>
        <v>0.4856640873323</v>
      </c>
      <c r="P20" s="147" t="n">
        <f aca="false">H20-M20</f>
        <v>-237218.366175</v>
      </c>
      <c r="R20" s="147" t="n">
        <v>265966.8</v>
      </c>
      <c r="S20" s="162" t="n">
        <f aca="false">IFERROR(H20/R20-1,"-")</f>
        <v>-0.157810110134047</v>
      </c>
      <c r="T20" s="162" t="n">
        <f aca="false">IFERROR(H20/R20,"-")</f>
        <v>0.842189889865953</v>
      </c>
      <c r="U20" s="147" t="n">
        <f aca="false">H20-R20</f>
        <v>-41972.25</v>
      </c>
      <c r="X20" s="145" t="n">
        <v>223994.55</v>
      </c>
      <c r="Y20" s="5" t="n">
        <f aca="false">H20-X20</f>
        <v>0</v>
      </c>
      <c r="Z20" s="163" t="n">
        <f aca="false">IFERROR((H20/X20)-1,"-")</f>
        <v>0</v>
      </c>
    </row>
    <row r="21" customFormat="false" ht="14.25" hidden="false" customHeight="true" outlineLevel="1" collapsed="false">
      <c r="A21" s="165" t="n">
        <v>20</v>
      </c>
      <c r="B21" s="180" t="s">
        <v>144</v>
      </c>
      <c r="C21" s="180" t="s">
        <v>52</v>
      </c>
      <c r="D21" s="167" t="s">
        <v>53</v>
      </c>
      <c r="E21" s="39" t="s">
        <v>54</v>
      </c>
      <c r="F21" s="145" t="n">
        <v>143527.77</v>
      </c>
      <c r="G21" s="145" t="n">
        <v>187405.66</v>
      </c>
      <c r="H21" s="145" t="n">
        <v>0</v>
      </c>
      <c r="I21" s="162" t="n">
        <f aca="false">H21/$H$40</f>
        <v>0</v>
      </c>
      <c r="J21" s="162" t="n">
        <f aca="false">IFERROR(H21/G21-1,"-")</f>
        <v>-1</v>
      </c>
      <c r="K21" s="145" t="n">
        <f aca="false">H21-G21</f>
        <v>-187405.66</v>
      </c>
      <c r="M21" s="147" t="n">
        <f aca="false">VLOOKUP(C21,'תקציב  '!$B:$S,10,0)*1</f>
        <v>205800</v>
      </c>
      <c r="N21" s="162" t="n">
        <f aca="false">IFERROR(H21/M21-1,"-")</f>
        <v>-1</v>
      </c>
      <c r="O21" s="162" t="n">
        <f aca="false">IFERROR(H21/M21,"-")</f>
        <v>0</v>
      </c>
      <c r="P21" s="147" t="n">
        <f aca="false">H21-M21</f>
        <v>-205800</v>
      </c>
      <c r="R21" s="147" t="n">
        <v>0</v>
      </c>
      <c r="S21" s="162" t="str">
        <f aca="false">IFERROR(H21/R21-1,"-")</f>
        <v>-</v>
      </c>
      <c r="T21" s="162" t="str">
        <f aca="false">IFERROR(H21/R21,"-")</f>
        <v>-</v>
      </c>
      <c r="U21" s="147" t="n">
        <f aca="false">H21-R21</f>
        <v>0</v>
      </c>
      <c r="X21" s="145" t="n">
        <v>0</v>
      </c>
      <c r="Y21" s="5" t="n">
        <f aca="false">H21-X21</f>
        <v>0</v>
      </c>
      <c r="Z21" s="163" t="str">
        <f aca="false">IFERROR((H21/X21)-1,"-")</f>
        <v>-</v>
      </c>
    </row>
    <row r="22" customFormat="false" ht="14.25" hidden="false" customHeight="true" outlineLevel="1" collapsed="false">
      <c r="A22" s="165" t="n">
        <v>21</v>
      </c>
      <c r="B22" s="180" t="s">
        <v>145</v>
      </c>
      <c r="C22" s="180" t="s">
        <v>55</v>
      </c>
      <c r="D22" s="167" t="s">
        <v>56</v>
      </c>
      <c r="E22" s="39" t="s">
        <v>57</v>
      </c>
      <c r="F22" s="145" t="n">
        <v>61466.82</v>
      </c>
      <c r="G22" s="145" t="n">
        <v>194396.85</v>
      </c>
      <c r="H22" s="145" t="n">
        <v>0</v>
      </c>
      <c r="I22" s="162" t="n">
        <f aca="false">H22/$H$40</f>
        <v>0</v>
      </c>
      <c r="J22" s="162" t="n">
        <f aca="false">IFERROR(H22/G22-1,"-")</f>
        <v>-1</v>
      </c>
      <c r="K22" s="145" t="n">
        <f aca="false">H22-G22</f>
        <v>-194396.85</v>
      </c>
      <c r="M22" s="147" t="n">
        <f aca="false">VLOOKUP(C22,'תקציב  '!$B:$S,10,0)*1</f>
        <v>13390</v>
      </c>
      <c r="N22" s="162" t="n">
        <f aca="false">IFERROR(H22/M22-1,"-")</f>
        <v>-1</v>
      </c>
      <c r="O22" s="162" t="n">
        <f aca="false">IFERROR(H22/M22,"-")</f>
        <v>0</v>
      </c>
      <c r="P22" s="147" t="n">
        <f aca="false">H22-M22</f>
        <v>-13390</v>
      </c>
      <c r="R22" s="147" t="n">
        <v>0</v>
      </c>
      <c r="S22" s="162" t="str">
        <f aca="false">IFERROR(H22/R22-1,"-")</f>
        <v>-</v>
      </c>
      <c r="T22" s="162" t="str">
        <f aca="false">IFERROR(H22/R22,"-")</f>
        <v>-</v>
      </c>
      <c r="U22" s="147" t="n">
        <f aca="false">H22-R22</f>
        <v>0</v>
      </c>
      <c r="X22" s="145" t="n">
        <v>0</v>
      </c>
      <c r="Y22" s="5" t="n">
        <f aca="false">H22-X22</f>
        <v>0</v>
      </c>
      <c r="Z22" s="163" t="str">
        <f aca="false">IFERROR((H22/X22)-1,"-")</f>
        <v>-</v>
      </c>
    </row>
    <row r="23" customFormat="false" ht="14.25" hidden="false" customHeight="true" outlineLevel="1" collapsed="false">
      <c r="A23" s="165" t="n">
        <v>22</v>
      </c>
      <c r="B23" s="180" t="s">
        <v>146</v>
      </c>
      <c r="C23" s="180" t="s">
        <v>58</v>
      </c>
      <c r="D23" s="167" t="s">
        <v>59</v>
      </c>
      <c r="E23" s="39" t="s">
        <v>60</v>
      </c>
      <c r="F23" s="145" t="n">
        <v>90587.54</v>
      </c>
      <c r="G23" s="145" t="n">
        <v>87907.48</v>
      </c>
      <c r="H23" s="145" t="n">
        <v>0</v>
      </c>
      <c r="I23" s="162" t="n">
        <f aca="false">H23/$H$40</f>
        <v>0</v>
      </c>
      <c r="J23" s="162" t="n">
        <f aca="false">IFERROR(H23/G23-1,"-")</f>
        <v>-1</v>
      </c>
      <c r="K23" s="145" t="n">
        <f aca="false">H23-G23</f>
        <v>-87907.48</v>
      </c>
      <c r="M23" s="147" t="n">
        <f aca="false">VLOOKUP(C23,'תקציב  '!$B:$S,10,0)*1</f>
        <v>85000</v>
      </c>
      <c r="N23" s="162" t="n">
        <f aca="false">IFERROR(H23/M23-1,"-")</f>
        <v>-1</v>
      </c>
      <c r="O23" s="162" t="n">
        <f aca="false">IFERROR(H23/M23,"-")</f>
        <v>0</v>
      </c>
      <c r="P23" s="147" t="n">
        <f aca="false">H23-M23</f>
        <v>-85000</v>
      </c>
      <c r="R23" s="147" t="n">
        <v>0</v>
      </c>
      <c r="S23" s="162" t="str">
        <f aca="false">IFERROR(H23/R23-1,"-")</f>
        <v>-</v>
      </c>
      <c r="T23" s="162" t="str">
        <f aca="false">IFERROR(H23/R23,"-")</f>
        <v>-</v>
      </c>
      <c r="U23" s="147" t="n">
        <f aca="false">H23-R23</f>
        <v>0</v>
      </c>
      <c r="X23" s="145" t="n">
        <v>0</v>
      </c>
      <c r="Y23" s="5" t="n">
        <f aca="false">H23-X23</f>
        <v>0</v>
      </c>
      <c r="Z23" s="163" t="str">
        <f aca="false">IFERROR((H23/X23)-1,"-")</f>
        <v>-</v>
      </c>
    </row>
    <row r="24" customFormat="false" ht="14.25" hidden="false" customHeight="true" outlineLevel="1" collapsed="false">
      <c r="A24" s="165" t="n">
        <v>23</v>
      </c>
      <c r="B24" s="180" t="s">
        <v>147</v>
      </c>
      <c r="C24" s="180" t="s">
        <v>61</v>
      </c>
      <c r="D24" s="167" t="s">
        <v>62</v>
      </c>
      <c r="E24" s="39" t="s">
        <v>63</v>
      </c>
      <c r="F24" s="145" t="n">
        <v>16222.13</v>
      </c>
      <c r="G24" s="145" t="n">
        <v>30796.16</v>
      </c>
      <c r="H24" s="145" t="n">
        <v>19451.36</v>
      </c>
      <c r="I24" s="162" t="n">
        <f aca="false">H24/$H$40</f>
        <v>0.0383796945714761</v>
      </c>
      <c r="J24" s="162" t="n">
        <f aca="false">IFERROR(H24/G24-1,"-")</f>
        <v>-0.368383590681436</v>
      </c>
      <c r="K24" s="145" t="n">
        <f aca="false">H24-G24</f>
        <v>-11344.8</v>
      </c>
      <c r="M24" s="147" t="n">
        <f aca="false">VLOOKUP(C24,'תקציב  '!$B:$S,10,0)*1</f>
        <v>17000</v>
      </c>
      <c r="N24" s="162" t="n">
        <f aca="false">IFERROR(H24/M24-1,"-")</f>
        <v>0.144197647058824</v>
      </c>
      <c r="O24" s="162" t="n">
        <f aca="false">IFERROR(H24/M24,"-")</f>
        <v>1.14419764705882</v>
      </c>
      <c r="P24" s="147" t="n">
        <f aca="false">H24-M24</f>
        <v>2451.36</v>
      </c>
      <c r="R24" s="147" t="n">
        <v>20000</v>
      </c>
      <c r="S24" s="162" t="n">
        <f aca="false">IFERROR(H24/R24-1,"-")</f>
        <v>-0.027432</v>
      </c>
      <c r="T24" s="162" t="n">
        <f aca="false">IFERROR(H24/R24,"-")</f>
        <v>0.972568</v>
      </c>
      <c r="U24" s="147" t="n">
        <f aca="false">H24-R24</f>
        <v>-548.639999999999</v>
      </c>
      <c r="X24" s="145" t="n">
        <v>19451.36</v>
      </c>
      <c r="Y24" s="5" t="n">
        <f aca="false">H24-X24</f>
        <v>0</v>
      </c>
      <c r="Z24" s="163" t="n">
        <f aca="false">IFERROR((H24/X24)-1,"-")</f>
        <v>0</v>
      </c>
    </row>
    <row r="25" customFormat="false" ht="14.25" hidden="false" customHeight="true" outlineLevel="1" collapsed="false">
      <c r="A25" s="165" t="n">
        <v>24</v>
      </c>
      <c r="B25" s="180" t="s">
        <v>148</v>
      </c>
      <c r="C25" s="180" t="s">
        <v>64</v>
      </c>
      <c r="D25" s="167" t="s">
        <v>65</v>
      </c>
      <c r="E25" s="39" t="s">
        <v>66</v>
      </c>
      <c r="F25" s="145" t="n">
        <v>0</v>
      </c>
      <c r="G25" s="145" t="n">
        <v>0</v>
      </c>
      <c r="H25" s="145" t="n">
        <v>0</v>
      </c>
      <c r="I25" s="162" t="n">
        <f aca="false">H25/$H$40</f>
        <v>0</v>
      </c>
      <c r="J25" s="162" t="str">
        <f aca="false">IFERROR(H25/G25-1,"-")</f>
        <v>-</v>
      </c>
      <c r="K25" s="145" t="n">
        <f aca="false">H25-G25</f>
        <v>0</v>
      </c>
      <c r="M25" s="147" t="n">
        <f aca="false">VLOOKUP(C25,'תקציב  '!$B:$S,10,0)*1</f>
        <v>5000</v>
      </c>
      <c r="N25" s="162" t="n">
        <f aca="false">IFERROR(H25/M25-1,"-")</f>
        <v>-1</v>
      </c>
      <c r="O25" s="162" t="n">
        <f aca="false">IFERROR(H25/M25,"-")</f>
        <v>0</v>
      </c>
      <c r="P25" s="147" t="n">
        <f aca="false">H25-M25</f>
        <v>-5000</v>
      </c>
      <c r="R25" s="147" t="n">
        <v>0</v>
      </c>
      <c r="S25" s="162" t="str">
        <f aca="false">IFERROR(H25/R25-1,"-")</f>
        <v>-</v>
      </c>
      <c r="T25" s="162" t="str">
        <f aca="false">IFERROR(H25/R25,"-")</f>
        <v>-</v>
      </c>
      <c r="U25" s="147" t="n">
        <f aca="false">H25-R25</f>
        <v>0</v>
      </c>
      <c r="X25" s="145" t="n">
        <v>0</v>
      </c>
      <c r="Y25" s="5" t="n">
        <f aca="false">H25-X25</f>
        <v>0</v>
      </c>
      <c r="Z25" s="163" t="str">
        <f aca="false">IFERROR((H25/X25)-1,"-")</f>
        <v>-</v>
      </c>
    </row>
    <row r="26" customFormat="false" ht="13.5" hidden="false" customHeight="true" outlineLevel="1" collapsed="false">
      <c r="A26" s="165" t="n">
        <v>25</v>
      </c>
      <c r="B26" s="180" t="s">
        <v>149</v>
      </c>
      <c r="C26" s="180" t="s">
        <v>67</v>
      </c>
      <c r="D26" s="167" t="s">
        <v>68</v>
      </c>
      <c r="E26" s="39" t="s">
        <v>69</v>
      </c>
      <c r="F26" s="145" t="n">
        <v>0</v>
      </c>
      <c r="G26" s="145" t="n">
        <v>0</v>
      </c>
      <c r="H26" s="145" t="n">
        <v>221407.78</v>
      </c>
      <c r="I26" s="162" t="n">
        <f aca="false">H26/$H$40</f>
        <v>0.436862151137431</v>
      </c>
      <c r="J26" s="162" t="str">
        <f aca="false">IFERROR(H26/G26-1,"-")</f>
        <v>-</v>
      </c>
      <c r="K26" s="145" t="n">
        <f aca="false">H26-G26</f>
        <v>221407.78</v>
      </c>
      <c r="M26" s="147" t="n">
        <f aca="false">VLOOKUP(C26,'תקציב  '!$B:$S,10,0)*1</f>
        <v>150000</v>
      </c>
      <c r="N26" s="162" t="n">
        <f aca="false">IFERROR(H26/M26-1,"-")</f>
        <v>0.476051866666667</v>
      </c>
      <c r="O26" s="162" t="n">
        <f aca="false">IFERROR(H26/M26,"-")</f>
        <v>1.47605186666667</v>
      </c>
      <c r="P26" s="147" t="n">
        <f aca="false">H26-M26</f>
        <v>71407.78</v>
      </c>
      <c r="R26" s="147" t="n">
        <v>240000</v>
      </c>
      <c r="S26" s="162" t="n">
        <f aca="false">IFERROR(H26/R26-1,"-")</f>
        <v>-0.0774675833333334</v>
      </c>
      <c r="T26" s="162" t="n">
        <f aca="false">IFERROR(H26/R26,"-")</f>
        <v>0.922532416666667</v>
      </c>
      <c r="U26" s="147" t="n">
        <f aca="false">H26-R26</f>
        <v>-18592.22</v>
      </c>
      <c r="X26" s="145" t="n">
        <v>221407.78</v>
      </c>
      <c r="Y26" s="5" t="n">
        <f aca="false">H26-X26</f>
        <v>0</v>
      </c>
      <c r="Z26" s="163" t="n">
        <f aca="false">IFERROR((H26/X26)-1,"-")</f>
        <v>0</v>
      </c>
    </row>
    <row r="27" customFormat="false" ht="14.25" hidden="false" customHeight="true" outlineLevel="1" collapsed="false">
      <c r="A27" s="165" t="n">
        <v>26</v>
      </c>
      <c r="B27" s="180" t="s">
        <v>150</v>
      </c>
      <c r="C27" s="180" t="s">
        <v>70</v>
      </c>
      <c r="D27" s="167" t="s">
        <v>71</v>
      </c>
      <c r="E27" s="39" t="s">
        <v>72</v>
      </c>
      <c r="F27" s="145" t="n">
        <v>609.99</v>
      </c>
      <c r="G27" s="145" t="n">
        <v>31010.8</v>
      </c>
      <c r="H27" s="145" t="n">
        <v>0</v>
      </c>
      <c r="I27" s="162" t="n">
        <f aca="false">H27/$H$40</f>
        <v>0</v>
      </c>
      <c r="J27" s="162" t="n">
        <f aca="false">IFERROR(H27/G27-1,"-")</f>
        <v>-1</v>
      </c>
      <c r="K27" s="145" t="n">
        <f aca="false">H27-G27</f>
        <v>-31010.8</v>
      </c>
      <c r="M27" s="147" t="n">
        <f aca="false">VLOOKUP(C27,'תקציב  '!$B:$S,10,0)*1</f>
        <v>0</v>
      </c>
      <c r="N27" s="162" t="str">
        <f aca="false">IFERROR(H27/M27-1,"-")</f>
        <v>-</v>
      </c>
      <c r="O27" s="162" t="str">
        <f aca="false">IFERROR(H27/M27,"-")</f>
        <v>-</v>
      </c>
      <c r="P27" s="147" t="n">
        <f aca="false">H27-M27</f>
        <v>0</v>
      </c>
      <c r="R27" s="147" t="n">
        <v>0</v>
      </c>
      <c r="S27" s="162" t="str">
        <f aca="false">IFERROR(H27/R27-1,"-")</f>
        <v>-</v>
      </c>
      <c r="T27" s="162" t="str">
        <f aca="false">IFERROR(H27/R27,"-")</f>
        <v>-</v>
      </c>
      <c r="U27" s="147" t="n">
        <f aca="false">H27-R27</f>
        <v>0</v>
      </c>
      <c r="X27" s="145" t="n">
        <v>0</v>
      </c>
      <c r="Y27" s="5" t="n">
        <f aca="false">H27-X27</f>
        <v>0</v>
      </c>
      <c r="Z27" s="163" t="str">
        <f aca="false">IFERROR((H27/X27)-1,"-")</f>
        <v>-</v>
      </c>
    </row>
    <row r="28" customFormat="false" ht="13.5" hidden="false" customHeight="true" outlineLevel="1" collapsed="false">
      <c r="A28" s="165" t="n">
        <v>27</v>
      </c>
      <c r="B28" s="180" t="s">
        <v>151</v>
      </c>
      <c r="C28" s="180" t="s">
        <v>73</v>
      </c>
      <c r="D28" s="167" t="s">
        <v>74</v>
      </c>
      <c r="E28" s="39" t="s">
        <v>75</v>
      </c>
      <c r="F28" s="145" t="n">
        <v>0</v>
      </c>
      <c r="G28" s="145" t="n">
        <v>0</v>
      </c>
      <c r="H28" s="145" t="n">
        <v>0</v>
      </c>
      <c r="I28" s="162" t="n">
        <f aca="false">H28/$H$40</f>
        <v>0</v>
      </c>
      <c r="J28" s="162" t="str">
        <f aca="false">IFERROR(H28/G28-1,"-")</f>
        <v>-</v>
      </c>
      <c r="K28" s="145" t="n">
        <f aca="false">H28-G28</f>
        <v>0</v>
      </c>
      <c r="M28" s="147" t="n">
        <f aca="false">VLOOKUP(C28,'תקציב  '!$B:$S,10,0)*1</f>
        <v>0</v>
      </c>
      <c r="N28" s="162" t="str">
        <f aca="false">IFERROR(H28/M28-1,"-")</f>
        <v>-</v>
      </c>
      <c r="O28" s="162" t="str">
        <f aca="false">IFERROR(H28/M28,"-")</f>
        <v>-</v>
      </c>
      <c r="P28" s="147" t="n">
        <f aca="false">H28-M28</f>
        <v>0</v>
      </c>
      <c r="R28" s="147" t="n">
        <v>0</v>
      </c>
      <c r="S28" s="162" t="str">
        <f aca="false">IFERROR(H28/R28-1,"-")</f>
        <v>-</v>
      </c>
      <c r="T28" s="162" t="str">
        <f aca="false">IFERROR(H28/R28,"-")</f>
        <v>-</v>
      </c>
      <c r="U28" s="147" t="n">
        <f aca="false">H28-R28</f>
        <v>0</v>
      </c>
      <c r="X28" s="145" t="n">
        <v>0</v>
      </c>
      <c r="Y28" s="5" t="n">
        <f aca="false">H28-X28</f>
        <v>0</v>
      </c>
      <c r="Z28" s="163" t="str">
        <f aca="false">IFERROR((H28/X28)-1,"-")</f>
        <v>-</v>
      </c>
    </row>
    <row r="29" customFormat="false" ht="13.5" hidden="false" customHeight="true" outlineLevel="1" collapsed="false">
      <c r="A29" s="165" t="n">
        <v>28</v>
      </c>
      <c r="B29" s="180" t="s">
        <v>152</v>
      </c>
      <c r="C29" s="180" t="s">
        <v>76</v>
      </c>
      <c r="D29" s="167" t="s">
        <v>77</v>
      </c>
      <c r="E29" s="39" t="s">
        <v>78</v>
      </c>
      <c r="F29" s="145" t="n">
        <v>27604.14</v>
      </c>
      <c r="G29" s="145" t="n">
        <v>56344.52</v>
      </c>
      <c r="H29" s="145" t="n">
        <v>41960.14</v>
      </c>
      <c r="I29" s="162" t="n">
        <f aca="false">H29/$H$40</f>
        <v>0.0827920185208837</v>
      </c>
      <c r="J29" s="162" t="n">
        <f aca="false">IFERROR(H29/G29-1,"-")</f>
        <v>-0.255293327549866</v>
      </c>
      <c r="K29" s="145" t="n">
        <f aca="false">H29-G29</f>
        <v>-14384.38</v>
      </c>
      <c r="M29" s="147" t="n">
        <f aca="false">VLOOKUP(C29,'תקציב  '!$B:$S,10,0)*1</f>
        <v>39765.076</v>
      </c>
      <c r="N29" s="162" t="n">
        <f aca="false">IFERROR(H29/M29-1,"-")</f>
        <v>0.0552007998174076</v>
      </c>
      <c r="O29" s="162" t="n">
        <f aca="false">IFERROR(H29/M29,"-")</f>
        <v>1.05520079981741</v>
      </c>
      <c r="P29" s="147" t="n">
        <f aca="false">H29-M29</f>
        <v>2195.064</v>
      </c>
      <c r="R29" s="147" t="n">
        <v>40000</v>
      </c>
      <c r="S29" s="162" t="n">
        <f aca="false">IFERROR(H29/R29-1,"-")</f>
        <v>0.0490035</v>
      </c>
      <c r="T29" s="162" t="n">
        <f aca="false">IFERROR(H29/R29,"-")</f>
        <v>1.0490035</v>
      </c>
      <c r="U29" s="147" t="n">
        <f aca="false">H29-R29</f>
        <v>1960.14</v>
      </c>
      <c r="X29" s="145" t="n">
        <v>41960.14</v>
      </c>
      <c r="Y29" s="5" t="n">
        <f aca="false">H29-X29</f>
        <v>0</v>
      </c>
      <c r="Z29" s="163" t="n">
        <f aca="false">IFERROR((H29/X29)-1,"-")</f>
        <v>0</v>
      </c>
    </row>
    <row r="30" customFormat="false" ht="14.25" hidden="false" customHeight="true" outlineLevel="1" collapsed="false">
      <c r="A30" s="165" t="n">
        <v>29</v>
      </c>
      <c r="B30" s="180" t="s">
        <v>153</v>
      </c>
      <c r="C30" s="180" t="s">
        <v>79</v>
      </c>
      <c r="D30" s="167" t="s">
        <v>80</v>
      </c>
      <c r="E30" s="39" t="s">
        <v>81</v>
      </c>
      <c r="F30" s="145" t="n">
        <v>0</v>
      </c>
      <c r="G30" s="145" t="n">
        <v>0</v>
      </c>
      <c r="H30" s="145" t="n">
        <v>0</v>
      </c>
      <c r="I30" s="162" t="n">
        <f aca="false">H30/$H$40</f>
        <v>0</v>
      </c>
      <c r="J30" s="162" t="str">
        <f aca="false">IFERROR(H30/G30-1,"-")</f>
        <v>-</v>
      </c>
      <c r="K30" s="145" t="n">
        <f aca="false">H30-G30</f>
        <v>0</v>
      </c>
      <c r="M30" s="147" t="n">
        <f aca="false">VLOOKUP(C30,'תקציב  '!$B:$S,10,0)*1</f>
        <v>0</v>
      </c>
      <c r="N30" s="162" t="str">
        <f aca="false">IFERROR(H30/M30-1,"-")</f>
        <v>-</v>
      </c>
      <c r="O30" s="162" t="str">
        <f aca="false">IFERROR(H30/M30,"-")</f>
        <v>-</v>
      </c>
      <c r="P30" s="147" t="n">
        <f aca="false">H30-M30</f>
        <v>0</v>
      </c>
      <c r="R30" s="147" t="n">
        <v>0</v>
      </c>
      <c r="S30" s="162" t="str">
        <f aca="false">IFERROR(H30/R30-1,"-")</f>
        <v>-</v>
      </c>
      <c r="T30" s="162" t="str">
        <f aca="false">IFERROR(H30/R30,"-")</f>
        <v>-</v>
      </c>
      <c r="U30" s="147" t="n">
        <f aca="false">H30-R30</f>
        <v>0</v>
      </c>
      <c r="X30" s="145" t="n">
        <v>0</v>
      </c>
      <c r="Y30" s="5" t="n">
        <f aca="false">H30-X30</f>
        <v>0</v>
      </c>
      <c r="Z30" s="163" t="str">
        <f aca="false">IFERROR((H30/X30)-1,"-")</f>
        <v>-</v>
      </c>
    </row>
    <row r="31" customFormat="false" ht="14.25" hidden="false" customHeight="true" outlineLevel="1" collapsed="false">
      <c r="A31" s="165" t="n">
        <v>30</v>
      </c>
      <c r="B31" s="180" t="s">
        <v>154</v>
      </c>
      <c r="C31" s="180" t="s">
        <v>82</v>
      </c>
      <c r="D31" s="167" t="s">
        <v>83</v>
      </c>
      <c r="E31" s="39" t="s">
        <v>81</v>
      </c>
      <c r="F31" s="145" t="n">
        <v>0</v>
      </c>
      <c r="G31" s="145" t="n">
        <v>0</v>
      </c>
      <c r="H31" s="145" t="n">
        <v>0</v>
      </c>
      <c r="I31" s="162" t="n">
        <f aca="false">H31/$H$40</f>
        <v>0</v>
      </c>
      <c r="J31" s="162" t="str">
        <f aca="false">IFERROR(H31/G31-1,"-")</f>
        <v>-</v>
      </c>
      <c r="K31" s="145" t="n">
        <f aca="false">H31-G31</f>
        <v>0</v>
      </c>
      <c r="M31" s="147" t="n">
        <f aca="false">VLOOKUP(C31,'תקציב  '!$B:$S,10,0)*1</f>
        <v>20000</v>
      </c>
      <c r="N31" s="162" t="n">
        <f aca="false">IFERROR(H31/M31-1,"-")</f>
        <v>-1</v>
      </c>
      <c r="O31" s="162" t="n">
        <f aca="false">IFERROR(H31/M31,"-")</f>
        <v>0</v>
      </c>
      <c r="P31" s="147" t="n">
        <f aca="false">H31-M31</f>
        <v>-20000</v>
      </c>
      <c r="R31" s="147" t="n">
        <v>0</v>
      </c>
      <c r="S31" s="162" t="str">
        <f aca="false">IFERROR(H31/R31-1,"-")</f>
        <v>-</v>
      </c>
      <c r="T31" s="162" t="str">
        <f aca="false">IFERROR(H31/R31,"-")</f>
        <v>-</v>
      </c>
      <c r="U31" s="147" t="n">
        <f aca="false">H31-R31</f>
        <v>0</v>
      </c>
      <c r="X31" s="145" t="n">
        <v>0</v>
      </c>
      <c r="Y31" s="5" t="n">
        <f aca="false">H31-X31</f>
        <v>0</v>
      </c>
      <c r="Z31" s="163" t="str">
        <f aca="false">IFERROR((H31/X31)-1,"-")</f>
        <v>-</v>
      </c>
    </row>
    <row r="32" customFormat="false" ht="13.5" hidden="false" customHeight="true" outlineLevel="1" collapsed="false">
      <c r="A32" s="165" t="n">
        <v>31</v>
      </c>
      <c r="B32" s="180" t="s">
        <v>84</v>
      </c>
      <c r="C32" s="180" t="s">
        <v>84</v>
      </c>
      <c r="D32" s="167" t="s">
        <v>85</v>
      </c>
      <c r="E32" s="39" t="s">
        <v>86</v>
      </c>
      <c r="F32" s="145" t="n">
        <v>0</v>
      </c>
      <c r="G32" s="145" t="n">
        <v>15559.58</v>
      </c>
      <c r="H32" s="145" t="n">
        <v>0</v>
      </c>
      <c r="I32" s="162" t="n">
        <f aca="false">H32/$H$40</f>
        <v>0</v>
      </c>
      <c r="J32" s="162" t="n">
        <f aca="false">IFERROR(H32/G32-1,"-")</f>
        <v>-1</v>
      </c>
      <c r="K32" s="145" t="n">
        <f aca="false">H32-G32</f>
        <v>-15559.58</v>
      </c>
      <c r="M32" s="147" t="n">
        <f aca="false">VLOOKUP(C32,'תקציב  '!$B:$S,10,0)*1</f>
        <v>18000</v>
      </c>
      <c r="N32" s="162" t="n">
        <f aca="false">IFERROR(H32/M32-1,"-")</f>
        <v>-1</v>
      </c>
      <c r="O32" s="162" t="n">
        <f aca="false">IFERROR(H32/M32,"-")</f>
        <v>0</v>
      </c>
      <c r="P32" s="147" t="n">
        <f aca="false">H32-M32</f>
        <v>-18000</v>
      </c>
      <c r="R32" s="147" t="n">
        <v>0</v>
      </c>
      <c r="S32" s="162" t="str">
        <f aca="false">IFERROR(H32/R32-1,"-")</f>
        <v>-</v>
      </c>
      <c r="T32" s="162" t="str">
        <f aca="false">IFERROR(H32/R32,"-")</f>
        <v>-</v>
      </c>
      <c r="U32" s="147" t="n">
        <f aca="false">H32-R32</f>
        <v>0</v>
      </c>
      <c r="X32" s="145" t="n">
        <v>0</v>
      </c>
      <c r="Y32" s="5" t="n">
        <f aca="false">H32-X32</f>
        <v>0</v>
      </c>
      <c r="Z32" s="163" t="str">
        <f aca="false">IFERROR((H32/X32)-1,"-")</f>
        <v>-</v>
      </c>
    </row>
    <row r="33" customFormat="false" ht="13.5" hidden="false" customHeight="true" outlineLevel="1" collapsed="false">
      <c r="A33" s="165"/>
      <c r="B33" s="180"/>
      <c r="C33" s="180"/>
      <c r="D33" s="167" t="s">
        <v>155</v>
      </c>
      <c r="E33" s="39" t="s">
        <v>156</v>
      </c>
      <c r="F33" s="145"/>
      <c r="G33" s="145"/>
      <c r="H33" s="145" t="n">
        <v>0</v>
      </c>
      <c r="I33" s="162" t="n">
        <f aca="false">H33/$H$40</f>
        <v>0</v>
      </c>
      <c r="J33" s="162" t="str">
        <f aca="false">IFERROR(H33/G33-1,"-")</f>
        <v>-</v>
      </c>
      <c r="K33" s="145" t="n">
        <f aca="false">H33-G33</f>
        <v>0</v>
      </c>
      <c r="M33" s="147"/>
      <c r="N33" s="162" t="str">
        <f aca="false">IFERROR(H33/M33-1,"-")</f>
        <v>-</v>
      </c>
      <c r="O33" s="162" t="str">
        <f aca="false">IFERROR(H33/M33,"-")</f>
        <v>-</v>
      </c>
      <c r="P33" s="147" t="n">
        <f aca="false">H33-M33</f>
        <v>0</v>
      </c>
      <c r="R33" s="147" t="n">
        <v>0</v>
      </c>
      <c r="S33" s="162" t="str">
        <f aca="false">IFERROR(H33/R33-1,"-")</f>
        <v>-</v>
      </c>
      <c r="T33" s="162" t="str">
        <f aca="false">IFERROR(H33/R33,"-")</f>
        <v>-</v>
      </c>
      <c r="U33" s="147" t="n">
        <f aca="false">H33-R33</f>
        <v>0</v>
      </c>
      <c r="X33" s="145" t="n">
        <v>0</v>
      </c>
      <c r="Y33" s="5" t="n">
        <f aca="false">H33-X33</f>
        <v>0</v>
      </c>
      <c r="Z33" s="163" t="str">
        <f aca="false">IFERROR((H33/X33)-1,"-")</f>
        <v>-</v>
      </c>
    </row>
    <row r="34" customFormat="false" ht="13.5" hidden="false" customHeight="true" outlineLevel="1" collapsed="false">
      <c r="A34" s="165" t="n">
        <v>32</v>
      </c>
      <c r="B34" s="180" t="s">
        <v>157</v>
      </c>
      <c r="C34" s="180" t="s">
        <v>87</v>
      </c>
      <c r="D34" s="167" t="s">
        <v>88</v>
      </c>
      <c r="E34" s="39" t="s">
        <v>89</v>
      </c>
      <c r="F34" s="145" t="n">
        <v>13897.42</v>
      </c>
      <c r="G34" s="145" t="n">
        <v>0</v>
      </c>
      <c r="H34" s="145" t="n">
        <v>0</v>
      </c>
      <c r="I34" s="162" t="n">
        <f aca="false">H34/$H$40</f>
        <v>0</v>
      </c>
      <c r="J34" s="162" t="str">
        <f aca="false">IFERROR(H34/G34-1,"-")</f>
        <v>-</v>
      </c>
      <c r="K34" s="145" t="n">
        <f aca="false">H34-G34</f>
        <v>0</v>
      </c>
      <c r="M34" s="147" t="n">
        <f aca="false">VLOOKUP(C34,'תקציב  '!$B:$S,10,0)*1</f>
        <v>0</v>
      </c>
      <c r="N34" s="162" t="str">
        <f aca="false">IFERROR(H34/M34-1,"-")</f>
        <v>-</v>
      </c>
      <c r="O34" s="162" t="str">
        <f aca="false">IFERROR(H34/M34,"-")</f>
        <v>-</v>
      </c>
      <c r="P34" s="147" t="n">
        <f aca="false">H34-M34</f>
        <v>0</v>
      </c>
      <c r="R34" s="147" t="n">
        <v>0</v>
      </c>
      <c r="S34" s="162" t="str">
        <f aca="false">IFERROR(H34/R34-1,"-")</f>
        <v>-</v>
      </c>
      <c r="T34" s="162" t="str">
        <f aca="false">IFERROR(H34/R34,"-")</f>
        <v>-</v>
      </c>
      <c r="U34" s="147" t="n">
        <f aca="false">H34-R34</f>
        <v>0</v>
      </c>
      <c r="X34" s="145" t="n">
        <v>0</v>
      </c>
      <c r="Y34" s="5" t="n">
        <f aca="false">H34-X34</f>
        <v>0</v>
      </c>
      <c r="Z34" s="163" t="str">
        <f aca="false">IFERROR((H34/X34)-1,"-")</f>
        <v>-</v>
      </c>
    </row>
    <row r="35" customFormat="false" ht="13.5" hidden="false" customHeight="true" outlineLevel="1" collapsed="false">
      <c r="A35" s="165" t="n">
        <v>33</v>
      </c>
      <c r="B35" s="180" t="s">
        <v>158</v>
      </c>
      <c r="C35" s="180" t="s">
        <v>90</v>
      </c>
      <c r="D35" s="167" t="s">
        <v>91</v>
      </c>
      <c r="E35" s="39" t="s">
        <v>92</v>
      </c>
      <c r="F35" s="145" t="n">
        <v>0</v>
      </c>
      <c r="G35" s="145" t="n">
        <v>0</v>
      </c>
      <c r="H35" s="145" t="n">
        <v>0</v>
      </c>
      <c r="I35" s="162" t="n">
        <f aca="false">H35/$H$40</f>
        <v>0</v>
      </c>
      <c r="J35" s="162" t="str">
        <f aca="false">IFERROR(H35/G35-1,"-")</f>
        <v>-</v>
      </c>
      <c r="K35" s="145" t="n">
        <f aca="false">H35-G35</f>
        <v>0</v>
      </c>
      <c r="M35" s="147" t="n">
        <f aca="false">VLOOKUP(C35,'תקציב  '!$B:$S,10,0)*1</f>
        <v>0</v>
      </c>
      <c r="N35" s="162" t="str">
        <f aca="false">IFERROR(H35/M35-1,"-")</f>
        <v>-</v>
      </c>
      <c r="O35" s="162" t="str">
        <f aca="false">IFERROR(H35/M35,"-")</f>
        <v>-</v>
      </c>
      <c r="P35" s="147" t="n">
        <f aca="false">H35-M35</f>
        <v>0</v>
      </c>
      <c r="R35" s="147" t="n">
        <v>0</v>
      </c>
      <c r="S35" s="162" t="str">
        <f aca="false">IFERROR(H35/R35-1,"-")</f>
        <v>-</v>
      </c>
      <c r="T35" s="162" t="str">
        <f aca="false">IFERROR(H35/R35,"-")</f>
        <v>-</v>
      </c>
      <c r="U35" s="147" t="n">
        <f aca="false">H35-R35</f>
        <v>0</v>
      </c>
      <c r="X35" s="145" t="n">
        <v>0</v>
      </c>
      <c r="Y35" s="5" t="n">
        <f aca="false">H35-X35</f>
        <v>0</v>
      </c>
      <c r="Z35" s="163" t="str">
        <f aca="false">IFERROR((H35/X35)-1,"-")</f>
        <v>-</v>
      </c>
    </row>
    <row r="36" customFormat="false" ht="14.25" hidden="false" customHeight="true" outlineLevel="1" collapsed="false">
      <c r="A36" s="165"/>
      <c r="B36" s="180" t="s">
        <v>159</v>
      </c>
      <c r="C36" s="180" t="s">
        <v>159</v>
      </c>
      <c r="D36" s="167" t="s">
        <v>160</v>
      </c>
      <c r="E36" s="39" t="s">
        <v>78</v>
      </c>
      <c r="F36" s="145" t="n">
        <v>0</v>
      </c>
      <c r="G36" s="145" t="n">
        <v>0</v>
      </c>
      <c r="H36" s="145" t="n">
        <v>0</v>
      </c>
      <c r="I36" s="162" t="n">
        <f aca="false">H36/$H$40</f>
        <v>0</v>
      </c>
      <c r="J36" s="162" t="str">
        <f aca="false">IFERROR(H36/G36-1,"-")</f>
        <v>-</v>
      </c>
      <c r="K36" s="145" t="n">
        <f aca="false">H36-G36</f>
        <v>0</v>
      </c>
      <c r="M36" s="147"/>
      <c r="N36" s="162" t="str">
        <f aca="false">IFERROR(H36/M36-1,"-")</f>
        <v>-</v>
      </c>
      <c r="O36" s="162" t="str">
        <f aca="false">IFERROR(H36/M36,"-")</f>
        <v>-</v>
      </c>
      <c r="P36" s="147" t="n">
        <f aca="false">H36-M36</f>
        <v>0</v>
      </c>
      <c r="R36" s="147" t="n">
        <v>0</v>
      </c>
      <c r="S36" s="162" t="str">
        <f aca="false">IFERROR(H36/R36-1,"-")</f>
        <v>-</v>
      </c>
      <c r="T36" s="162" t="str">
        <f aca="false">IFERROR(H36/R36,"-")</f>
        <v>-</v>
      </c>
      <c r="U36" s="147" t="n">
        <f aca="false">H36-R36</f>
        <v>0</v>
      </c>
      <c r="X36" s="145" t="n">
        <v>0</v>
      </c>
      <c r="Y36" s="5" t="n">
        <f aca="false">H36-X36</f>
        <v>0</v>
      </c>
      <c r="Z36" s="163" t="str">
        <f aca="false">IFERROR((H36/X36)-1,"-")</f>
        <v>-</v>
      </c>
    </row>
    <row r="37" customFormat="false" ht="14.25" hidden="false" customHeight="true" outlineLevel="1" collapsed="false">
      <c r="A37" s="165" t="n">
        <v>34</v>
      </c>
      <c r="B37" s="180" t="s">
        <v>161</v>
      </c>
      <c r="C37" s="180" t="s">
        <v>161</v>
      </c>
      <c r="D37" s="167" t="s">
        <v>93</v>
      </c>
      <c r="E37" s="39" t="s">
        <v>162</v>
      </c>
      <c r="F37" s="145" t="n">
        <v>0</v>
      </c>
      <c r="G37" s="145" t="n">
        <v>0</v>
      </c>
      <c r="H37" s="145" t="n">
        <v>0</v>
      </c>
      <c r="I37" s="162" t="n">
        <f aca="false">H37/$H$40</f>
        <v>0</v>
      </c>
      <c r="J37" s="162" t="str">
        <f aca="false">IFERROR(H37/G37-1,"-")</f>
        <v>-</v>
      </c>
      <c r="K37" s="145" t="n">
        <f aca="false">H37-G37</f>
        <v>0</v>
      </c>
      <c r="M37" s="147"/>
      <c r="N37" s="162" t="str">
        <f aca="false">IFERROR(H37/M37-1,"-")</f>
        <v>-</v>
      </c>
      <c r="O37" s="162" t="str">
        <f aca="false">IFERROR(H37/M37,"-")</f>
        <v>-</v>
      </c>
      <c r="P37" s="147" t="n">
        <f aca="false">H37-M37</f>
        <v>0</v>
      </c>
      <c r="R37" s="147" t="n">
        <v>0</v>
      </c>
      <c r="S37" s="162" t="str">
        <f aca="false">IFERROR(H37/R37-1,"-")</f>
        <v>-</v>
      </c>
      <c r="T37" s="162" t="str">
        <f aca="false">IFERROR(H37/R37,"-")</f>
        <v>-</v>
      </c>
      <c r="U37" s="147" t="n">
        <f aca="false">H37-R37</f>
        <v>0</v>
      </c>
      <c r="X37" s="145" t="n">
        <v>0</v>
      </c>
      <c r="Y37" s="5" t="n">
        <f aca="false">H37-X37</f>
        <v>0</v>
      </c>
      <c r="Z37" s="163" t="str">
        <f aca="false">IFERROR((H37/X37)-1,"-")</f>
        <v>-</v>
      </c>
    </row>
    <row r="38" customFormat="false" ht="13.5" hidden="false" customHeight="true" outlineLevel="1" collapsed="false">
      <c r="A38" s="165" t="n">
        <v>35</v>
      </c>
      <c r="B38" s="180" t="s">
        <v>94</v>
      </c>
      <c r="C38" s="180" t="s">
        <v>94</v>
      </c>
      <c r="D38" s="167" t="s">
        <v>95</v>
      </c>
      <c r="E38" s="39" t="s">
        <v>51</v>
      </c>
      <c r="F38" s="145" t="n">
        <v>0</v>
      </c>
      <c r="G38" s="145" t="n">
        <v>0</v>
      </c>
      <c r="H38" s="145" t="n">
        <v>0</v>
      </c>
      <c r="I38" s="162" t="n">
        <f aca="false">H38/$H$40</f>
        <v>0</v>
      </c>
      <c r="J38" s="162" t="str">
        <f aca="false">IFERROR(H38/G38-1,"-")</f>
        <v>-</v>
      </c>
      <c r="K38" s="145" t="n">
        <f aca="false">H38-G38</f>
        <v>0</v>
      </c>
      <c r="M38" s="147" t="n">
        <f aca="false">VLOOKUP(C38,'תקציב  '!$B:$S,10,0)*1</f>
        <v>0</v>
      </c>
      <c r="N38" s="162" t="str">
        <f aca="false">IFERROR(H38/M38-1,"-")</f>
        <v>-</v>
      </c>
      <c r="O38" s="162" t="str">
        <f aca="false">IFERROR(H38/M38,"-")</f>
        <v>-</v>
      </c>
      <c r="P38" s="147" t="n">
        <f aca="false">H38-M38</f>
        <v>0</v>
      </c>
      <c r="R38" s="147" t="n">
        <v>0</v>
      </c>
      <c r="S38" s="162" t="str">
        <f aca="false">IFERROR(H38/R38-1,"-")</f>
        <v>-</v>
      </c>
      <c r="T38" s="162" t="str">
        <f aca="false">IFERROR(H38/R38,"-")</f>
        <v>-</v>
      </c>
      <c r="U38" s="147" t="n">
        <f aca="false">H38-R38</f>
        <v>0</v>
      </c>
      <c r="X38" s="145" t="n">
        <v>0</v>
      </c>
      <c r="Y38" s="5" t="n">
        <f aca="false">H38-X38</f>
        <v>0</v>
      </c>
      <c r="Z38" s="163" t="str">
        <f aca="false">IFERROR((H38/X38)-1,"-")</f>
        <v>-</v>
      </c>
    </row>
    <row r="39" customFormat="false" ht="13.5" hidden="false" customHeight="true" outlineLevel="1" collapsed="false">
      <c r="A39" s="165" t="n">
        <v>36</v>
      </c>
      <c r="B39" s="180" t="s">
        <v>97</v>
      </c>
      <c r="C39" s="180" t="s">
        <v>97</v>
      </c>
      <c r="D39" s="167" t="s">
        <v>97</v>
      </c>
      <c r="E39" s="39"/>
      <c r="F39" s="145"/>
      <c r="G39" s="145"/>
      <c r="H39" s="145" t="n">
        <v>0</v>
      </c>
      <c r="I39" s="162" t="n">
        <f aca="false">H39/$H$40</f>
        <v>0</v>
      </c>
      <c r="J39" s="162" t="str">
        <f aca="false">IFERROR(H39/G39-1,"-")</f>
        <v>-</v>
      </c>
      <c r="K39" s="145" t="n">
        <f aca="false">H39-G39</f>
        <v>0</v>
      </c>
      <c r="M39" s="147" t="n">
        <f aca="false">VLOOKUP(C39,'תקציב  '!$B:$S,10,0)*1</f>
        <v>0</v>
      </c>
      <c r="N39" s="162" t="str">
        <f aca="false">IFERROR(H39/M39-1,"-")</f>
        <v>-</v>
      </c>
      <c r="O39" s="162" t="str">
        <f aca="false">IFERROR(H39/M39,"-")</f>
        <v>-</v>
      </c>
      <c r="P39" s="147" t="n">
        <f aca="false">H39-M39</f>
        <v>0</v>
      </c>
      <c r="R39" s="147" t="n">
        <v>0</v>
      </c>
      <c r="S39" s="162" t="str">
        <f aca="false">IFERROR(H39/R39-1,"-")</f>
        <v>-</v>
      </c>
      <c r="T39" s="162" t="str">
        <f aca="false">IFERROR(H39/R39,"-")</f>
        <v>-</v>
      </c>
      <c r="U39" s="147" t="n">
        <f aca="false">H39-R39</f>
        <v>0</v>
      </c>
      <c r="X39" s="145" t="n">
        <v>0</v>
      </c>
      <c r="Y39" s="5" t="n">
        <f aca="false">H39-X39</f>
        <v>0</v>
      </c>
      <c r="Z39" s="163" t="str">
        <f aca="false">IFERROR((H39/X39)-1,"-")</f>
        <v>-</v>
      </c>
    </row>
    <row r="40" s="174" customFormat="true" ht="15" hidden="false" customHeight="true" outlineLevel="0" collapsed="false">
      <c r="A40" s="165"/>
      <c r="B40" s="181"/>
      <c r="C40" s="181"/>
      <c r="D40" s="182" t="s">
        <v>98</v>
      </c>
      <c r="E40" s="182"/>
      <c r="F40" s="183" t="n">
        <f aca="false">SUM(F20:F39)+F51+F52</f>
        <v>670378.06</v>
      </c>
      <c r="G40" s="183" t="n">
        <f aca="false">SUM(G20:G39)+G51+G52</f>
        <v>956924.9</v>
      </c>
      <c r="H40" s="183" t="n">
        <f aca="false">SUM(H20:H39)+H51+H52</f>
        <v>506813.83</v>
      </c>
      <c r="I40" s="184" t="n">
        <f aca="false">H40/$H$41</f>
        <v>0.23182716870985</v>
      </c>
      <c r="J40" s="184" t="n">
        <f aca="false">IFERROR(H40/G40-1,"-")</f>
        <v>-0.470372408534881</v>
      </c>
      <c r="K40" s="183" t="n">
        <f aca="false">SUM(K20:K39)+K51+K52</f>
        <v>-450111.07</v>
      </c>
      <c r="M40" s="183" t="n">
        <f aca="false">SUM(M20:M39)+M51+M52</f>
        <v>1015167.992175</v>
      </c>
      <c r="N40" s="184" t="n">
        <f aca="false">IFERROR(H40/M40-1,"-")</f>
        <v>-0.500758658757404</v>
      </c>
      <c r="O40" s="184" t="n">
        <f aca="false">IFERROR(H40/M40,"-")</f>
        <v>0.499241341242596</v>
      </c>
      <c r="P40" s="183" t="n">
        <f aca="false">SUM(P20:P39)+P51+P52</f>
        <v>-508354.162175</v>
      </c>
      <c r="R40" s="183" t="n">
        <f aca="false">SUM(R20:R39)+R51+R52</f>
        <v>565966.8</v>
      </c>
      <c r="S40" s="184" t="n">
        <f aca="false">IFERROR(H40/R40-1,"-")</f>
        <v>-0.104516678363466</v>
      </c>
      <c r="T40" s="184" t="n">
        <f aca="false">IFERROR(H40/R40,"-")</f>
        <v>0.895483321636534</v>
      </c>
      <c r="U40" s="183" t="n">
        <f aca="false">H40-R40</f>
        <v>-59152.9700000001</v>
      </c>
      <c r="X40" s="183" t="n">
        <f aca="false">SUM(X20:X39)+X51+X52</f>
        <v>506813.83</v>
      </c>
      <c r="Y40" s="175" t="n">
        <f aca="false">H40-X40</f>
        <v>0</v>
      </c>
      <c r="Z40" s="176" t="n">
        <f aca="false">IFERROR((H40/X40)-1,"-")</f>
        <v>0</v>
      </c>
    </row>
    <row r="41" s="174" customFormat="true" ht="15" hidden="false" customHeight="true" outlineLevel="0" collapsed="false">
      <c r="A41" s="165"/>
      <c r="B41" s="181"/>
      <c r="C41" s="181"/>
      <c r="D41" s="185" t="s">
        <v>163</v>
      </c>
      <c r="E41" s="185"/>
      <c r="F41" s="186" t="n">
        <f aca="false">F40+F19</f>
        <v>2232491.129</v>
      </c>
      <c r="G41" s="186" t="n">
        <f aca="false">G40+G19</f>
        <v>2503790.25</v>
      </c>
      <c r="H41" s="186" t="n">
        <f aca="false">H40+H19</f>
        <v>2186170.986</v>
      </c>
      <c r="I41" s="186"/>
      <c r="J41" s="134" t="n">
        <f aca="false">IFERROR(H41/G41-1,"-")</f>
        <v>-0.126855380158145</v>
      </c>
      <c r="K41" s="186" t="n">
        <f aca="false">K40+K19</f>
        <v>-317619.264000006</v>
      </c>
      <c r="M41" s="186" t="n">
        <f aca="false">M40+M19</f>
        <v>3827194.65685485</v>
      </c>
      <c r="N41" s="134" t="n">
        <f aca="false">IFERROR(H41/M41-1,"-")</f>
        <v>-0.428779776830957</v>
      </c>
      <c r="O41" s="134" t="n">
        <f aca="false">IFERROR(H41/M41,"-")</f>
        <v>0.571220223169043</v>
      </c>
      <c r="P41" s="186" t="n">
        <f aca="false">P40+P19</f>
        <v>-1641023.67085485</v>
      </c>
      <c r="R41" s="186" t="n">
        <f aca="false">R40+R19</f>
        <v>2665966.8</v>
      </c>
      <c r="S41" s="134" t="n">
        <f aca="false">IFERROR(H41/R41-1,"-")</f>
        <v>-0.17997066355065</v>
      </c>
      <c r="T41" s="134" t="n">
        <f aca="false">IFERROR(H41/R41,"-")</f>
        <v>0.82002933644935</v>
      </c>
      <c r="U41" s="186" t="n">
        <f aca="false">H41-R41</f>
        <v>-479795.814000003</v>
      </c>
      <c r="X41" s="186" t="n">
        <f aca="false">X40+X19</f>
        <v>2170423.354</v>
      </c>
      <c r="Y41" s="175" t="n">
        <f aca="false">H41-X41</f>
        <v>15747.6319999998</v>
      </c>
      <c r="Z41" s="176" t="n">
        <f aca="false">IFERROR((H41/X41)-1,"-")</f>
        <v>0.00725555775603759</v>
      </c>
    </row>
    <row r="42" customFormat="false" ht="15" hidden="true" customHeight="true" outlineLevel="0" collapsed="false">
      <c r="C42" s="187" t="s">
        <v>117</v>
      </c>
      <c r="D42" s="187"/>
      <c r="E42" s="187"/>
      <c r="F42" s="188" t="n">
        <f aca="false">F40/F41</f>
        <v>0.30028251906214</v>
      </c>
      <c r="G42" s="188" t="n">
        <f aca="false">G40/G41</f>
        <v>0.382190520951185</v>
      </c>
      <c r="H42" s="188" t="n">
        <f aca="false">H40/H41</f>
        <v>0.23182716870985</v>
      </c>
      <c r="I42" s="189"/>
      <c r="J42" s="190"/>
      <c r="K42" s="60"/>
      <c r="M42" s="191" t="n">
        <f aca="false">M41-'תקציב  '!K41*1</f>
        <v>0</v>
      </c>
      <c r="N42" s="191"/>
      <c r="O42" s="191"/>
      <c r="P42" s="189"/>
      <c r="R42" s="189"/>
      <c r="S42" s="189"/>
      <c r="T42" s="189"/>
      <c r="U42" s="189"/>
      <c r="X42" s="188" t="n">
        <f aca="false">X40/X41</f>
        <v>0.233509204121843</v>
      </c>
    </row>
    <row r="43" customFormat="false" ht="14.25" hidden="false" customHeight="true" outlineLevel="0" collapsed="false">
      <c r="F43" s="144" t="n">
        <v>0</v>
      </c>
      <c r="K43" s="5"/>
    </row>
    <row r="50" customFormat="false" ht="14.25" hidden="false" customHeight="true" outlineLevel="0" collapsed="false">
      <c r="A50" s="159"/>
      <c r="B50" s="160"/>
      <c r="C50" s="160" t="s">
        <v>164</v>
      </c>
      <c r="D50" s="161" t="s">
        <v>164</v>
      </c>
      <c r="E50" s="39" t="s">
        <v>32</v>
      </c>
      <c r="F50" s="145"/>
      <c r="G50" s="145"/>
      <c r="H50" s="145" t="n">
        <v>0</v>
      </c>
      <c r="I50" s="162" t="n">
        <f aca="false">H50/$H$19</f>
        <v>0</v>
      </c>
      <c r="J50" s="162" t="str">
        <f aca="false">IFERROR(H50/G50-1,"-")</f>
        <v>-</v>
      </c>
      <c r="K50" s="145" t="n">
        <f aca="false">H50-G50</f>
        <v>0</v>
      </c>
      <c r="M50" s="147"/>
      <c r="N50" s="162" t="str">
        <f aca="false">IFERROR(H50/M50-1,"-")</f>
        <v>-</v>
      </c>
      <c r="O50" s="162" t="str">
        <f aca="false">IFERROR(H50/M50,"-")</f>
        <v>-</v>
      </c>
      <c r="P50" s="147" t="n">
        <f aca="false">H50-M50</f>
        <v>0</v>
      </c>
    </row>
    <row r="51" customFormat="false" ht="14.25" hidden="false" customHeight="true" outlineLevel="0" collapsed="false">
      <c r="A51" s="165"/>
      <c r="B51" s="180"/>
      <c r="C51" s="180" t="s">
        <v>165</v>
      </c>
      <c r="D51" s="167" t="s">
        <v>165</v>
      </c>
      <c r="E51" s="39" t="s">
        <v>166</v>
      </c>
      <c r="F51" s="145"/>
      <c r="G51" s="145"/>
      <c r="H51" s="145" t="n">
        <v>0</v>
      </c>
      <c r="I51" s="162" t="n">
        <f aca="false">H51/$H$40</f>
        <v>0</v>
      </c>
      <c r="J51" s="162" t="str">
        <f aca="false">IFERROR(H51/G51-1,"-")</f>
        <v>-</v>
      </c>
      <c r="K51" s="145" t="n">
        <f aca="false">H51-G51</f>
        <v>0</v>
      </c>
      <c r="M51" s="147"/>
      <c r="N51" s="162" t="str">
        <f aca="false">IFERROR(H51/M51-1,"-")</f>
        <v>-</v>
      </c>
      <c r="O51" s="162" t="str">
        <f aca="false">IFERROR(H51/M51,"-")</f>
        <v>-</v>
      </c>
      <c r="P51" s="147" t="n">
        <f aca="false">H51-M51</f>
        <v>0</v>
      </c>
    </row>
    <row r="52" customFormat="false" ht="14.25" hidden="false" customHeight="true" outlineLevel="0" collapsed="false">
      <c r="A52" s="165"/>
      <c r="B52" s="180"/>
      <c r="C52" s="180" t="s">
        <v>167</v>
      </c>
      <c r="D52" s="167" t="s">
        <v>167</v>
      </c>
      <c r="E52" s="39" t="s">
        <v>167</v>
      </c>
      <c r="F52" s="145"/>
      <c r="G52" s="145"/>
      <c r="H52" s="145" t="n">
        <v>0</v>
      </c>
      <c r="I52" s="162" t="n">
        <f aca="false">H52/$H$40</f>
        <v>0</v>
      </c>
      <c r="J52" s="162" t="str">
        <f aca="false">IFERROR(H52/G52-1,"-")</f>
        <v>-</v>
      </c>
      <c r="K52" s="145" t="n">
        <f aca="false">H52-G52</f>
        <v>0</v>
      </c>
      <c r="M52" s="147"/>
      <c r="N52" s="162" t="str">
        <f aca="false">IFERROR(H52/M52-1,"-")</f>
        <v>-</v>
      </c>
      <c r="O52" s="162" t="str">
        <f aca="false">IFERROR(H52/M52,"-")</f>
        <v>-</v>
      </c>
      <c r="P52" s="147" t="n">
        <f aca="false">H52-M52</f>
        <v>0</v>
      </c>
    </row>
  </sheetData>
  <mergeCells count="1">
    <mergeCell ref="C42:E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2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Z45" activeCellId="0" sqref="Z45"/>
    </sheetView>
  </sheetViews>
  <sheetFormatPr defaultColWidth="8.625" defaultRowHeight="14.25" zeroHeight="false" outlineLevelRow="1" outlineLevelCol="0"/>
  <cols>
    <col collapsed="false" customWidth="true" hidden="false" outlineLevel="0" max="1" min="1" style="1" width="2.88"/>
    <col collapsed="false" customWidth="true" hidden="true" outlineLevel="0" max="2" min="2" style="1" width="31"/>
    <col collapsed="false" customWidth="true" hidden="true" outlineLevel="0" max="3" min="3" style="90" width="26"/>
    <col collapsed="false" customWidth="true" hidden="false" outlineLevel="0" max="4" min="4" style="90" width="26"/>
    <col collapsed="false" customWidth="true" hidden="true" outlineLevel="0" max="5" min="5" style="1" width="13.38"/>
    <col collapsed="false" customWidth="true" hidden="true" outlineLevel="0" max="7" min="6" style="1" width="9.87"/>
    <col collapsed="false" customWidth="true" hidden="false" outlineLevel="0" max="8" min="8" style="1" width="10.38"/>
    <col collapsed="false" customWidth="true" hidden="false" outlineLevel="0" max="9" min="9" style="1" width="6.88"/>
    <col collapsed="false" customWidth="true" hidden="false" outlineLevel="0" max="10" min="10" style="118" width="10.75"/>
    <col collapsed="false" customWidth="true" hidden="false" outlineLevel="0" max="11" min="11" style="1" width="11.88"/>
    <col collapsed="false" customWidth="true" hidden="false" outlineLevel="0" max="12" min="12" style="1" width="4.25"/>
    <col collapsed="false" customWidth="true" hidden="false" outlineLevel="0" max="13" min="13" style="1" width="10.38"/>
    <col collapsed="false" customWidth="true" hidden="true" outlineLevel="0" max="14" min="14" style="1" width="11"/>
    <col collapsed="false" customWidth="true" hidden="false" outlineLevel="0" max="15" min="15" style="1" width="7.62"/>
    <col collapsed="false" customWidth="true" hidden="false" outlineLevel="0" max="16" min="16" style="1" width="11"/>
    <col collapsed="false" customWidth="true" hidden="false" outlineLevel="0" max="17" min="17" style="1" width="3"/>
    <col collapsed="false" customWidth="true" hidden="false" outlineLevel="0" max="18" min="18" style="1" width="10.38"/>
    <col collapsed="false" customWidth="true" hidden="true" outlineLevel="0" max="19" min="19" style="1" width="10.88"/>
    <col collapsed="false" customWidth="true" hidden="false" outlineLevel="0" max="20" min="20" style="1" width="7.62"/>
    <col collapsed="false" customWidth="true" hidden="false" outlineLevel="0" max="21" min="21" style="1" width="13"/>
    <col collapsed="false" customWidth="true" hidden="false" outlineLevel="0" max="22" min="22" style="1" width="3.5"/>
    <col collapsed="false" customWidth="true" hidden="false" outlineLevel="0" max="23" min="23" style="1" width="10.38"/>
    <col collapsed="false" customWidth="true" hidden="false" outlineLevel="0" max="24" min="24" style="1" width="10.5"/>
    <col collapsed="false" customWidth="true" hidden="false" outlineLevel="0" max="25" min="25" style="148" width="9"/>
  </cols>
  <sheetData>
    <row r="1" customFormat="false" ht="15.75" hidden="false" customHeight="true" outlineLevel="0" collapsed="false">
      <c r="C1" s="149" t="s">
        <v>179</v>
      </c>
      <c r="D1" s="149" t="s">
        <v>179</v>
      </c>
      <c r="E1" s="7"/>
      <c r="F1" s="7"/>
      <c r="G1" s="7"/>
      <c r="H1" s="7"/>
      <c r="I1" s="7"/>
      <c r="J1" s="192"/>
      <c r="K1" s="7"/>
      <c r="M1" s="7"/>
      <c r="N1" s="7"/>
      <c r="O1" s="7"/>
      <c r="P1" s="7"/>
      <c r="R1" s="7"/>
      <c r="S1" s="7"/>
      <c r="T1" s="7"/>
      <c r="U1" s="7"/>
      <c r="W1" s="7"/>
    </row>
    <row r="2" customFormat="false" ht="15" hidden="false" customHeight="true" outlineLevel="0" collapsed="false">
      <c r="A2" s="151" t="s">
        <v>2</v>
      </c>
      <c r="C2" s="38"/>
      <c r="D2" s="38"/>
      <c r="E2" s="154" t="s">
        <v>3</v>
      </c>
      <c r="F2" s="154" t="n">
        <v>8.2024</v>
      </c>
      <c r="G2" s="154" t="n">
        <v>8.2025</v>
      </c>
      <c r="H2" s="154" t="n">
        <v>8.2026</v>
      </c>
      <c r="I2" s="155" t="s">
        <v>174</v>
      </c>
      <c r="J2" s="193" t="s">
        <v>128</v>
      </c>
      <c r="K2" s="154" t="s">
        <v>129</v>
      </c>
      <c r="M2" s="154" t="s">
        <v>130</v>
      </c>
      <c r="N2" s="155" t="s">
        <v>111</v>
      </c>
      <c r="O2" s="155" t="s">
        <v>175</v>
      </c>
      <c r="P2" s="154" t="s">
        <v>112</v>
      </c>
      <c r="R2" s="156" t="s">
        <v>1</v>
      </c>
      <c r="S2" s="155" t="s">
        <v>177</v>
      </c>
      <c r="T2" s="155" t="s">
        <v>175</v>
      </c>
      <c r="U2" s="158" t="s">
        <v>178</v>
      </c>
      <c r="V2" s="157"/>
      <c r="W2" s="158" t="n">
        <v>8.2026</v>
      </c>
      <c r="X2" s="157"/>
    </row>
    <row r="3" customFormat="false" ht="14.25" hidden="false" customHeight="true" outlineLevel="1" collapsed="false">
      <c r="A3" s="159" t="n">
        <v>5</v>
      </c>
      <c r="B3" s="85" t="s">
        <v>131</v>
      </c>
      <c r="C3" s="161" t="s">
        <v>31</v>
      </c>
      <c r="D3" s="161" t="s">
        <v>31</v>
      </c>
      <c r="E3" s="145" t="s">
        <v>32</v>
      </c>
      <c r="F3" s="145" t="n">
        <v>301190.6</v>
      </c>
      <c r="G3" s="145" t="n">
        <v>243929.1</v>
      </c>
      <c r="H3" s="145" t="n">
        <v>299421.55</v>
      </c>
      <c r="I3" s="162" t="n">
        <f aca="false">IFERROR(H3/$H$19,"")</f>
        <v>0.151648784594412</v>
      </c>
      <c r="J3" s="194" t="n">
        <f aca="false">IFERROR(H3/G3-1,"")</f>
        <v>0.227494177611445</v>
      </c>
      <c r="K3" s="145" t="n">
        <f aca="false">H3-G3</f>
        <v>55492.45</v>
      </c>
      <c r="M3" s="145" t="n">
        <f aca="false">VLOOKUP(C3,'תקציב  '!$B:$S,11,0)*1</f>
        <v>235079.365079365</v>
      </c>
      <c r="N3" s="162" t="n">
        <f aca="false">IFERROR(H3/M3-1,"-")</f>
        <v>0.273704095205942</v>
      </c>
      <c r="O3" s="162" t="n">
        <f aca="false">IFERROR(H3/M3,"-")</f>
        <v>1.27370409520594</v>
      </c>
      <c r="P3" s="145" t="n">
        <f aca="false">H3-M3</f>
        <v>64342.184920635</v>
      </c>
      <c r="R3" s="147" t="n">
        <v>200000</v>
      </c>
      <c r="S3" s="162" t="n">
        <f aca="false">IFERROR(H3/R3-1,"-")</f>
        <v>0.49710775</v>
      </c>
      <c r="T3" s="162" t="n">
        <f aca="false">IFERROR(H3/R3,"-")</f>
        <v>1.49710775</v>
      </c>
      <c r="U3" s="147" t="n">
        <f aca="false">H3-R3</f>
        <v>99421.55</v>
      </c>
      <c r="W3" s="145" t="n">
        <v>299421.55</v>
      </c>
      <c r="X3" s="5" t="n">
        <f aca="false">H3-W3</f>
        <v>0</v>
      </c>
      <c r="Y3" s="163" t="n">
        <f aca="false">IFERROR((H3/W3)-1,"-")</f>
        <v>0</v>
      </c>
    </row>
    <row r="4" customFormat="false" ht="14.25" hidden="false" customHeight="true" outlineLevel="1" collapsed="false">
      <c r="A4" s="164" t="n">
        <v>1</v>
      </c>
      <c r="B4" s="24" t="s">
        <v>33</v>
      </c>
      <c r="C4" s="161" t="s">
        <v>33</v>
      </c>
      <c r="D4" s="161" t="s">
        <v>33</v>
      </c>
      <c r="E4" s="145" t="s">
        <v>32</v>
      </c>
      <c r="F4" s="145" t="n">
        <v>429300.053</v>
      </c>
      <c r="G4" s="145" t="n">
        <v>495074.58</v>
      </c>
      <c r="H4" s="145" t="n">
        <v>588822.689</v>
      </c>
      <c r="I4" s="162" t="n">
        <f aca="false">IFERROR(H4/$H$19,"")</f>
        <v>0.298222506457747</v>
      </c>
      <c r="J4" s="194" t="n">
        <f aca="false">IFERROR(H4/G4-1,"")</f>
        <v>0.189361588712553</v>
      </c>
      <c r="K4" s="145" t="n">
        <f aca="false">H4-G4</f>
        <v>93748.109</v>
      </c>
      <c r="M4" s="145" t="n">
        <f aca="false">VLOOKUP(C4,'תקציב  '!$B:$S,11,0)*1</f>
        <v>605698.412698413</v>
      </c>
      <c r="N4" s="162" t="n">
        <f aca="false">IFERROR(H4/M4-1,"-")</f>
        <v>-0.0278615947220844</v>
      </c>
      <c r="O4" s="162" t="n">
        <f aca="false">IFERROR(H4/M4,"-")</f>
        <v>0.972138405277916</v>
      </c>
      <c r="P4" s="145" t="n">
        <f aca="false">H4-M4</f>
        <v>-16875.723698413</v>
      </c>
      <c r="R4" s="147" t="n">
        <v>550000</v>
      </c>
      <c r="S4" s="162" t="n">
        <f aca="false">IFERROR(H4/R4-1,"-")</f>
        <v>0.0705867072727273</v>
      </c>
      <c r="T4" s="162" t="n">
        <f aca="false">IFERROR(H4/R4,"-")</f>
        <v>1.07058670727273</v>
      </c>
      <c r="U4" s="147" t="n">
        <f aca="false">H4-R4</f>
        <v>38822.689</v>
      </c>
      <c r="W4" s="145" t="n">
        <v>546513.513</v>
      </c>
      <c r="X4" s="5" t="n">
        <f aca="false">H4-W4</f>
        <v>42309.176</v>
      </c>
      <c r="Y4" s="163" t="n">
        <f aca="false">IFERROR((H4/W4)-1,"-")</f>
        <v>0.0774165230933639</v>
      </c>
    </row>
    <row r="5" customFormat="false" ht="14.25" hidden="false" customHeight="true" outlineLevel="1" collapsed="false">
      <c r="A5" s="164" t="n">
        <v>7</v>
      </c>
      <c r="B5" s="24" t="s">
        <v>34</v>
      </c>
      <c r="C5" s="161" t="s">
        <v>34</v>
      </c>
      <c r="D5" s="161" t="s">
        <v>34</v>
      </c>
      <c r="E5" s="145" t="s">
        <v>32</v>
      </c>
      <c r="F5" s="145" t="n">
        <v>96254.067</v>
      </c>
      <c r="G5" s="145" t="n">
        <v>73631.74</v>
      </c>
      <c r="H5" s="145" t="n">
        <v>70518.812</v>
      </c>
      <c r="I5" s="162" t="n">
        <f aca="false">IFERROR(H5/$H$19,"")</f>
        <v>0.0357158398613656</v>
      </c>
      <c r="J5" s="194" t="n">
        <f aca="false">IFERROR(H5/G5-1,"")</f>
        <v>-0.0422769854413327</v>
      </c>
      <c r="K5" s="145" t="n">
        <f aca="false">H5-G5</f>
        <v>-3112.928</v>
      </c>
      <c r="M5" s="145" t="n">
        <f aca="false">VLOOKUP(C5,'תקציב  '!$B:$S,11,0)*1</f>
        <v>78571.4285714286</v>
      </c>
      <c r="N5" s="162" t="n">
        <f aca="false">IFERROR(H5/M5-1,"-")</f>
        <v>-0.102487847272727</v>
      </c>
      <c r="O5" s="162" t="n">
        <f aca="false">IFERROR(H5/M5,"-")</f>
        <v>0.897512152727273</v>
      </c>
      <c r="P5" s="145" t="n">
        <f aca="false">H5-M5</f>
        <v>-8052.61657142859</v>
      </c>
      <c r="R5" s="147" t="n">
        <v>100000</v>
      </c>
      <c r="S5" s="162" t="n">
        <f aca="false">IFERROR(H5/R5-1,"-")</f>
        <v>-0.29481188</v>
      </c>
      <c r="T5" s="162" t="n">
        <f aca="false">IFERROR(H5/R5,"-")</f>
        <v>0.70518812</v>
      </c>
      <c r="U5" s="147" t="n">
        <f aca="false">H5-R5</f>
        <v>-29481.188</v>
      </c>
      <c r="W5" s="145" t="n">
        <v>67219.624</v>
      </c>
      <c r="X5" s="5" t="n">
        <f aca="false">H5-W5</f>
        <v>3299.18800000001</v>
      </c>
      <c r="Y5" s="163" t="n">
        <f aca="false">IFERROR((H5/W5)-1,"-")</f>
        <v>0.0490807267830002</v>
      </c>
    </row>
    <row r="6" customFormat="false" ht="14.25" hidden="false" customHeight="true" outlineLevel="1" collapsed="false">
      <c r="A6" s="164" t="n">
        <v>4</v>
      </c>
      <c r="B6" s="24" t="s">
        <v>35</v>
      </c>
      <c r="C6" s="161" t="s">
        <v>35</v>
      </c>
      <c r="D6" s="161" t="s">
        <v>35</v>
      </c>
      <c r="E6" s="145" t="s">
        <v>32</v>
      </c>
      <c r="F6" s="145" t="n">
        <v>112372.337</v>
      </c>
      <c r="G6" s="145" t="n">
        <v>179847.32</v>
      </c>
      <c r="H6" s="145" t="n">
        <v>160218.084</v>
      </c>
      <c r="I6" s="162" t="n">
        <f aca="false">IFERROR(H6/$H$19,"")</f>
        <v>0.0811460554814625</v>
      </c>
      <c r="J6" s="194" t="n">
        <f aca="false">IFERROR(H6/G6-1,"")</f>
        <v>-0.109143889383506</v>
      </c>
      <c r="K6" s="145" t="n">
        <f aca="false">H6-G6</f>
        <v>-19629.236</v>
      </c>
      <c r="M6" s="145" t="n">
        <f aca="false">VLOOKUP(B6,'תקציב  '!$B:$S,11,0)*1</f>
        <v>170873.015873016</v>
      </c>
      <c r="N6" s="162" t="n">
        <f aca="false">IFERROR(H6/M6-1,"-")</f>
        <v>-0.0623558483975855</v>
      </c>
      <c r="O6" s="162" t="n">
        <f aca="false">IFERROR(H6/M6,"-")</f>
        <v>0.937644151602415</v>
      </c>
      <c r="P6" s="145" t="n">
        <f aca="false">H6-M6</f>
        <v>-10654.931873016</v>
      </c>
      <c r="R6" s="147" t="n">
        <v>200000</v>
      </c>
      <c r="S6" s="162" t="n">
        <f aca="false">IFERROR(H6/R6-1,"-")</f>
        <v>-0.19890958</v>
      </c>
      <c r="T6" s="162" t="n">
        <f aca="false">IFERROR(H6/R6,"-")</f>
        <v>0.80109042</v>
      </c>
      <c r="U6" s="147" t="n">
        <f aca="false">H6-R6</f>
        <v>-39781.916</v>
      </c>
      <c r="W6" s="145" t="n">
        <v>155738.791</v>
      </c>
      <c r="X6" s="5" t="n">
        <f aca="false">H6-W6</f>
        <v>4479.29300000001</v>
      </c>
      <c r="Y6" s="163" t="n">
        <f aca="false">IFERROR((H6/W6)-1,"-")</f>
        <v>0.0287615755280906</v>
      </c>
    </row>
    <row r="7" customFormat="false" ht="14.25" hidden="false" customHeight="true" outlineLevel="1" collapsed="false">
      <c r="A7" s="164" t="n">
        <v>3</v>
      </c>
      <c r="B7" s="85" t="s">
        <v>132</v>
      </c>
      <c r="C7" s="161" t="s">
        <v>36</v>
      </c>
      <c r="D7" s="161" t="s">
        <v>36</v>
      </c>
      <c r="E7" s="145" t="s">
        <v>32</v>
      </c>
      <c r="F7" s="145" t="n">
        <v>416484</v>
      </c>
      <c r="G7" s="145" t="n">
        <v>273604.4</v>
      </c>
      <c r="H7" s="145" t="n">
        <v>295436</v>
      </c>
      <c r="I7" s="162" t="n">
        <f aca="false">IFERROR(H7/$H$19,"")</f>
        <v>0.149630213073958</v>
      </c>
      <c r="J7" s="194" t="n">
        <f aca="false">IFERROR(H7/G7-1,"")</f>
        <v>0.0797925764351741</v>
      </c>
      <c r="K7" s="145" t="n">
        <f aca="false">H7-G7</f>
        <v>21831.6</v>
      </c>
      <c r="M7" s="145" t="n">
        <f aca="false">VLOOKUP(C7,'תקציב  '!$B:$S,11,0)*1</f>
        <v>365000</v>
      </c>
      <c r="N7" s="162" t="n">
        <f aca="false">IFERROR(H7/M7-1,"-")</f>
        <v>-0.190586301369863</v>
      </c>
      <c r="O7" s="162" t="n">
        <f aca="false">IFERROR(H7/M7,"-")</f>
        <v>0.809413698630137</v>
      </c>
      <c r="P7" s="145" t="n">
        <f aca="false">H7-M7</f>
        <v>-69564</v>
      </c>
      <c r="R7" s="147" t="n">
        <v>330000</v>
      </c>
      <c r="S7" s="162" t="n">
        <f aca="false">IFERROR(H7/R7-1,"-")</f>
        <v>-0.104739393939394</v>
      </c>
      <c r="T7" s="162" t="n">
        <f aca="false">IFERROR(H7/R7,"-")</f>
        <v>0.895260606060606</v>
      </c>
      <c r="U7" s="147" t="n">
        <f aca="false">H7-R7</f>
        <v>-34564</v>
      </c>
      <c r="W7" s="145" t="n">
        <v>295436</v>
      </c>
      <c r="X7" s="5" t="n">
        <f aca="false">H7-W7</f>
        <v>0</v>
      </c>
      <c r="Y7" s="163" t="n">
        <f aca="false">IFERROR((H7/W7)-1,"-")</f>
        <v>0</v>
      </c>
    </row>
    <row r="8" customFormat="false" ht="14.25" hidden="false" customHeight="true" outlineLevel="1" collapsed="false">
      <c r="A8" s="164" t="n">
        <v>8</v>
      </c>
      <c r="B8" s="85" t="s">
        <v>133</v>
      </c>
      <c r="C8" s="161" t="s">
        <v>37</v>
      </c>
      <c r="D8" s="161" t="s">
        <v>37</v>
      </c>
      <c r="E8" s="145" t="s">
        <v>32</v>
      </c>
      <c r="F8" s="145" t="n">
        <v>64245.4</v>
      </c>
      <c r="G8" s="145" t="n">
        <v>81013.09</v>
      </c>
      <c r="H8" s="145" t="n">
        <v>73310.601</v>
      </c>
      <c r="I8" s="162" t="n">
        <f aca="false">IFERROR(H8/$H$19,"")</f>
        <v>0.0371298042493465</v>
      </c>
      <c r="J8" s="194" t="n">
        <f aca="false">IFERROR(H8/G8-1,"")</f>
        <v>-0.095077091862562</v>
      </c>
      <c r="K8" s="145" t="n">
        <f aca="false">H8-G8</f>
        <v>-7702.489</v>
      </c>
      <c r="M8" s="145" t="n">
        <f aca="false">VLOOKUP(C8,'תקציב  '!$B:$S,11,0)*1</f>
        <v>107301.587301587</v>
      </c>
      <c r="N8" s="162" t="n">
        <f aca="false">IFERROR(H8/M8-1,"-")</f>
        <v>-0.316779901923075</v>
      </c>
      <c r="O8" s="162" t="n">
        <f aca="false">IFERROR(H8/M8,"-")</f>
        <v>0.683220098076925</v>
      </c>
      <c r="P8" s="145" t="n">
        <f aca="false">H8-M8</f>
        <v>-33990.986301587</v>
      </c>
      <c r="R8" s="147" t="n">
        <v>100000</v>
      </c>
      <c r="S8" s="162" t="n">
        <f aca="false">IFERROR(H8/R8-1,"-")</f>
        <v>-0.26689399</v>
      </c>
      <c r="T8" s="162" t="n">
        <f aca="false">IFERROR(H8/R8,"-")</f>
        <v>0.73310601</v>
      </c>
      <c r="U8" s="147" t="n">
        <f aca="false">H8-R8</f>
        <v>-26689.399</v>
      </c>
      <c r="W8" s="145" t="n">
        <v>68722.563</v>
      </c>
      <c r="X8" s="5" t="n">
        <f aca="false">H8-W8</f>
        <v>4588.038</v>
      </c>
      <c r="Y8" s="163" t="n">
        <f aca="false">IFERROR((H8/W8)-1,"-")</f>
        <v>0.066761741700466</v>
      </c>
    </row>
    <row r="9" customFormat="false" ht="14.25" hidden="false" customHeight="true" outlineLevel="1" collapsed="false">
      <c r="A9" s="164" t="n">
        <v>6</v>
      </c>
      <c r="B9" s="85" t="s">
        <v>134</v>
      </c>
      <c r="C9" s="161" t="s">
        <v>38</v>
      </c>
      <c r="D9" s="161" t="s">
        <v>38</v>
      </c>
      <c r="E9" s="145" t="s">
        <v>32</v>
      </c>
      <c r="F9" s="145" t="n">
        <v>62739.61</v>
      </c>
      <c r="G9" s="145" t="n">
        <v>61998.83</v>
      </c>
      <c r="H9" s="145" t="n">
        <v>76847.55</v>
      </c>
      <c r="I9" s="162" t="n">
        <f aca="false">IFERROR(H9/$H$19,"")</f>
        <v>0.0389211716944166</v>
      </c>
      <c r="J9" s="194" t="n">
        <f aca="false">IFERROR(H9/G9-1,"")</f>
        <v>0.239500003467807</v>
      </c>
      <c r="K9" s="145" t="n">
        <f aca="false">H9-G9</f>
        <v>14848.72</v>
      </c>
      <c r="M9" s="145" t="n">
        <f aca="false">VLOOKUP(C9,'תקציב  '!$B:$S,11,0)*1</f>
        <v>177087.301587302</v>
      </c>
      <c r="N9" s="162" t="n">
        <f aca="false">IFERROR(H9/M9-1,"-")</f>
        <v>-0.566047089140861</v>
      </c>
      <c r="O9" s="162" t="n">
        <f aca="false">IFERROR(H9/M9,"-")</f>
        <v>0.433952910859139</v>
      </c>
      <c r="P9" s="145" t="n">
        <f aca="false">H9-M9</f>
        <v>-100239.751587302</v>
      </c>
      <c r="R9" s="147" t="n">
        <v>100000</v>
      </c>
      <c r="S9" s="162" t="n">
        <f aca="false">IFERROR(H9/R9-1,"-")</f>
        <v>-0.2315245</v>
      </c>
      <c r="T9" s="162" t="n">
        <f aca="false">IFERROR(H9/R9,"-")</f>
        <v>0.7684755</v>
      </c>
      <c r="U9" s="147" t="n">
        <f aca="false">H9-R9</f>
        <v>-23152.45</v>
      </c>
      <c r="W9" s="145" t="n">
        <v>76847.55</v>
      </c>
      <c r="X9" s="5" t="n">
        <f aca="false">H9-W9</f>
        <v>0</v>
      </c>
      <c r="Y9" s="163" t="n">
        <f aca="false">IFERROR((H9/W9)-1,"-")</f>
        <v>0</v>
      </c>
    </row>
    <row r="10" customFormat="false" ht="14.25" hidden="false" customHeight="true" outlineLevel="1" collapsed="false">
      <c r="A10" s="165" t="n">
        <v>10</v>
      </c>
      <c r="B10" s="85" t="s">
        <v>135</v>
      </c>
      <c r="C10" s="167" t="s">
        <v>39</v>
      </c>
      <c r="D10" s="167" t="s">
        <v>39</v>
      </c>
      <c r="E10" s="145" t="s">
        <v>32</v>
      </c>
      <c r="F10" s="145" t="n">
        <v>18126.58</v>
      </c>
      <c r="G10" s="145" t="n">
        <v>12420.51</v>
      </c>
      <c r="H10" s="145" t="n">
        <v>4321.85</v>
      </c>
      <c r="I10" s="162" t="n">
        <f aca="false">IFERROR(H10/$H$19,"")</f>
        <v>0.00218889822626114</v>
      </c>
      <c r="J10" s="194" t="n">
        <f aca="false">IFERROR(H10/G10-1,"")</f>
        <v>-0.652039247985791</v>
      </c>
      <c r="K10" s="145" t="n">
        <f aca="false">H10-G10</f>
        <v>-8098.66</v>
      </c>
      <c r="M10" s="145" t="n">
        <f aca="false">VLOOKUP(C10,'תקציב  '!$B:$S,11,0)*1</f>
        <v>16587.3015873016</v>
      </c>
      <c r="N10" s="162" t="n">
        <f aca="false">IFERROR(H10/M10-1,"-")</f>
        <v>-0.739448277511962</v>
      </c>
      <c r="O10" s="162" t="n">
        <f aca="false">IFERROR(H10/M10,"-")</f>
        <v>0.260551722488038</v>
      </c>
      <c r="P10" s="145" t="n">
        <f aca="false">H10-M10</f>
        <v>-12265.4515873016</v>
      </c>
      <c r="R10" s="147" t="n">
        <v>15000</v>
      </c>
      <c r="S10" s="162" t="n">
        <f aca="false">IFERROR(H10/R10-1,"-")</f>
        <v>-0.711876666666667</v>
      </c>
      <c r="T10" s="162" t="n">
        <f aca="false">IFERROR(H10/R10,"-")</f>
        <v>0.288123333333333</v>
      </c>
      <c r="U10" s="147" t="n">
        <f aca="false">H10-R10</f>
        <v>-10678.15</v>
      </c>
      <c r="W10" s="145" t="n">
        <v>4321.85</v>
      </c>
      <c r="X10" s="5" t="n">
        <f aca="false">H10-W10</f>
        <v>0</v>
      </c>
      <c r="Y10" s="163" t="n">
        <f aca="false">IFERROR((H10/W10)-1,"-")</f>
        <v>0</v>
      </c>
    </row>
    <row r="11" customFormat="false" ht="14.25" hidden="false" customHeight="true" outlineLevel="1" collapsed="false">
      <c r="A11" s="164" t="n">
        <v>11</v>
      </c>
      <c r="B11" s="85" t="s">
        <v>136</v>
      </c>
      <c r="C11" s="161" t="s">
        <v>40</v>
      </c>
      <c r="D11" s="161" t="s">
        <v>40</v>
      </c>
      <c r="E11" s="145" t="s">
        <v>32</v>
      </c>
      <c r="F11" s="145" t="n">
        <v>8063.63</v>
      </c>
      <c r="G11" s="145" t="n">
        <v>1459.42</v>
      </c>
      <c r="H11" s="145" t="n">
        <v>2043.68</v>
      </c>
      <c r="I11" s="162" t="n">
        <f aca="false">IFERROR(H11/$H$19,"")</f>
        <v>0.0010350677434537</v>
      </c>
      <c r="J11" s="194" t="n">
        <f aca="false">IFERROR(H11/G11-1,"")</f>
        <v>0.400337120225843</v>
      </c>
      <c r="K11" s="145" t="n">
        <f aca="false">H11-G11</f>
        <v>584.26</v>
      </c>
      <c r="M11" s="145" t="n">
        <f aca="false">VLOOKUP(C11,'תקציב  '!$B:$S,11,0)*1</f>
        <v>8730.15873015873</v>
      </c>
      <c r="N11" s="162" t="n">
        <f aca="false">IFERROR(H11/M11-1,"-")</f>
        <v>-0.765905745454546</v>
      </c>
      <c r="O11" s="162" t="n">
        <f aca="false">IFERROR(H11/M11,"-")</f>
        <v>0.234094254545455</v>
      </c>
      <c r="P11" s="145" t="n">
        <f aca="false">H11-M11</f>
        <v>-6686.47873015873</v>
      </c>
      <c r="R11" s="147" t="n">
        <v>10000</v>
      </c>
      <c r="S11" s="162" t="n">
        <f aca="false">IFERROR(H11/R11-1,"-")</f>
        <v>-0.795632</v>
      </c>
      <c r="T11" s="162" t="n">
        <f aca="false">IFERROR(H11/R11,"-")</f>
        <v>0.204368</v>
      </c>
      <c r="U11" s="147" t="n">
        <f aca="false">H11-R11</f>
        <v>-7956.32</v>
      </c>
      <c r="W11" s="145" t="n">
        <v>2043.68</v>
      </c>
      <c r="X11" s="5" t="n">
        <f aca="false">H11-W11</f>
        <v>0</v>
      </c>
      <c r="Y11" s="163" t="n">
        <f aca="false">IFERROR((H11/W11)-1,"-")</f>
        <v>0</v>
      </c>
    </row>
    <row r="12" customFormat="false" ht="14.25" hidden="false" customHeight="true" outlineLevel="1" collapsed="false">
      <c r="A12" s="164" t="n">
        <v>14</v>
      </c>
      <c r="B12" s="85" t="s">
        <v>137</v>
      </c>
      <c r="C12" s="161" t="s">
        <v>41</v>
      </c>
      <c r="D12" s="161" t="s">
        <v>41</v>
      </c>
      <c r="E12" s="145" t="s">
        <v>32</v>
      </c>
      <c r="F12" s="145" t="n">
        <v>0</v>
      </c>
      <c r="G12" s="145" t="n">
        <v>0</v>
      </c>
      <c r="H12" s="145" t="n">
        <v>728.87</v>
      </c>
      <c r="I12" s="162" t="n">
        <f aca="false">IFERROR(H12/$H$19,"")</f>
        <v>0.00036915261986764</v>
      </c>
      <c r="J12" s="194" t="str">
        <f aca="false">IFERROR(H12/G12-1,"")</f>
        <v/>
      </c>
      <c r="K12" s="145" t="n">
        <f aca="false">H12-G12</f>
        <v>728.87</v>
      </c>
      <c r="M12" s="145" t="n">
        <f aca="false">VLOOKUP(C12,'תקציב  '!$B:$S,11,0)*1</f>
        <v>0</v>
      </c>
      <c r="N12" s="162" t="str">
        <f aca="false">IFERROR(H12/M12-1,"-")</f>
        <v>-</v>
      </c>
      <c r="O12" s="162" t="str">
        <f aca="false">IFERROR(H12/M12,"-")</f>
        <v>-</v>
      </c>
      <c r="P12" s="145" t="n">
        <f aca="false">H12-M12</f>
        <v>728.87</v>
      </c>
      <c r="R12" s="147" t="n">
        <v>5000</v>
      </c>
      <c r="S12" s="162" t="n">
        <f aca="false">IFERROR(H12/R12-1,"-")</f>
        <v>-0.854226</v>
      </c>
      <c r="T12" s="162" t="n">
        <f aca="false">IFERROR(H12/R12,"-")</f>
        <v>0.145774</v>
      </c>
      <c r="U12" s="147" t="n">
        <f aca="false">H12-R12</f>
        <v>-4271.13</v>
      </c>
      <c r="W12" s="145" t="n">
        <v>728.87</v>
      </c>
      <c r="X12" s="5" t="n">
        <f aca="false">H12-W12</f>
        <v>0</v>
      </c>
      <c r="Y12" s="163" t="n">
        <f aca="false">IFERROR((H12/W12)-1,"-")</f>
        <v>0</v>
      </c>
    </row>
    <row r="13" customFormat="false" ht="14.25" hidden="false" customHeight="true" outlineLevel="1" collapsed="false">
      <c r="A13" s="164" t="n">
        <v>15</v>
      </c>
      <c r="B13" s="85" t="s">
        <v>138</v>
      </c>
      <c r="C13" s="161" t="s">
        <v>47</v>
      </c>
      <c r="D13" s="161" t="s">
        <v>47</v>
      </c>
      <c r="E13" s="145" t="s">
        <v>32</v>
      </c>
      <c r="F13" s="145" t="n">
        <v>0</v>
      </c>
      <c r="G13" s="145" t="n">
        <v>0</v>
      </c>
      <c r="H13" s="145" t="n">
        <v>0</v>
      </c>
      <c r="I13" s="162" t="n">
        <f aca="false">IFERROR(H13/$H$19,"")</f>
        <v>0</v>
      </c>
      <c r="J13" s="194" t="str">
        <f aca="false">IFERROR(H13/G13-1,"")</f>
        <v/>
      </c>
      <c r="K13" s="145" t="n">
        <f aca="false">H13-G13</f>
        <v>0</v>
      </c>
      <c r="M13" s="145" t="n">
        <f aca="false">VLOOKUP(C13,'תקציב  '!$B:$S,11,0)*1</f>
        <v>0</v>
      </c>
      <c r="N13" s="162" t="str">
        <f aca="false">IFERROR(H13/M13-1,"-")</f>
        <v>-</v>
      </c>
      <c r="O13" s="162" t="str">
        <f aca="false">IFERROR(H13/M13,"-")</f>
        <v>-</v>
      </c>
      <c r="P13" s="145" t="n">
        <f aca="false">H13-M13</f>
        <v>0</v>
      </c>
      <c r="R13" s="147" t="n">
        <v>5000</v>
      </c>
      <c r="S13" s="162" t="n">
        <f aca="false">IFERROR(H13/R13-1,"-")</f>
        <v>-1</v>
      </c>
      <c r="T13" s="162" t="n">
        <f aca="false">IFERROR(H13/R13,"-")</f>
        <v>0</v>
      </c>
      <c r="U13" s="147" t="n">
        <f aca="false">H13-R13</f>
        <v>-5000</v>
      </c>
      <c r="W13" s="145" t="n">
        <v>0</v>
      </c>
      <c r="X13" s="5" t="n">
        <f aca="false">H13-W13</f>
        <v>0</v>
      </c>
      <c r="Y13" s="163" t="str">
        <f aca="false">IFERROR((H13/W13)-1,"-")</f>
        <v>-</v>
      </c>
    </row>
    <row r="14" customFormat="false" ht="14.25" hidden="false" customHeight="true" outlineLevel="1" collapsed="false">
      <c r="A14" s="164" t="n">
        <v>13</v>
      </c>
      <c r="B14" s="85" t="s">
        <v>139</v>
      </c>
      <c r="C14" s="161" t="s">
        <v>43</v>
      </c>
      <c r="D14" s="161" t="s">
        <v>43</v>
      </c>
      <c r="E14" s="145" t="s">
        <v>32</v>
      </c>
      <c r="F14" s="145" t="n">
        <v>0</v>
      </c>
      <c r="G14" s="145" t="n">
        <v>0</v>
      </c>
      <c r="H14" s="145" t="n">
        <v>0</v>
      </c>
      <c r="I14" s="162" t="n">
        <f aca="false">IFERROR(H14/$H$19,"")</f>
        <v>0</v>
      </c>
      <c r="J14" s="194" t="str">
        <f aca="false">IFERROR(H14/G14-1,"")</f>
        <v/>
      </c>
      <c r="K14" s="145" t="n">
        <f aca="false">H14-G14</f>
        <v>0</v>
      </c>
      <c r="M14" s="145" t="n">
        <f aca="false">VLOOKUP(C14,'תקציב  '!$B:$S,11,0)*1</f>
        <v>50000</v>
      </c>
      <c r="N14" s="162" t="n">
        <f aca="false">IFERROR(H14/M14-1,"-")</f>
        <v>-1</v>
      </c>
      <c r="O14" s="162" t="n">
        <f aca="false">IFERROR(H14/M14,"-")</f>
        <v>0</v>
      </c>
      <c r="P14" s="145" t="n">
        <f aca="false">H14-M14</f>
        <v>-50000</v>
      </c>
      <c r="R14" s="147" t="n">
        <v>5000</v>
      </c>
      <c r="S14" s="162" t="n">
        <f aca="false">IFERROR(H14/R14-1,"-")</f>
        <v>-1</v>
      </c>
      <c r="T14" s="162" t="n">
        <f aca="false">IFERROR(H14/R14,"-")</f>
        <v>0</v>
      </c>
      <c r="U14" s="147" t="n">
        <f aca="false">H14-R14</f>
        <v>-5000</v>
      </c>
      <c r="W14" s="145" t="n">
        <v>0</v>
      </c>
      <c r="X14" s="5" t="n">
        <f aca="false">H14-W14</f>
        <v>0</v>
      </c>
      <c r="Y14" s="163" t="str">
        <f aca="false">IFERROR((H14/W14)-1,"-")</f>
        <v>-</v>
      </c>
    </row>
    <row r="15" customFormat="false" ht="14.25" hidden="false" customHeight="true" outlineLevel="1" collapsed="false">
      <c r="A15" s="164" t="n">
        <v>9</v>
      </c>
      <c r="B15" s="85" t="s">
        <v>140</v>
      </c>
      <c r="C15" s="161" t="s">
        <v>44</v>
      </c>
      <c r="D15" s="161" t="s">
        <v>44</v>
      </c>
      <c r="E15" s="145" t="s">
        <v>32</v>
      </c>
      <c r="F15" s="145" t="n">
        <v>6797.75</v>
      </c>
      <c r="G15" s="145" t="n">
        <v>5704.97</v>
      </c>
      <c r="H15" s="145" t="n">
        <v>10118.69</v>
      </c>
      <c r="I15" s="162" t="n">
        <f aca="false">IFERROR(H15/$H$19,"")</f>
        <v>0.00512483834309066</v>
      </c>
      <c r="J15" s="194" t="n">
        <f aca="false">IFERROR(H15/G15-1,"")</f>
        <v>0.7736622629041</v>
      </c>
      <c r="K15" s="145" t="n">
        <f aca="false">H15-G15</f>
        <v>4413.72</v>
      </c>
      <c r="M15" s="145" t="n">
        <f aca="false">VLOOKUP(C15,'תקציב  '!$B:$S,11,0)*1</f>
        <v>17460.3174603175</v>
      </c>
      <c r="N15" s="162" t="n">
        <f aca="false">IFERROR(H15/M15-1,"-")</f>
        <v>-0.420475027272729</v>
      </c>
      <c r="O15" s="162" t="n">
        <f aca="false">IFERROR(H15/M15,"-")</f>
        <v>0.579524972727271</v>
      </c>
      <c r="P15" s="145" t="n">
        <f aca="false">H15-M15</f>
        <v>-7341.6274603175</v>
      </c>
      <c r="R15" s="147" t="n">
        <v>25000</v>
      </c>
      <c r="S15" s="162" t="n">
        <f aca="false">IFERROR(H15/R15-1,"-")</f>
        <v>-0.5952524</v>
      </c>
      <c r="T15" s="162" t="n">
        <f aca="false">IFERROR(H15/R15,"-")</f>
        <v>0.4047476</v>
      </c>
      <c r="U15" s="147" t="n">
        <f aca="false">H15-R15</f>
        <v>-14881.31</v>
      </c>
      <c r="W15" s="145" t="n">
        <v>10118.69</v>
      </c>
      <c r="X15" s="5" t="n">
        <f aca="false">H15-W15</f>
        <v>0</v>
      </c>
      <c r="Y15" s="163" t="n">
        <f aca="false">IFERROR((H15/W15)-1,"-")</f>
        <v>0</v>
      </c>
    </row>
    <row r="16" customFormat="false" ht="15" hidden="false" customHeight="true" outlineLevel="0" collapsed="false">
      <c r="A16" s="168"/>
      <c r="C16" s="170" t="s">
        <v>115</v>
      </c>
      <c r="D16" s="170" t="s">
        <v>115</v>
      </c>
      <c r="E16" s="172"/>
      <c r="F16" s="172" t="n">
        <f aca="false">SUM(F3:F15)+F50</f>
        <v>1515574.027</v>
      </c>
      <c r="G16" s="172" t="n">
        <f aca="false">SUM(G3:G15)+G50</f>
        <v>1428683.96</v>
      </c>
      <c r="H16" s="172" t="n">
        <f aca="false">SUM(H3:H15)+H50</f>
        <v>1581788.376</v>
      </c>
      <c r="I16" s="173" t="n">
        <f aca="false">IFERROR(H16/$H$19,"")</f>
        <v>0.801132332345382</v>
      </c>
      <c r="J16" s="195" t="n">
        <f aca="false">H16/G16-1</f>
        <v>0.10716464962622</v>
      </c>
      <c r="K16" s="172" t="n">
        <f aca="false">SUM(K3:K15)+K50</f>
        <v>153104.416</v>
      </c>
      <c r="M16" s="172" t="n">
        <f aca="false">SUM(M3:M15)+M50</f>
        <v>1832388.88888889</v>
      </c>
      <c r="N16" s="173" t="n">
        <f aca="false">IFERROR(H16/M16-1,"-")</f>
        <v>-0.136761641815481</v>
      </c>
      <c r="O16" s="173" t="n">
        <f aca="false">IFERROR(H16/M16,"-")</f>
        <v>0.863238358184519</v>
      </c>
      <c r="P16" s="172" t="n">
        <f aca="false">SUM(P3:P15)+P50</f>
        <v>-250600.512888889</v>
      </c>
      <c r="R16" s="172" t="n">
        <f aca="false">SUM(R3:R15)+R50</f>
        <v>1645000</v>
      </c>
      <c r="S16" s="173" t="n">
        <f aca="false">IFERROR(H16/R16-1,"-")</f>
        <v>-0.0384265191489362</v>
      </c>
      <c r="T16" s="173" t="n">
        <f aca="false">IFERROR(H16/R16,"-")</f>
        <v>0.961573480851064</v>
      </c>
      <c r="U16" s="172" t="n">
        <f aca="false">H16-R16</f>
        <v>-63211.6240000001</v>
      </c>
      <c r="V16" s="174"/>
      <c r="W16" s="172" t="n">
        <v>1527112.681</v>
      </c>
      <c r="X16" s="175" t="n">
        <f aca="false">H16-W16</f>
        <v>54675.6949999998</v>
      </c>
      <c r="Y16" s="176" t="n">
        <f aca="false">IFERROR((H16/W16)-1,"-")</f>
        <v>0.035803314110519</v>
      </c>
    </row>
    <row r="17" customFormat="false" ht="14.25" hidden="false" customHeight="true" outlineLevel="1" collapsed="false">
      <c r="A17" s="164" t="n">
        <v>2</v>
      </c>
      <c r="B17" s="85" t="s">
        <v>141</v>
      </c>
      <c r="C17" s="161" t="s">
        <v>45</v>
      </c>
      <c r="D17" s="161" t="s">
        <v>45</v>
      </c>
      <c r="E17" s="145" t="s">
        <v>32</v>
      </c>
      <c r="F17" s="145" t="n">
        <v>43626.89</v>
      </c>
      <c r="G17" s="145" t="n">
        <v>136844.33</v>
      </c>
      <c r="H17" s="145" t="n">
        <v>391167.74</v>
      </c>
      <c r="I17" s="162" t="n">
        <f aca="false">IFERROR(H17/$H$19,"")</f>
        <v>0.198115707915957</v>
      </c>
      <c r="J17" s="194" t="n">
        <f aca="false">IFERROR(H17/G17-1,"")</f>
        <v>1.85848701221307</v>
      </c>
      <c r="K17" s="145" t="n">
        <f aca="false">H17-G17</f>
        <v>254323.41</v>
      </c>
      <c r="M17" s="145" t="n">
        <f aca="false">VLOOKUP(C17,'תקציב  '!$B:$S,11,0)*1</f>
        <v>1159556.77966102</v>
      </c>
      <c r="N17" s="162" t="n">
        <f aca="false">IFERROR(H17/M17-1,"-")</f>
        <v>-0.662657537033803</v>
      </c>
      <c r="O17" s="162" t="n">
        <f aca="false">IFERROR(H17/M17,"-")</f>
        <v>0.337342462966197</v>
      </c>
      <c r="P17" s="145" t="n">
        <f aca="false">H17-M17</f>
        <v>-768389.03966102</v>
      </c>
      <c r="R17" s="147" t="n">
        <v>481500</v>
      </c>
      <c r="S17" s="162" t="n">
        <f aca="false">IFERROR(H17/R17-1,"-")</f>
        <v>-0.187605939771547</v>
      </c>
      <c r="T17" s="162" t="n">
        <f aca="false">IFERROR(H17/R17,"-")</f>
        <v>0.812394060228453</v>
      </c>
      <c r="U17" s="147" t="n">
        <f aca="false">H17-R17</f>
        <v>-90332.26</v>
      </c>
      <c r="W17" s="145" t="n">
        <v>391167.74</v>
      </c>
      <c r="X17" s="5" t="n">
        <f aca="false">H17-W17</f>
        <v>0</v>
      </c>
      <c r="Y17" s="163" t="n">
        <f aca="false">IFERROR((H17/W17)-1,"-")</f>
        <v>0</v>
      </c>
    </row>
    <row r="18" customFormat="false" ht="14.25" hidden="false" customHeight="true" outlineLevel="1" collapsed="false">
      <c r="A18" s="164" t="n">
        <v>12</v>
      </c>
      <c r="B18" s="85" t="s">
        <v>142</v>
      </c>
      <c r="C18" s="161" t="s">
        <v>46</v>
      </c>
      <c r="D18" s="161" t="s">
        <v>46</v>
      </c>
      <c r="E18" s="145" t="s">
        <v>32</v>
      </c>
      <c r="F18" s="145" t="n">
        <v>4027.72</v>
      </c>
      <c r="G18" s="145" t="n">
        <v>2497.52</v>
      </c>
      <c r="H18" s="145" t="n">
        <v>1484.7</v>
      </c>
      <c r="I18" s="162" t="n">
        <f aca="false">IFERROR(H18/$H$19,"")</f>
        <v>0.000751959738660508</v>
      </c>
      <c r="J18" s="194" t="n">
        <f aca="false">IFERROR(H18/G18-1,"")</f>
        <v>-0.405530286043755</v>
      </c>
      <c r="K18" s="145" t="n">
        <f aca="false">H18-G18</f>
        <v>-1012.82</v>
      </c>
      <c r="M18" s="145" t="n">
        <f aca="false">VLOOKUP(C18,'תקציב  '!$B:$S,11,0)*1</f>
        <v>2536.92833333333</v>
      </c>
      <c r="N18" s="162" t="n">
        <f aca="false">IFERROR(H18/M18-1,"-")</f>
        <v>-0.414764705611838</v>
      </c>
      <c r="O18" s="162" t="n">
        <f aca="false">IFERROR(H18/M18,"-")</f>
        <v>0.585235294388162</v>
      </c>
      <c r="P18" s="145" t="n">
        <f aca="false">H18-M18</f>
        <v>-1052.22833333333</v>
      </c>
      <c r="R18" s="147" t="n">
        <v>5000</v>
      </c>
      <c r="S18" s="162" t="n">
        <f aca="false">IFERROR(H18/R18-1,"-")</f>
        <v>-0.70306</v>
      </c>
      <c r="T18" s="162" t="n">
        <f aca="false">IFERROR(H18/R18,"-")</f>
        <v>0.29694</v>
      </c>
      <c r="U18" s="147" t="n">
        <f aca="false">H18-R18</f>
        <v>-3515.3</v>
      </c>
      <c r="W18" s="145" t="n">
        <v>1484.7</v>
      </c>
      <c r="X18" s="5" t="n">
        <f aca="false">H18-W18</f>
        <v>0</v>
      </c>
      <c r="Y18" s="163" t="n">
        <f aca="false">IFERROR((H18/W18)-1,"-")</f>
        <v>0</v>
      </c>
    </row>
    <row r="19" customFormat="false" ht="15" hidden="false" customHeight="true" outlineLevel="0" collapsed="false">
      <c r="A19" s="165"/>
      <c r="C19" s="178" t="s">
        <v>48</v>
      </c>
      <c r="D19" s="178" t="s">
        <v>48</v>
      </c>
      <c r="E19" s="172"/>
      <c r="F19" s="172" t="n">
        <f aca="false">F16+F17+F18</f>
        <v>1563228.637</v>
      </c>
      <c r="G19" s="172" t="n">
        <f aca="false">G16+G17+G18</f>
        <v>1568025.81</v>
      </c>
      <c r="H19" s="172" t="n">
        <f aca="false">H16+H17+H18</f>
        <v>1974440.816</v>
      </c>
      <c r="I19" s="173" t="n">
        <f aca="false">IFERROR(H19/$H$19,"")</f>
        <v>1</v>
      </c>
      <c r="J19" s="195" t="n">
        <f aca="false">H19/G19-1</f>
        <v>0.259188977252868</v>
      </c>
      <c r="K19" s="172" t="n">
        <f aca="false">K16+K17+K18</f>
        <v>406415.006</v>
      </c>
      <c r="M19" s="172" t="n">
        <f aca="false">M16+M17+M18</f>
        <v>2994482.59688324</v>
      </c>
      <c r="N19" s="173" t="n">
        <f aca="false">IFERROR(H19/M19-1,"-")</f>
        <v>-0.340640410448515</v>
      </c>
      <c r="O19" s="173" t="n">
        <f aca="false">IFERROR(H19/M19,"-")</f>
        <v>0.659359589551485</v>
      </c>
      <c r="P19" s="172" t="n">
        <f aca="false">P16+P17+P18</f>
        <v>-1020041.78088324</v>
      </c>
      <c r="R19" s="172" t="n">
        <f aca="false">R16+R17+R18</f>
        <v>2131500</v>
      </c>
      <c r="S19" s="173" t="n">
        <f aca="false">IFERROR(H19/R19-1,"-")</f>
        <v>-0.0736848153882244</v>
      </c>
      <c r="T19" s="173" t="n">
        <f aca="false">IFERROR(H19/R19,"-")</f>
        <v>0.926315184611776</v>
      </c>
      <c r="U19" s="172" t="n">
        <f aca="false">H19-R19</f>
        <v>-157059.184</v>
      </c>
      <c r="V19" s="174"/>
      <c r="W19" s="172" t="n">
        <v>1919765.121</v>
      </c>
      <c r="X19" s="175" t="n">
        <f aca="false">H19-W19</f>
        <v>54675.6949999998</v>
      </c>
      <c r="Y19" s="176" t="n">
        <f aca="false">IFERROR((H19/W19)-1,"-")</f>
        <v>0.0284804085676478</v>
      </c>
    </row>
    <row r="20" customFormat="false" ht="14.25" hidden="false" customHeight="true" outlineLevel="1" collapsed="false">
      <c r="A20" s="165" t="n">
        <v>50</v>
      </c>
      <c r="B20" s="85" t="s">
        <v>143</v>
      </c>
      <c r="C20" s="167" t="s">
        <v>49</v>
      </c>
      <c r="D20" s="167" t="s">
        <v>50</v>
      </c>
      <c r="E20" s="145" t="s">
        <v>51</v>
      </c>
      <c r="F20" s="145" t="n">
        <v>273201.5</v>
      </c>
      <c r="G20" s="145" t="n">
        <v>252496.44</v>
      </c>
      <c r="H20" s="145" t="n">
        <v>202592.25</v>
      </c>
      <c r="I20" s="162" t="n">
        <f aca="false">IFERROR(H20/$H$19,"")</f>
        <v>0.102607405782073</v>
      </c>
      <c r="J20" s="194" t="n">
        <f aca="false">IFERROR(H20/G20-1,"")</f>
        <v>-0.197643143008274</v>
      </c>
      <c r="K20" s="145" t="n">
        <f aca="false">H20-G20</f>
        <v>-49904.19</v>
      </c>
      <c r="M20" s="145" t="n">
        <f aca="false">VLOOKUP(C20,'תקציב  '!$B:$S,11,0)*1</f>
        <v>481801.946175</v>
      </c>
      <c r="N20" s="162" t="n">
        <f aca="false">IFERROR(H20/M20-1,"-")</f>
        <v>-0.579511349822538</v>
      </c>
      <c r="O20" s="162" t="n">
        <f aca="false">IFERROR(H20/M20,"-")</f>
        <v>0.420488650177462</v>
      </c>
      <c r="P20" s="145" t="n">
        <f aca="false">H20-M20</f>
        <v>-279209.696175</v>
      </c>
      <c r="R20" s="147" t="n">
        <v>305012.4</v>
      </c>
      <c r="S20" s="162" t="n">
        <f aca="false">IFERROR(H20/R20-1,"-")</f>
        <v>-0.335790118696814</v>
      </c>
      <c r="T20" s="162" t="n">
        <f aca="false">IFERROR(H20/R20,"-")</f>
        <v>0.664209881303186</v>
      </c>
      <c r="U20" s="147" t="n">
        <f aca="false">H20-R20</f>
        <v>-102420.15</v>
      </c>
      <c r="W20" s="145" t="n">
        <v>202592.25</v>
      </c>
      <c r="X20" s="5" t="n">
        <f aca="false">H20-W20</f>
        <v>0</v>
      </c>
      <c r="Y20" s="163" t="n">
        <f aca="false">IFERROR((H20/W20)-1,"-")</f>
        <v>0</v>
      </c>
    </row>
    <row r="21" customFormat="false" ht="14.25" hidden="false" customHeight="true" outlineLevel="1" collapsed="false">
      <c r="A21" s="165" t="n">
        <v>20</v>
      </c>
      <c r="B21" s="85" t="s">
        <v>144</v>
      </c>
      <c r="C21" s="167" t="s">
        <v>52</v>
      </c>
      <c r="D21" s="167" t="s">
        <v>53</v>
      </c>
      <c r="E21" s="145" t="s">
        <v>54</v>
      </c>
      <c r="F21" s="145" t="n">
        <v>-2422.68</v>
      </c>
      <c r="G21" s="145" t="n">
        <v>0</v>
      </c>
      <c r="H21" s="145" t="n">
        <v>132101.57</v>
      </c>
      <c r="I21" s="162" t="n">
        <f aca="false">IFERROR(H21/$H$19,"")</f>
        <v>0.0669058140054171</v>
      </c>
      <c r="J21" s="194" t="str">
        <f aca="false">IFERROR(H21/G21-1,"")</f>
        <v/>
      </c>
      <c r="K21" s="145" t="n">
        <f aca="false">H21-G21</f>
        <v>132101.57</v>
      </c>
      <c r="M21" s="145" t="n">
        <f aca="false">VLOOKUP(C21,'תקציב  '!$B:$S,11,0)*1</f>
        <v>0</v>
      </c>
      <c r="N21" s="162" t="str">
        <f aca="false">IFERROR(H21/M21-1,"-")</f>
        <v>-</v>
      </c>
      <c r="O21" s="162" t="str">
        <f aca="false">IFERROR(H21/M21,"-")</f>
        <v>-</v>
      </c>
      <c r="P21" s="145" t="n">
        <f aca="false">H21-M21</f>
        <v>132101.57</v>
      </c>
      <c r="R21" s="147" t="n">
        <v>130000</v>
      </c>
      <c r="S21" s="162" t="n">
        <f aca="false">IFERROR(H21/R21-1,"-")</f>
        <v>0.0161659230769231</v>
      </c>
      <c r="T21" s="162" t="n">
        <f aca="false">IFERROR(H21/R21,"-")</f>
        <v>1.01616592307692</v>
      </c>
      <c r="U21" s="147" t="n">
        <f aca="false">H21-R21</f>
        <v>2101.57000000001</v>
      </c>
      <c r="W21" s="145" t="n">
        <v>132101.57</v>
      </c>
      <c r="X21" s="5" t="n">
        <f aca="false">H21-W21</f>
        <v>0</v>
      </c>
      <c r="Y21" s="163" t="n">
        <f aca="false">IFERROR((H21/W21)-1,"-")</f>
        <v>0</v>
      </c>
    </row>
    <row r="22" customFormat="false" ht="14.25" hidden="false" customHeight="true" outlineLevel="1" collapsed="false">
      <c r="A22" s="165" t="n">
        <v>21</v>
      </c>
      <c r="B22" s="85" t="s">
        <v>145</v>
      </c>
      <c r="C22" s="167" t="s">
        <v>55</v>
      </c>
      <c r="D22" s="167" t="s">
        <v>56</v>
      </c>
      <c r="E22" s="145" t="s">
        <v>57</v>
      </c>
      <c r="F22" s="145" t="n">
        <v>16110.54</v>
      </c>
      <c r="G22" s="145" t="n">
        <v>64506.58</v>
      </c>
      <c r="H22" s="145" t="n">
        <v>10986.57</v>
      </c>
      <c r="I22" s="162" t="n">
        <f aca="false">IFERROR(H22/$H$19,"")</f>
        <v>0.00556439570686023</v>
      </c>
      <c r="J22" s="194" t="n">
        <f aca="false">IFERROR(H22/G22-1,"")</f>
        <v>-0.829682956374373</v>
      </c>
      <c r="K22" s="145" t="n">
        <f aca="false">H22-G22</f>
        <v>-53520.01</v>
      </c>
      <c r="M22" s="145" t="n">
        <f aca="false">VLOOKUP(C22,'תקציב  '!$B:$S,11,0)*1</f>
        <v>120000</v>
      </c>
      <c r="N22" s="162" t="n">
        <f aca="false">IFERROR(H22/M22-1,"-")</f>
        <v>-0.90844525</v>
      </c>
      <c r="O22" s="162" t="n">
        <f aca="false">IFERROR(H22/M22,"-")</f>
        <v>0.09155475</v>
      </c>
      <c r="P22" s="145" t="n">
        <f aca="false">H22-M22</f>
        <v>-109013.43</v>
      </c>
      <c r="R22" s="147" t="n">
        <v>20000</v>
      </c>
      <c r="S22" s="162" t="n">
        <f aca="false">IFERROR(H22/R22-1,"-")</f>
        <v>-0.4506715</v>
      </c>
      <c r="T22" s="162" t="n">
        <f aca="false">IFERROR(H22/R22,"-")</f>
        <v>0.5493285</v>
      </c>
      <c r="U22" s="147" t="n">
        <f aca="false">H22-R22</f>
        <v>-9013.43</v>
      </c>
      <c r="W22" s="145" t="n">
        <v>10986.57</v>
      </c>
      <c r="X22" s="5" t="n">
        <f aca="false">H22-W22</f>
        <v>0</v>
      </c>
      <c r="Y22" s="163" t="n">
        <f aca="false">IFERROR((H22/W22)-1,"-")</f>
        <v>0</v>
      </c>
    </row>
    <row r="23" customFormat="false" ht="14.25" hidden="false" customHeight="true" outlineLevel="1" collapsed="false">
      <c r="A23" s="165" t="n">
        <v>22</v>
      </c>
      <c r="B23" s="85" t="s">
        <v>146</v>
      </c>
      <c r="C23" s="167" t="s">
        <v>58</v>
      </c>
      <c r="D23" s="167" t="s">
        <v>59</v>
      </c>
      <c r="E23" s="145" t="s">
        <v>60</v>
      </c>
      <c r="F23" s="145" t="n">
        <v>0</v>
      </c>
      <c r="G23" s="145" t="n">
        <v>68497.3</v>
      </c>
      <c r="H23" s="145" t="n">
        <v>0</v>
      </c>
      <c r="I23" s="162" t="n">
        <f aca="false">IFERROR(H23/$H$19,"")</f>
        <v>0</v>
      </c>
      <c r="J23" s="194" t="n">
        <f aca="false">IFERROR(H23/G23-1,"")</f>
        <v>-1</v>
      </c>
      <c r="K23" s="145" t="n">
        <f aca="false">H23-G23</f>
        <v>-68497.3</v>
      </c>
      <c r="M23" s="145" t="n">
        <f aca="false">VLOOKUP(C23,'תקציב  '!$B:$S,11,0)*1</f>
        <v>0</v>
      </c>
      <c r="N23" s="162" t="str">
        <f aca="false">IFERROR(H23/M23-1,"-")</f>
        <v>-</v>
      </c>
      <c r="O23" s="162" t="str">
        <f aca="false">IFERROR(H23/M23,"-")</f>
        <v>-</v>
      </c>
      <c r="P23" s="145" t="n">
        <f aca="false">H23-M23</f>
        <v>0</v>
      </c>
      <c r="R23" s="147" t="n">
        <v>0</v>
      </c>
      <c r="S23" s="162" t="str">
        <f aca="false">IFERROR(H23/R23-1,"-")</f>
        <v>-</v>
      </c>
      <c r="T23" s="162" t="str">
        <f aca="false">IFERROR(H23/R23,"-")</f>
        <v>-</v>
      </c>
      <c r="U23" s="147" t="n">
        <f aca="false">H23-R23</f>
        <v>0</v>
      </c>
      <c r="W23" s="145" t="n">
        <v>0</v>
      </c>
      <c r="X23" s="5" t="n">
        <f aca="false">H23-W23</f>
        <v>0</v>
      </c>
      <c r="Y23" s="163" t="str">
        <f aca="false">IFERROR((H23/W23)-1,"-")</f>
        <v>-</v>
      </c>
    </row>
    <row r="24" customFormat="false" ht="14.25" hidden="false" customHeight="true" outlineLevel="1" collapsed="false">
      <c r="A24" s="165" t="n">
        <v>23</v>
      </c>
      <c r="B24" s="85" t="s">
        <v>147</v>
      </c>
      <c r="C24" s="167" t="s">
        <v>61</v>
      </c>
      <c r="D24" s="167" t="s">
        <v>62</v>
      </c>
      <c r="E24" s="145" t="s">
        <v>63</v>
      </c>
      <c r="F24" s="145" t="n">
        <v>19066.6</v>
      </c>
      <c r="G24" s="145" t="n">
        <v>18496.39</v>
      </c>
      <c r="H24" s="145" t="n">
        <v>0</v>
      </c>
      <c r="I24" s="162" t="n">
        <f aca="false">IFERROR(H24/$H$19,"")</f>
        <v>0</v>
      </c>
      <c r="J24" s="194" t="n">
        <f aca="false">IFERROR(H24/G24-1,"")</f>
        <v>-1</v>
      </c>
      <c r="K24" s="145" t="n">
        <f aca="false">H24-G24</f>
        <v>-18496.39</v>
      </c>
      <c r="M24" s="145" t="n">
        <f aca="false">VLOOKUP(C24,'תקציב  '!$B:$S,11,0)*1</f>
        <v>10000</v>
      </c>
      <c r="N24" s="162" t="n">
        <f aca="false">IFERROR(H24/M24-1,"-")</f>
        <v>-1</v>
      </c>
      <c r="O24" s="162" t="n">
        <f aca="false">IFERROR(H24/M24,"-")</f>
        <v>0</v>
      </c>
      <c r="P24" s="145" t="n">
        <f aca="false">H24-M24</f>
        <v>-10000</v>
      </c>
      <c r="R24" s="147" t="n">
        <v>0</v>
      </c>
      <c r="S24" s="162" t="str">
        <f aca="false">IFERROR(H24/R24-1,"-")</f>
        <v>-</v>
      </c>
      <c r="T24" s="162" t="str">
        <f aca="false">IFERROR(H24/R24,"-")</f>
        <v>-</v>
      </c>
      <c r="U24" s="147" t="n">
        <f aca="false">H24-R24</f>
        <v>0</v>
      </c>
      <c r="W24" s="145" t="n">
        <v>0</v>
      </c>
      <c r="X24" s="5" t="n">
        <f aca="false">H24-W24</f>
        <v>0</v>
      </c>
      <c r="Y24" s="163" t="str">
        <f aca="false">IFERROR((H24/W24)-1,"-")</f>
        <v>-</v>
      </c>
    </row>
    <row r="25" customFormat="false" ht="14.25" hidden="false" customHeight="true" outlineLevel="1" collapsed="false">
      <c r="A25" s="165" t="n">
        <v>24</v>
      </c>
      <c r="B25" s="85" t="s">
        <v>148</v>
      </c>
      <c r="C25" s="167" t="s">
        <v>64</v>
      </c>
      <c r="D25" s="167" t="s">
        <v>65</v>
      </c>
      <c r="E25" s="145" t="s">
        <v>66</v>
      </c>
      <c r="F25" s="145" t="n">
        <v>0</v>
      </c>
      <c r="G25" s="145" t="n">
        <v>0</v>
      </c>
      <c r="H25" s="145" t="n">
        <v>0</v>
      </c>
      <c r="I25" s="162" t="n">
        <f aca="false">IFERROR(H25/$H$19,"")</f>
        <v>0</v>
      </c>
      <c r="J25" s="194" t="str">
        <f aca="false">IFERROR(H25/G25-1,"")</f>
        <v/>
      </c>
      <c r="K25" s="145" t="n">
        <f aca="false">H25-G25</f>
        <v>0</v>
      </c>
      <c r="M25" s="145" t="n">
        <f aca="false">VLOOKUP(C25,'תקציב  '!$B:$S,11,0)*1</f>
        <v>5000</v>
      </c>
      <c r="N25" s="162" t="n">
        <f aca="false">IFERROR(H25/M25-1,"-")</f>
        <v>-1</v>
      </c>
      <c r="O25" s="162" t="n">
        <f aca="false">IFERROR(H25/M25,"-")</f>
        <v>0</v>
      </c>
      <c r="P25" s="145" t="n">
        <f aca="false">H25-M25</f>
        <v>-5000</v>
      </c>
      <c r="R25" s="147" t="n">
        <v>0</v>
      </c>
      <c r="S25" s="162" t="str">
        <f aca="false">IFERROR(H25/R25-1,"-")</f>
        <v>-</v>
      </c>
      <c r="T25" s="162" t="str">
        <f aca="false">IFERROR(H25/R25,"-")</f>
        <v>-</v>
      </c>
      <c r="U25" s="147" t="n">
        <f aca="false">H25-R25</f>
        <v>0</v>
      </c>
      <c r="W25" s="145" t="n">
        <v>0</v>
      </c>
      <c r="X25" s="5" t="n">
        <f aca="false">H25-W25</f>
        <v>0</v>
      </c>
      <c r="Y25" s="163" t="str">
        <f aca="false">IFERROR((H25/W25)-1,"-")</f>
        <v>-</v>
      </c>
    </row>
    <row r="26" customFormat="false" ht="13.5" hidden="false" customHeight="true" outlineLevel="1" collapsed="false">
      <c r="A26" s="165" t="n">
        <v>25</v>
      </c>
      <c r="B26" s="85" t="s">
        <v>149</v>
      </c>
      <c r="C26" s="167" t="s">
        <v>67</v>
      </c>
      <c r="D26" s="167" t="s">
        <v>68</v>
      </c>
      <c r="E26" s="145" t="s">
        <v>69</v>
      </c>
      <c r="F26" s="145" t="n">
        <v>0</v>
      </c>
      <c r="G26" s="145" t="n">
        <v>0</v>
      </c>
      <c r="H26" s="145" t="n">
        <v>0</v>
      </c>
      <c r="I26" s="162" t="n">
        <f aca="false">IFERROR(H26/$H$19,"")</f>
        <v>0</v>
      </c>
      <c r="J26" s="194" t="str">
        <f aca="false">IFERROR(H26/G26-1,"")</f>
        <v/>
      </c>
      <c r="K26" s="145" t="n">
        <f aca="false">H26-G26</f>
        <v>0</v>
      </c>
      <c r="M26" s="145" t="n">
        <f aca="false">VLOOKUP(C26,'תקציב  '!$B:$S,11,0)*1</f>
        <v>0</v>
      </c>
      <c r="N26" s="162" t="str">
        <f aca="false">IFERROR(H26/M26-1,"-")</f>
        <v>-</v>
      </c>
      <c r="O26" s="162" t="str">
        <f aca="false">IFERROR(H26/M26,"-")</f>
        <v>-</v>
      </c>
      <c r="P26" s="145" t="n">
        <f aca="false">H26-M26</f>
        <v>0</v>
      </c>
      <c r="R26" s="147" t="n">
        <v>0</v>
      </c>
      <c r="S26" s="162" t="str">
        <f aca="false">IFERROR(H26/R26-1,"-")</f>
        <v>-</v>
      </c>
      <c r="T26" s="162" t="str">
        <f aca="false">IFERROR(H26/R26,"-")</f>
        <v>-</v>
      </c>
      <c r="U26" s="147" t="n">
        <f aca="false">H26-R26</f>
        <v>0</v>
      </c>
      <c r="W26" s="145" t="n">
        <v>0</v>
      </c>
      <c r="X26" s="5" t="n">
        <f aca="false">H26-W26</f>
        <v>0</v>
      </c>
      <c r="Y26" s="163" t="str">
        <f aca="false">IFERROR((H26/W26)-1,"-")</f>
        <v>-</v>
      </c>
    </row>
    <row r="27" customFormat="false" ht="14.25" hidden="false" customHeight="true" outlineLevel="1" collapsed="false">
      <c r="A27" s="165" t="n">
        <v>26</v>
      </c>
      <c r="B27" s="85" t="s">
        <v>150</v>
      </c>
      <c r="C27" s="167" t="s">
        <v>70</v>
      </c>
      <c r="D27" s="167" t="s">
        <v>71</v>
      </c>
      <c r="E27" s="145" t="s">
        <v>72</v>
      </c>
      <c r="F27" s="145" t="n">
        <v>41467.05</v>
      </c>
      <c r="G27" s="145" t="n">
        <v>0</v>
      </c>
      <c r="H27" s="145" t="n">
        <v>0</v>
      </c>
      <c r="I27" s="162" t="n">
        <f aca="false">IFERROR(H27/$H$19,"")</f>
        <v>0</v>
      </c>
      <c r="J27" s="194" t="str">
        <f aca="false">IFERROR(H27/G27-1,"")</f>
        <v/>
      </c>
      <c r="K27" s="145" t="n">
        <f aca="false">H27-G27</f>
        <v>0</v>
      </c>
      <c r="M27" s="145" t="n">
        <f aca="false">VLOOKUP(C27,'תקציב  '!$B:$S,11,0)*1</f>
        <v>40000</v>
      </c>
      <c r="N27" s="162" t="n">
        <f aca="false">IFERROR(H27/M27-1,"-")</f>
        <v>-1</v>
      </c>
      <c r="O27" s="162" t="n">
        <f aca="false">IFERROR(H27/M27,"-")</f>
        <v>0</v>
      </c>
      <c r="P27" s="145" t="n">
        <f aca="false">H27-M27</f>
        <v>-40000</v>
      </c>
      <c r="R27" s="147" t="n">
        <v>0</v>
      </c>
      <c r="S27" s="162" t="str">
        <f aca="false">IFERROR(H27/R27-1,"-")</f>
        <v>-</v>
      </c>
      <c r="T27" s="162" t="str">
        <f aca="false">IFERROR(H27/R27,"-")</f>
        <v>-</v>
      </c>
      <c r="U27" s="147" t="n">
        <f aca="false">H27-R27</f>
        <v>0</v>
      </c>
      <c r="W27" s="145" t="n">
        <v>0</v>
      </c>
      <c r="X27" s="5" t="n">
        <f aca="false">H27-W27</f>
        <v>0</v>
      </c>
      <c r="Y27" s="163" t="str">
        <f aca="false">IFERROR((H27/W27)-1,"-")</f>
        <v>-</v>
      </c>
    </row>
    <row r="28" customFormat="false" ht="13.5" hidden="false" customHeight="true" outlineLevel="1" collapsed="false">
      <c r="A28" s="165" t="n">
        <v>27</v>
      </c>
      <c r="B28" s="85" t="s">
        <v>151</v>
      </c>
      <c r="C28" s="167" t="s">
        <v>73</v>
      </c>
      <c r="D28" s="167" t="s">
        <v>74</v>
      </c>
      <c r="E28" s="145" t="s">
        <v>75</v>
      </c>
      <c r="F28" s="145" t="n">
        <v>0</v>
      </c>
      <c r="G28" s="145" t="n">
        <v>0</v>
      </c>
      <c r="H28" s="145" t="n">
        <v>0</v>
      </c>
      <c r="I28" s="162" t="n">
        <f aca="false">IFERROR(H28/$H$19,"")</f>
        <v>0</v>
      </c>
      <c r="J28" s="194" t="str">
        <f aca="false">IFERROR(H28/G28-1,"")</f>
        <v/>
      </c>
      <c r="K28" s="145" t="n">
        <f aca="false">H28-G28</f>
        <v>0</v>
      </c>
      <c r="M28" s="145" t="n">
        <f aca="false">VLOOKUP(C28,'תקציב  '!$B:$S,11,0)*1</f>
        <v>250000</v>
      </c>
      <c r="N28" s="162" t="n">
        <f aca="false">IFERROR(H28/M28-1,"-")</f>
        <v>-1</v>
      </c>
      <c r="O28" s="162" t="n">
        <f aca="false">IFERROR(H28/M28,"-")</f>
        <v>0</v>
      </c>
      <c r="P28" s="145" t="n">
        <f aca="false">H28-M28</f>
        <v>-250000</v>
      </c>
      <c r="R28" s="147" t="n">
        <v>0</v>
      </c>
      <c r="S28" s="162" t="str">
        <f aca="false">IFERROR(H28/R28-1,"-")</f>
        <v>-</v>
      </c>
      <c r="T28" s="162" t="str">
        <f aca="false">IFERROR(H28/R28,"-")</f>
        <v>-</v>
      </c>
      <c r="U28" s="147" t="n">
        <f aca="false">H28-R28</f>
        <v>0</v>
      </c>
      <c r="W28" s="145" t="n">
        <v>0</v>
      </c>
      <c r="X28" s="5" t="n">
        <f aca="false">H28-W28</f>
        <v>0</v>
      </c>
      <c r="Y28" s="163" t="str">
        <f aca="false">IFERROR((H28/W28)-1,"-")</f>
        <v>-</v>
      </c>
    </row>
    <row r="29" customFormat="false" ht="13.5" hidden="false" customHeight="true" outlineLevel="1" collapsed="false">
      <c r="A29" s="165" t="n">
        <v>28</v>
      </c>
      <c r="B29" s="85" t="s">
        <v>152</v>
      </c>
      <c r="C29" s="167" t="s">
        <v>76</v>
      </c>
      <c r="D29" s="167" t="s">
        <v>77</v>
      </c>
      <c r="E29" s="145" t="s">
        <v>78</v>
      </c>
      <c r="F29" s="145" t="n">
        <v>21966.81</v>
      </c>
      <c r="G29" s="145" t="n">
        <v>26937.54</v>
      </c>
      <c r="H29" s="145" t="n">
        <v>30237.69</v>
      </c>
      <c r="I29" s="162" t="n">
        <f aca="false">IFERROR(H29/$H$19,"")</f>
        <v>0.0153145588132939</v>
      </c>
      <c r="J29" s="194" t="n">
        <f aca="false">IFERROR(H29/G29-1,"")</f>
        <v>0.122511186990349</v>
      </c>
      <c r="K29" s="145" t="n">
        <f aca="false">H29-G29</f>
        <v>3300.15</v>
      </c>
      <c r="M29" s="145" t="n">
        <f aca="false">VLOOKUP(C29,'תקציב  '!$B:$S,11,0)*1</f>
        <v>39765.076</v>
      </c>
      <c r="N29" s="162" t="n">
        <f aca="false">IFERROR(H29/M29-1,"-")</f>
        <v>-0.239591796580497</v>
      </c>
      <c r="O29" s="162" t="n">
        <f aca="false">IFERROR(H29/M29,"-")</f>
        <v>0.760408203419503</v>
      </c>
      <c r="P29" s="145" t="n">
        <f aca="false">H29-M29</f>
        <v>-9527.386</v>
      </c>
      <c r="R29" s="147" t="n">
        <v>20000</v>
      </c>
      <c r="S29" s="162" t="n">
        <f aca="false">IFERROR(H29/R29-1,"-")</f>
        <v>0.5118845</v>
      </c>
      <c r="T29" s="162" t="n">
        <f aca="false">IFERROR(H29/R29,"-")</f>
        <v>1.5118845</v>
      </c>
      <c r="U29" s="147" t="n">
        <f aca="false">H29-R29</f>
        <v>10237.69</v>
      </c>
      <c r="W29" s="145" t="n">
        <v>30237.69</v>
      </c>
      <c r="X29" s="5" t="n">
        <f aca="false">H29-W29</f>
        <v>0</v>
      </c>
      <c r="Y29" s="163" t="n">
        <f aca="false">IFERROR((H29/W29)-1,"-")</f>
        <v>0</v>
      </c>
    </row>
    <row r="30" customFormat="false" ht="14.25" hidden="false" customHeight="true" outlineLevel="1" collapsed="false">
      <c r="A30" s="165" t="n">
        <v>29</v>
      </c>
      <c r="B30" s="85" t="s">
        <v>153</v>
      </c>
      <c r="C30" s="167" t="s">
        <v>79</v>
      </c>
      <c r="D30" s="167" t="s">
        <v>80</v>
      </c>
      <c r="E30" s="145" t="s">
        <v>81</v>
      </c>
      <c r="F30" s="145" t="n">
        <v>0</v>
      </c>
      <c r="G30" s="145" t="n">
        <v>0</v>
      </c>
      <c r="H30" s="145" t="n">
        <v>0</v>
      </c>
      <c r="I30" s="162" t="n">
        <f aca="false">IFERROR(H30/$H$19,"")</f>
        <v>0</v>
      </c>
      <c r="J30" s="194" t="str">
        <f aca="false">IFERROR(H30/G30-1,"")</f>
        <v/>
      </c>
      <c r="K30" s="145" t="n">
        <f aca="false">H30-G30</f>
        <v>0</v>
      </c>
      <c r="M30" s="145" t="n">
        <f aca="false">VLOOKUP(C30,'תקציב  '!$B:$S,11,0)*1</f>
        <v>0</v>
      </c>
      <c r="N30" s="162" t="str">
        <f aca="false">IFERROR(H30/M30-1,"-")</f>
        <v>-</v>
      </c>
      <c r="O30" s="162" t="str">
        <f aca="false">IFERROR(H30/M30,"-")</f>
        <v>-</v>
      </c>
      <c r="P30" s="145" t="n">
        <f aca="false">H30-M30</f>
        <v>0</v>
      </c>
      <c r="R30" s="147" t="n">
        <v>0</v>
      </c>
      <c r="S30" s="162" t="str">
        <f aca="false">IFERROR(H30/R30-1,"-")</f>
        <v>-</v>
      </c>
      <c r="T30" s="162" t="str">
        <f aca="false">IFERROR(H30/R30,"-")</f>
        <v>-</v>
      </c>
      <c r="U30" s="147" t="n">
        <f aca="false">H30-R30</f>
        <v>0</v>
      </c>
      <c r="W30" s="145" t="n">
        <v>0</v>
      </c>
      <c r="X30" s="5" t="n">
        <f aca="false">H30-W30</f>
        <v>0</v>
      </c>
      <c r="Y30" s="163" t="str">
        <f aca="false">IFERROR((H30/W30)-1,"-")</f>
        <v>-</v>
      </c>
    </row>
    <row r="31" customFormat="false" ht="14.25" hidden="false" customHeight="true" outlineLevel="1" collapsed="false">
      <c r="A31" s="165" t="n">
        <v>30</v>
      </c>
      <c r="B31" s="85" t="s">
        <v>154</v>
      </c>
      <c r="C31" s="167" t="s">
        <v>82</v>
      </c>
      <c r="D31" s="167" t="s">
        <v>83</v>
      </c>
      <c r="E31" s="145" t="s">
        <v>81</v>
      </c>
      <c r="F31" s="145" t="n">
        <v>0</v>
      </c>
      <c r="G31" s="145" t="n">
        <v>0</v>
      </c>
      <c r="H31" s="145" t="n">
        <v>0</v>
      </c>
      <c r="I31" s="162" t="n">
        <f aca="false">IFERROR(H31/$H$19,"")</f>
        <v>0</v>
      </c>
      <c r="J31" s="194" t="str">
        <f aca="false">IFERROR(H31/G31-1,"")</f>
        <v/>
      </c>
      <c r="K31" s="145" t="n">
        <f aca="false">H31-G31</f>
        <v>0</v>
      </c>
      <c r="M31" s="145" t="n">
        <f aca="false">VLOOKUP(C31,'תקציב  '!$B:$S,11,0)*1</f>
        <v>0</v>
      </c>
      <c r="N31" s="162" t="str">
        <f aca="false">IFERROR(H31/M31-1,"-")</f>
        <v>-</v>
      </c>
      <c r="O31" s="162" t="str">
        <f aca="false">IFERROR(H31/M31,"-")</f>
        <v>-</v>
      </c>
      <c r="P31" s="145" t="n">
        <f aca="false">H31-M31</f>
        <v>0</v>
      </c>
      <c r="R31" s="147" t="n">
        <v>0</v>
      </c>
      <c r="S31" s="162" t="str">
        <f aca="false">IFERROR(H31/R31-1,"-")</f>
        <v>-</v>
      </c>
      <c r="T31" s="162" t="str">
        <f aca="false">IFERROR(H31/R31,"-")</f>
        <v>-</v>
      </c>
      <c r="U31" s="147" t="n">
        <f aca="false">H31-R31</f>
        <v>0</v>
      </c>
      <c r="W31" s="145" t="n">
        <v>0</v>
      </c>
      <c r="X31" s="5" t="n">
        <f aca="false">H31-W31</f>
        <v>0</v>
      </c>
      <c r="Y31" s="163" t="str">
        <f aca="false">IFERROR((H31/W31)-1,"-")</f>
        <v>-</v>
      </c>
    </row>
    <row r="32" customFormat="false" ht="13.5" hidden="false" customHeight="true" outlineLevel="1" collapsed="false">
      <c r="A32" s="165" t="n">
        <v>31</v>
      </c>
      <c r="B32" s="85" t="s">
        <v>84</v>
      </c>
      <c r="C32" s="167" t="s">
        <v>84</v>
      </c>
      <c r="D32" s="167" t="s">
        <v>85</v>
      </c>
      <c r="E32" s="145" t="s">
        <v>86</v>
      </c>
      <c r="F32" s="145" t="n">
        <v>0</v>
      </c>
      <c r="G32" s="145" t="n">
        <v>0</v>
      </c>
      <c r="H32" s="145" t="n">
        <v>10037.15</v>
      </c>
      <c r="I32" s="162" t="n">
        <f aca="false">IFERROR(H32/$H$19,"")</f>
        <v>0.00508354057445701</v>
      </c>
      <c r="J32" s="194" t="str">
        <f aca="false">IFERROR(H32/G32-1,"")</f>
        <v/>
      </c>
      <c r="K32" s="145" t="n">
        <f aca="false">H32-G32</f>
        <v>10037.15</v>
      </c>
      <c r="M32" s="145" t="n">
        <f aca="false">VLOOKUP(C32,'תקציב  '!$B:$S,11,0)*1</f>
        <v>0</v>
      </c>
      <c r="N32" s="162" t="str">
        <f aca="false">IFERROR(H32/M32-1,"-")</f>
        <v>-</v>
      </c>
      <c r="O32" s="162" t="str">
        <f aca="false">IFERROR(H32/M32,"-")</f>
        <v>-</v>
      </c>
      <c r="P32" s="145" t="n">
        <f aca="false">H32-M32</f>
        <v>10037.15</v>
      </c>
      <c r="R32" s="147" t="n">
        <v>0</v>
      </c>
      <c r="S32" s="162" t="str">
        <f aca="false">IFERROR(H32/R32-1,"-")</f>
        <v>-</v>
      </c>
      <c r="T32" s="162" t="str">
        <f aca="false">IFERROR(H32/R32,"-")</f>
        <v>-</v>
      </c>
      <c r="U32" s="147" t="n">
        <f aca="false">H32-R32</f>
        <v>10037.15</v>
      </c>
      <c r="W32" s="145" t="n">
        <v>10037.15</v>
      </c>
      <c r="X32" s="5" t="n">
        <f aca="false">H32-W32</f>
        <v>0</v>
      </c>
      <c r="Y32" s="163" t="n">
        <f aca="false">IFERROR((H32/W32)-1,"-")</f>
        <v>0</v>
      </c>
    </row>
    <row r="33" customFormat="false" ht="13.5" hidden="false" customHeight="true" outlineLevel="1" collapsed="false">
      <c r="A33" s="165"/>
      <c r="C33" s="167"/>
      <c r="D33" s="167" t="s">
        <v>155</v>
      </c>
      <c r="E33" s="145" t="s">
        <v>156</v>
      </c>
      <c r="F33" s="145"/>
      <c r="G33" s="145"/>
      <c r="H33" s="145" t="n">
        <v>0</v>
      </c>
      <c r="I33" s="162" t="n">
        <f aca="false">IFERROR(H33/$H$19,"")</f>
        <v>0</v>
      </c>
      <c r="J33" s="194" t="str">
        <f aca="false">IFERROR(H33/G33-1,"")</f>
        <v/>
      </c>
      <c r="K33" s="145" t="n">
        <f aca="false">H33-G33</f>
        <v>0</v>
      </c>
      <c r="M33" s="145"/>
      <c r="N33" s="162" t="str">
        <f aca="false">IFERROR(H33/M33-1,"-")</f>
        <v>-</v>
      </c>
      <c r="O33" s="162" t="str">
        <f aca="false">IFERROR(H33/M33,"-")</f>
        <v>-</v>
      </c>
      <c r="P33" s="145" t="n">
        <f aca="false">H33-M33</f>
        <v>0</v>
      </c>
      <c r="R33" s="147" t="n">
        <v>0</v>
      </c>
      <c r="S33" s="162" t="str">
        <f aca="false">IFERROR(H33/R33-1,"-")</f>
        <v>-</v>
      </c>
      <c r="T33" s="162" t="str">
        <f aca="false">IFERROR(H33/R33,"-")</f>
        <v>-</v>
      </c>
      <c r="U33" s="147" t="n">
        <f aca="false">H33-R33</f>
        <v>0</v>
      </c>
      <c r="W33" s="145" t="n">
        <v>0</v>
      </c>
      <c r="X33" s="5" t="n">
        <f aca="false">H33-W33</f>
        <v>0</v>
      </c>
      <c r="Y33" s="163" t="str">
        <f aca="false">IFERROR((H33/W33)-1,"-")</f>
        <v>-</v>
      </c>
    </row>
    <row r="34" customFormat="false" ht="13.5" hidden="false" customHeight="true" outlineLevel="1" collapsed="false">
      <c r="A34" s="165" t="n">
        <v>32</v>
      </c>
      <c r="B34" s="85" t="s">
        <v>157</v>
      </c>
      <c r="C34" s="167" t="s">
        <v>87</v>
      </c>
      <c r="D34" s="167" t="s">
        <v>88</v>
      </c>
      <c r="E34" s="145" t="s">
        <v>89</v>
      </c>
      <c r="F34" s="145" t="n">
        <v>0</v>
      </c>
      <c r="G34" s="145" t="n">
        <v>0</v>
      </c>
      <c r="H34" s="145" t="n">
        <v>18350.05</v>
      </c>
      <c r="I34" s="162" t="n">
        <f aca="false">IFERROR(H34/$H$19,"")</f>
        <v>0.00929379591998872</v>
      </c>
      <c r="J34" s="194" t="str">
        <f aca="false">IFERROR(H34/G34-1,"")</f>
        <v/>
      </c>
      <c r="K34" s="145" t="n">
        <f aca="false">H34-G34</f>
        <v>18350.05</v>
      </c>
      <c r="M34" s="145" t="n">
        <f aca="false">VLOOKUP(C34,'תקציב  '!$B:$S,11,0)*1</f>
        <v>0</v>
      </c>
      <c r="N34" s="162" t="str">
        <f aca="false">IFERROR(H34/M34-1,"-")</f>
        <v>-</v>
      </c>
      <c r="O34" s="162" t="str">
        <f aca="false">IFERROR(H34/M34,"-")</f>
        <v>-</v>
      </c>
      <c r="P34" s="145" t="n">
        <f aca="false">H34-M34</f>
        <v>18350.05</v>
      </c>
      <c r="R34" s="147" t="n">
        <v>20000</v>
      </c>
      <c r="S34" s="162" t="n">
        <f aca="false">IFERROR(H34/R34-1,"-")</f>
        <v>-0.0824975</v>
      </c>
      <c r="T34" s="162" t="n">
        <f aca="false">IFERROR(H34/R34,"-")</f>
        <v>0.9175025</v>
      </c>
      <c r="U34" s="147" t="n">
        <f aca="false">H34-R34</f>
        <v>-1649.95</v>
      </c>
      <c r="W34" s="145" t="n">
        <v>18350.05</v>
      </c>
      <c r="X34" s="5" t="n">
        <f aca="false">H34-W34</f>
        <v>0</v>
      </c>
      <c r="Y34" s="163" t="n">
        <f aca="false">IFERROR((H34/W34)-1,"-")</f>
        <v>0</v>
      </c>
    </row>
    <row r="35" customFormat="false" ht="13.5" hidden="false" customHeight="true" outlineLevel="1" collapsed="false">
      <c r="A35" s="165" t="n">
        <v>33</v>
      </c>
      <c r="B35" s="85" t="s">
        <v>158</v>
      </c>
      <c r="C35" s="167" t="s">
        <v>90</v>
      </c>
      <c r="D35" s="167" t="s">
        <v>91</v>
      </c>
      <c r="E35" s="145" t="s">
        <v>92</v>
      </c>
      <c r="F35" s="145" t="n">
        <v>25140.85</v>
      </c>
      <c r="G35" s="145" t="n">
        <v>0</v>
      </c>
      <c r="H35" s="145" t="n">
        <v>26105.72</v>
      </c>
      <c r="I35" s="162" t="n">
        <f aca="false">IFERROR(H35/$H$19,"")</f>
        <v>0.0132218295876234</v>
      </c>
      <c r="J35" s="194" t="str">
        <f aca="false">IFERROR(H35/G35-1,"")</f>
        <v/>
      </c>
      <c r="K35" s="145" t="n">
        <f aca="false">H35-G35</f>
        <v>26105.72</v>
      </c>
      <c r="M35" s="145" t="n">
        <f aca="false">VLOOKUP(C35,'תקציב  '!$B:$S,11,0)*1</f>
        <v>0</v>
      </c>
      <c r="N35" s="162" t="str">
        <f aca="false">IFERROR(H35/M35-1,"-")</f>
        <v>-</v>
      </c>
      <c r="O35" s="162" t="str">
        <f aca="false">IFERROR(H35/M35,"-")</f>
        <v>-</v>
      </c>
      <c r="P35" s="145" t="n">
        <f aca="false">H35-M35</f>
        <v>26105.72</v>
      </c>
      <c r="R35" s="147" t="n">
        <v>0</v>
      </c>
      <c r="S35" s="162" t="str">
        <f aca="false">IFERROR(H35/R35-1,"-")</f>
        <v>-</v>
      </c>
      <c r="T35" s="162" t="str">
        <f aca="false">IFERROR(H35/R35,"-")</f>
        <v>-</v>
      </c>
      <c r="U35" s="147" t="n">
        <f aca="false">H35-R35</f>
        <v>26105.72</v>
      </c>
      <c r="W35" s="145" t="n">
        <v>26105.72</v>
      </c>
      <c r="X35" s="5" t="n">
        <f aca="false">H35-W35</f>
        <v>0</v>
      </c>
      <c r="Y35" s="163" t="n">
        <f aca="false">IFERROR((H35/W35)-1,"-")</f>
        <v>0</v>
      </c>
    </row>
    <row r="36" customFormat="false" ht="14.25" hidden="false" customHeight="true" outlineLevel="1" collapsed="false">
      <c r="A36" s="165"/>
      <c r="B36" s="85" t="s">
        <v>159</v>
      </c>
      <c r="C36" s="167" t="s">
        <v>159</v>
      </c>
      <c r="D36" s="167" t="s">
        <v>160</v>
      </c>
      <c r="E36" s="145" t="s">
        <v>78</v>
      </c>
      <c r="F36" s="145" t="n">
        <v>0</v>
      </c>
      <c r="G36" s="145" t="n">
        <v>0</v>
      </c>
      <c r="H36" s="145" t="n">
        <v>0</v>
      </c>
      <c r="I36" s="162" t="n">
        <f aca="false">IFERROR(H36/$H$19,"")</f>
        <v>0</v>
      </c>
      <c r="J36" s="194" t="str">
        <f aca="false">IFERROR(H36/G36-1,"")</f>
        <v/>
      </c>
      <c r="K36" s="145" t="n">
        <f aca="false">H36-G36</f>
        <v>0</v>
      </c>
      <c r="M36" s="145"/>
      <c r="N36" s="162" t="str">
        <f aca="false">IFERROR(H36/M36-1,"-")</f>
        <v>-</v>
      </c>
      <c r="O36" s="162" t="str">
        <f aca="false">IFERROR(H36/M36,"-")</f>
        <v>-</v>
      </c>
      <c r="P36" s="145" t="n">
        <f aca="false">H36-M36</f>
        <v>0</v>
      </c>
      <c r="R36" s="147" t="n">
        <v>0</v>
      </c>
      <c r="S36" s="162" t="str">
        <f aca="false">IFERROR(H36/R36-1,"-")</f>
        <v>-</v>
      </c>
      <c r="T36" s="162" t="str">
        <f aca="false">IFERROR(H36/R36,"-")</f>
        <v>-</v>
      </c>
      <c r="U36" s="147" t="n">
        <f aca="false">H36-R36</f>
        <v>0</v>
      </c>
      <c r="W36" s="145" t="n">
        <v>0</v>
      </c>
      <c r="X36" s="5" t="n">
        <f aca="false">H36-W36</f>
        <v>0</v>
      </c>
      <c r="Y36" s="163" t="str">
        <f aca="false">IFERROR((H36/W36)-1,"-")</f>
        <v>-</v>
      </c>
    </row>
    <row r="37" customFormat="false" ht="14.25" hidden="false" customHeight="true" outlineLevel="1" collapsed="false">
      <c r="A37" s="165" t="n">
        <v>34</v>
      </c>
      <c r="B37" s="85" t="s">
        <v>161</v>
      </c>
      <c r="C37" s="167" t="s">
        <v>161</v>
      </c>
      <c r="D37" s="167" t="s">
        <v>93</v>
      </c>
      <c r="E37" s="145" t="s">
        <v>162</v>
      </c>
      <c r="F37" s="145" t="n">
        <v>0</v>
      </c>
      <c r="G37" s="145" t="n">
        <v>0</v>
      </c>
      <c r="H37" s="145" t="n">
        <v>0</v>
      </c>
      <c r="I37" s="162" t="n">
        <f aca="false">IFERROR(H37/$H$19,"")</f>
        <v>0</v>
      </c>
      <c r="J37" s="194" t="str">
        <f aca="false">IFERROR(H37/G37-1,"")</f>
        <v/>
      </c>
      <c r="K37" s="145" t="n">
        <f aca="false">H37-G37</f>
        <v>0</v>
      </c>
      <c r="M37" s="145"/>
      <c r="N37" s="162" t="str">
        <f aca="false">IFERROR(H37/M37-1,"-")</f>
        <v>-</v>
      </c>
      <c r="O37" s="162" t="str">
        <f aca="false">IFERROR(H37/M37,"-")</f>
        <v>-</v>
      </c>
      <c r="P37" s="145" t="n">
        <f aca="false">H37-M37</f>
        <v>0</v>
      </c>
      <c r="R37" s="147" t="n">
        <v>0</v>
      </c>
      <c r="S37" s="162" t="str">
        <f aca="false">IFERROR(H37/R37-1,"-")</f>
        <v>-</v>
      </c>
      <c r="T37" s="162" t="str">
        <f aca="false">IFERROR(H37/R37,"-")</f>
        <v>-</v>
      </c>
      <c r="U37" s="147" t="n">
        <f aca="false">H37-R37</f>
        <v>0</v>
      </c>
      <c r="W37" s="145" t="n">
        <v>0</v>
      </c>
      <c r="X37" s="5" t="n">
        <f aca="false">H37-W37</f>
        <v>0</v>
      </c>
      <c r="Y37" s="163" t="str">
        <f aca="false">IFERROR((H37/W37)-1,"-")</f>
        <v>-</v>
      </c>
    </row>
    <row r="38" customFormat="false" ht="13.5" hidden="false" customHeight="true" outlineLevel="1" collapsed="false">
      <c r="A38" s="165" t="n">
        <v>35</v>
      </c>
      <c r="B38" s="85" t="s">
        <v>94</v>
      </c>
      <c r="C38" s="167" t="s">
        <v>94</v>
      </c>
      <c r="D38" s="167" t="s">
        <v>95</v>
      </c>
      <c r="E38" s="145" t="s">
        <v>51</v>
      </c>
      <c r="F38" s="145" t="n">
        <v>0</v>
      </c>
      <c r="G38" s="145" t="n">
        <v>0</v>
      </c>
      <c r="H38" s="145" t="n">
        <v>0</v>
      </c>
      <c r="I38" s="162" t="n">
        <f aca="false">IFERROR(H38/$H$19,"")</f>
        <v>0</v>
      </c>
      <c r="J38" s="194" t="str">
        <f aca="false">IFERROR(H38/G38-1,"")</f>
        <v/>
      </c>
      <c r="K38" s="145" t="n">
        <f aca="false">H38-G38</f>
        <v>0</v>
      </c>
      <c r="M38" s="145" t="n">
        <f aca="false">VLOOKUP(C38,'תקציב  '!$B:$S,11,0)*1</f>
        <v>200000</v>
      </c>
      <c r="N38" s="162" t="n">
        <f aca="false">IFERROR(H38/M38-1,"-")</f>
        <v>-1</v>
      </c>
      <c r="O38" s="162" t="n">
        <f aca="false">IFERROR(H38/M38,"-")</f>
        <v>0</v>
      </c>
      <c r="P38" s="145" t="n">
        <f aca="false">H38-M38</f>
        <v>-200000</v>
      </c>
      <c r="R38" s="147" t="n">
        <v>0</v>
      </c>
      <c r="S38" s="162" t="str">
        <f aca="false">IFERROR(H38/R38-1,"-")</f>
        <v>-</v>
      </c>
      <c r="T38" s="162" t="str">
        <f aca="false">IFERROR(H38/R38,"-")</f>
        <v>-</v>
      </c>
      <c r="U38" s="147" t="n">
        <f aca="false">H38-R38</f>
        <v>0</v>
      </c>
      <c r="W38" s="145" t="n">
        <v>0</v>
      </c>
      <c r="X38" s="5" t="n">
        <f aca="false">H38-W38</f>
        <v>0</v>
      </c>
      <c r="Y38" s="163" t="str">
        <f aca="false">IFERROR((H38/W38)-1,"-")</f>
        <v>-</v>
      </c>
    </row>
    <row r="39" customFormat="false" ht="13.5" hidden="false" customHeight="true" outlineLevel="1" collapsed="false">
      <c r="A39" s="196" t="n">
        <v>36</v>
      </c>
      <c r="C39" s="197" t="s">
        <v>97</v>
      </c>
      <c r="D39" s="197" t="s">
        <v>97</v>
      </c>
      <c r="E39" s="198"/>
      <c r="F39" s="198"/>
      <c r="G39" s="198"/>
      <c r="H39" s="198" t="n">
        <v>0</v>
      </c>
      <c r="I39" s="199" t="n">
        <f aca="false">IFERROR(H39/$H$19,"")</f>
        <v>0</v>
      </c>
      <c r="J39" s="194" t="str">
        <f aca="false">IFERROR(H39/G39-1,"")</f>
        <v/>
      </c>
      <c r="K39" s="198" t="n">
        <f aca="false">H39-G39</f>
        <v>0</v>
      </c>
      <c r="M39" s="198" t="n">
        <f aca="false">VLOOKUP(C39,'תקציב  '!$B:$S,11,0)*1</f>
        <v>0</v>
      </c>
      <c r="N39" s="199" t="str">
        <f aca="false">IFERROR(H39/M39-1,"-")</f>
        <v>-</v>
      </c>
      <c r="O39" s="199" t="str">
        <f aca="false">IFERROR(H39/M39,"-")</f>
        <v>-</v>
      </c>
      <c r="P39" s="198" t="n">
        <f aca="false">H39-M39</f>
        <v>0</v>
      </c>
      <c r="R39" s="147" t="n">
        <v>0</v>
      </c>
      <c r="S39" s="162" t="str">
        <f aca="false">IFERROR(H39/R39-1,"-")</f>
        <v>-</v>
      </c>
      <c r="T39" s="162" t="str">
        <f aca="false">IFERROR(H39/R39,"-")</f>
        <v>-</v>
      </c>
      <c r="U39" s="147" t="n">
        <f aca="false">H39-R39</f>
        <v>0</v>
      </c>
      <c r="W39" s="145" t="n">
        <v>0</v>
      </c>
      <c r="X39" s="5" t="n">
        <f aca="false">H39-W39</f>
        <v>0</v>
      </c>
      <c r="Y39" s="163" t="str">
        <f aca="false">IFERROR((H39/W39)-1,"-")</f>
        <v>-</v>
      </c>
    </row>
    <row r="40" customFormat="false" ht="15" hidden="false" customHeight="true" outlineLevel="0" collapsed="false">
      <c r="A40" s="165"/>
      <c r="B40" s="200"/>
      <c r="C40" s="182"/>
      <c r="D40" s="182" t="s">
        <v>98</v>
      </c>
      <c r="E40" s="183"/>
      <c r="F40" s="183" t="n">
        <f aca="false">SUM(F20:F39)+F51+F52</f>
        <v>394530.67</v>
      </c>
      <c r="G40" s="183" t="n">
        <f aca="false">SUM(G20:G39)+G51+G52</f>
        <v>430934.25</v>
      </c>
      <c r="H40" s="183" t="n">
        <f aca="false">SUM(H20:H39)+H51+H52</f>
        <v>430411</v>
      </c>
      <c r="I40" s="184" t="n">
        <f aca="false">IFERROR(H40/$H$19,"")</f>
        <v>0.217991340389714</v>
      </c>
      <c r="J40" s="184" t="n">
        <f aca="false">H40/G40-1</f>
        <v>-0.00121422235526647</v>
      </c>
      <c r="K40" s="183" t="n">
        <f aca="false">SUM(K20:K39)+K51+K52</f>
        <v>-523.25</v>
      </c>
      <c r="M40" s="183" t="n">
        <f aca="false">SUM(M20:M39)+M51+M52</f>
        <v>1146567.022175</v>
      </c>
      <c r="N40" s="184" t="n">
        <f aca="false">IFERROR(H40/M40-1,"-")</f>
        <v>-0.624608948560613</v>
      </c>
      <c r="O40" s="184" t="n">
        <f aca="false">IFERROR(H40/M40,"-")</f>
        <v>0.375391051439387</v>
      </c>
      <c r="P40" s="183" t="n">
        <f aca="false">SUM(P20:P39)+P51+P52</f>
        <v>-716156.022175</v>
      </c>
      <c r="R40" s="183" t="n">
        <f aca="false">SUM(R20:R39)+R51+R52</f>
        <v>495012.4</v>
      </c>
      <c r="S40" s="184" t="n">
        <f aca="false">IFERROR(H40/R40-1,"-")</f>
        <v>-0.130504609581497</v>
      </c>
      <c r="T40" s="184" t="n">
        <f aca="false">IFERROR(H40/R40,"-")</f>
        <v>0.869495390418503</v>
      </c>
      <c r="U40" s="183" t="n">
        <f aca="false">H40-R40</f>
        <v>-64601.4</v>
      </c>
      <c r="V40" s="174"/>
      <c r="W40" s="183" t="n">
        <v>430411</v>
      </c>
      <c r="X40" s="175" t="n">
        <f aca="false">H40-W40</f>
        <v>0</v>
      </c>
      <c r="Y40" s="176" t="n">
        <f aca="false">IFERROR((H40/W40)-1,"-")</f>
        <v>0</v>
      </c>
    </row>
    <row r="41" customFormat="false" ht="15" hidden="false" customHeight="true" outlineLevel="0" collapsed="false">
      <c r="A41" s="165"/>
      <c r="B41" s="200"/>
      <c r="C41" s="185"/>
      <c r="D41" s="185" t="s">
        <v>163</v>
      </c>
      <c r="E41" s="186"/>
      <c r="F41" s="186" t="n">
        <f aca="false">F40+F19</f>
        <v>1957759.307</v>
      </c>
      <c r="G41" s="186" t="n">
        <f aca="false">G40+G19</f>
        <v>1998960.06</v>
      </c>
      <c r="H41" s="186" t="n">
        <f aca="false">H40+H19</f>
        <v>2404851.816</v>
      </c>
      <c r="I41" s="134" t="n">
        <f aca="false">IFERROR(H41/$H$19,"")</f>
        <v>1.21799134038971</v>
      </c>
      <c r="J41" s="134" t="n">
        <f aca="false">H41/G41-1</f>
        <v>0.203051458666963</v>
      </c>
      <c r="K41" s="186" t="n">
        <f aca="false">K40+K19</f>
        <v>405891.756</v>
      </c>
      <c r="M41" s="186" t="n">
        <f aca="false">M40+M19</f>
        <v>4141049.61905824</v>
      </c>
      <c r="N41" s="134" t="n">
        <f aca="false">IFERROR(H41/M41-1,"-")</f>
        <v>-0.419265153227768</v>
      </c>
      <c r="O41" s="134" t="n">
        <f aca="false">IFERROR(H41/M41,"-")</f>
        <v>0.580734846772232</v>
      </c>
      <c r="P41" s="186" t="n">
        <f aca="false">P40+P19</f>
        <v>-1736197.80305824</v>
      </c>
      <c r="R41" s="186" t="n">
        <f aca="false">R40+R19</f>
        <v>2626512.4</v>
      </c>
      <c r="S41" s="134" t="n">
        <f aca="false">IFERROR(H41/R41-1,"-")</f>
        <v>-0.0843935037199901</v>
      </c>
      <c r="T41" s="134" t="n">
        <f aca="false">IFERROR(H41/R41,"-")</f>
        <v>0.91560649628001</v>
      </c>
      <c r="U41" s="186" t="n">
        <f aca="false">H41-R41</f>
        <v>-221660.584</v>
      </c>
      <c r="V41" s="174"/>
      <c r="W41" s="186" t="n">
        <v>2350176.121</v>
      </c>
      <c r="X41" s="175" t="n">
        <f aca="false">H41-W41</f>
        <v>54675.6949999998</v>
      </c>
      <c r="Y41" s="176" t="n">
        <f aca="false">IFERROR((H41/W41)-1,"-")</f>
        <v>0.0232645096303401</v>
      </c>
    </row>
    <row r="42" customFormat="false" ht="14.25" hidden="false" customHeight="true" outlineLevel="0" collapsed="false">
      <c r="E42" s="144"/>
      <c r="F42" s="144" t="n">
        <v>0</v>
      </c>
      <c r="G42" s="144"/>
      <c r="H42" s="144"/>
      <c r="J42" s="201"/>
      <c r="K42" s="144"/>
      <c r="M42" s="144"/>
      <c r="P42" s="144"/>
    </row>
    <row r="44" customFormat="false" ht="14.25" hidden="false" customHeight="true" outlineLevel="0" collapsed="false">
      <c r="H44" s="5"/>
    </row>
    <row r="50" customFormat="false" ht="14.25" hidden="false" customHeight="true" outlineLevel="0" collapsed="false">
      <c r="A50" s="159"/>
      <c r="B50" s="85"/>
      <c r="C50" s="161" t="s">
        <v>164</v>
      </c>
      <c r="D50" s="161" t="s">
        <v>164</v>
      </c>
      <c r="E50" s="145" t="s">
        <v>32</v>
      </c>
      <c r="F50" s="145"/>
      <c r="G50" s="145"/>
      <c r="H50" s="145" t="n">
        <v>0</v>
      </c>
      <c r="I50" s="162" t="n">
        <f aca="false">IFERROR(H50/$H$19,"")</f>
        <v>0</v>
      </c>
      <c r="J50" s="194" t="str">
        <f aca="false">IFERROR(H50/G50-1,"-")</f>
        <v>-</v>
      </c>
      <c r="K50" s="145" t="n">
        <f aca="false">H50-G50</f>
        <v>0</v>
      </c>
      <c r="M50" s="145"/>
      <c r="N50" s="162" t="str">
        <f aca="false">IFERROR(H50/M50-1,"-")</f>
        <v>-</v>
      </c>
      <c r="O50" s="162" t="str">
        <f aca="false">IFERROR(H50/M50,"-")</f>
        <v>-</v>
      </c>
      <c r="P50" s="145" t="n">
        <f aca="false">H50-M50</f>
        <v>0</v>
      </c>
    </row>
    <row r="51" customFormat="false" ht="14.25" hidden="false" customHeight="true" outlineLevel="0" collapsed="false">
      <c r="A51" s="165"/>
      <c r="B51" s="85"/>
      <c r="C51" s="167" t="s">
        <v>165</v>
      </c>
      <c r="D51" s="167" t="s">
        <v>165</v>
      </c>
      <c r="E51" s="145" t="s">
        <v>166</v>
      </c>
      <c r="F51" s="145"/>
      <c r="G51" s="145"/>
      <c r="H51" s="145" t="n">
        <v>0</v>
      </c>
      <c r="I51" s="162" t="n">
        <f aca="false">IFERROR(H51/$H$19,"")</f>
        <v>0</v>
      </c>
      <c r="J51" s="194" t="str">
        <f aca="false">IFERROR(H51/G51-1,"-")</f>
        <v>-</v>
      </c>
      <c r="K51" s="145" t="n">
        <f aca="false">H51-G51</f>
        <v>0</v>
      </c>
      <c r="M51" s="145"/>
      <c r="N51" s="162" t="str">
        <f aca="false">IFERROR(H51/M51-1,"-")</f>
        <v>-</v>
      </c>
      <c r="O51" s="162" t="str">
        <f aca="false">IFERROR(H51/M51,"-")</f>
        <v>-</v>
      </c>
      <c r="P51" s="145" t="n">
        <f aca="false">H51-M51</f>
        <v>0</v>
      </c>
    </row>
    <row r="52" customFormat="false" ht="14.25" hidden="false" customHeight="true" outlineLevel="0" collapsed="false">
      <c r="A52" s="165"/>
      <c r="B52" s="85"/>
      <c r="C52" s="167" t="s">
        <v>167</v>
      </c>
      <c r="D52" s="167" t="s">
        <v>167</v>
      </c>
      <c r="E52" s="145" t="s">
        <v>167</v>
      </c>
      <c r="F52" s="145"/>
      <c r="G52" s="145"/>
      <c r="H52" s="145" t="n">
        <v>0</v>
      </c>
      <c r="I52" s="162" t="n">
        <f aca="false">IFERROR(H52/$H$19,"")</f>
        <v>0</v>
      </c>
      <c r="J52" s="194" t="str">
        <f aca="false">IFERROR(H52/G52-1,"-")</f>
        <v>-</v>
      </c>
      <c r="K52" s="145" t="n">
        <f aca="false">H52-G52</f>
        <v>0</v>
      </c>
      <c r="M52" s="145"/>
      <c r="N52" s="162" t="str">
        <f aca="false">IFERROR(H52/M52-1,"-")</f>
        <v>-</v>
      </c>
      <c r="O52" s="162" t="str">
        <f aca="false">IFERROR(H52/M52,"-")</f>
        <v>-</v>
      </c>
      <c r="P52" s="145" t="n">
        <f aca="false">H52-M52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2" topLeftCell="H16" activePane="bottomRight" state="frozen"/>
      <selection pane="topLeft" activeCell="A1" activeCellId="0" sqref="A1"/>
      <selection pane="topRight" activeCell="H1" activeCellId="0" sqref="H1"/>
      <selection pane="bottomLeft" activeCell="A16" activeCellId="0" sqref="A16"/>
      <selection pane="bottomRight" activeCell="P73" activeCellId="0" sqref="P73"/>
    </sheetView>
  </sheetViews>
  <sheetFormatPr defaultColWidth="8.625" defaultRowHeight="14.25" zeroHeight="false" outlineLevelRow="1" outlineLevelCol="0"/>
  <cols>
    <col collapsed="false" customWidth="true" hidden="true" outlineLevel="0" max="1" min="1" style="1" width="2.88"/>
    <col collapsed="false" customWidth="true" hidden="true" outlineLevel="0" max="2" min="2" style="90" width="26"/>
    <col collapsed="false" customWidth="true" hidden="true" outlineLevel="0" max="3" min="3" style="1" width="13.38"/>
    <col collapsed="false" customWidth="true" hidden="false" outlineLevel="0" max="4" min="4" style="90" width="26"/>
    <col collapsed="false" customWidth="true" hidden="true" outlineLevel="0" max="5" min="5" style="1" width="13.38"/>
    <col collapsed="false" customWidth="true" hidden="true" outlineLevel="0" max="7" min="6" style="1" width="9.87"/>
    <col collapsed="false" customWidth="true" hidden="false" outlineLevel="0" max="8" min="8" style="1" width="9.87"/>
    <col collapsed="false" customWidth="true" hidden="false" outlineLevel="0" max="9" min="9" style="1" width="6.88"/>
    <col collapsed="false" customWidth="true" hidden="false" outlineLevel="0" max="11" min="10" style="1" width="11.88"/>
    <col collapsed="false" customWidth="true" hidden="false" outlineLevel="0" max="12" min="12" style="1" width="1.75"/>
    <col collapsed="false" customWidth="true" hidden="false" outlineLevel="0" max="13" min="13" style="1" width="10.26"/>
    <col collapsed="false" customWidth="true" hidden="false" outlineLevel="0" max="14" min="14" style="1" width="11"/>
    <col collapsed="false" customWidth="true" hidden="false" outlineLevel="0" max="15" min="15" style="1" width="6.88"/>
    <col collapsed="false" customWidth="true" hidden="false" outlineLevel="0" max="16" min="16" style="1" width="10.75"/>
    <col collapsed="false" customWidth="true" hidden="false" outlineLevel="0" max="17" min="17" style="1" width="3.5"/>
    <col collapsed="false" customWidth="true" hidden="false" outlineLevel="0" max="18" min="18" style="1" width="10.26"/>
    <col collapsed="false" customWidth="true" hidden="false" outlineLevel="0" max="19" min="19" style="1" width="10.88"/>
    <col collapsed="false" customWidth="true" hidden="false" outlineLevel="0" max="20" min="20" style="1" width="7.62"/>
    <col collapsed="false" customWidth="true" hidden="false" outlineLevel="0" max="21" min="21" style="1" width="13"/>
    <col collapsed="false" customWidth="true" hidden="false" outlineLevel="0" max="23" min="23" style="1" width="9.87"/>
    <col collapsed="false" customWidth="true" hidden="false" outlineLevel="0" max="24" min="24" style="1" width="10.5"/>
    <col collapsed="false" customWidth="true" hidden="false" outlineLevel="0" max="25" min="25" style="148" width="9"/>
  </cols>
  <sheetData>
    <row r="1" customFormat="false" ht="15.75" hidden="false" customHeight="true" outlineLevel="0" collapsed="false">
      <c r="B1" s="149"/>
      <c r="C1" s="7" t="s">
        <v>180</v>
      </c>
      <c r="D1" s="149" t="s">
        <v>180</v>
      </c>
      <c r="E1" s="7"/>
      <c r="F1" s="7"/>
      <c r="G1" s="7"/>
      <c r="H1" s="7"/>
      <c r="I1" s="7"/>
      <c r="J1" s="7"/>
      <c r="K1" s="7"/>
      <c r="M1" s="7"/>
      <c r="N1" s="7"/>
      <c r="O1" s="7"/>
      <c r="P1" s="7"/>
      <c r="R1" s="7"/>
      <c r="S1" s="7"/>
      <c r="T1" s="7"/>
      <c r="U1" s="7"/>
      <c r="W1" s="7"/>
    </row>
    <row r="2" customFormat="false" ht="15" hidden="false" customHeight="true" outlineLevel="0" collapsed="false">
      <c r="A2" s="151" t="s">
        <v>2</v>
      </c>
      <c r="B2" s="38"/>
      <c r="C2" s="154"/>
      <c r="D2" s="38"/>
      <c r="E2" s="154" t="s">
        <v>3</v>
      </c>
      <c r="F2" s="154" t="n">
        <v>9.2024</v>
      </c>
      <c r="G2" s="154" t="n">
        <v>9.2025</v>
      </c>
      <c r="H2" s="154" t="n">
        <v>9.2026</v>
      </c>
      <c r="I2" s="155" t="s">
        <v>174</v>
      </c>
      <c r="J2" s="155" t="s">
        <v>128</v>
      </c>
      <c r="K2" s="154" t="s">
        <v>129</v>
      </c>
      <c r="M2" s="154" t="s">
        <v>130</v>
      </c>
      <c r="N2" s="155" t="s">
        <v>111</v>
      </c>
      <c r="O2" s="155" t="s">
        <v>175</v>
      </c>
      <c r="P2" s="154" t="s">
        <v>112</v>
      </c>
      <c r="R2" s="156" t="s">
        <v>1</v>
      </c>
      <c r="S2" s="155" t="s">
        <v>177</v>
      </c>
      <c r="T2" s="155" t="s">
        <v>175</v>
      </c>
      <c r="U2" s="158" t="s">
        <v>178</v>
      </c>
      <c r="V2" s="157"/>
      <c r="W2" s="154" t="n">
        <v>9.2026</v>
      </c>
      <c r="X2" s="157"/>
    </row>
    <row r="3" customFormat="false" ht="14.25" hidden="true" customHeight="true" outlineLevel="1" collapsed="false">
      <c r="A3" s="159" t="n">
        <v>5</v>
      </c>
      <c r="B3" s="161" t="s">
        <v>131</v>
      </c>
      <c r="C3" s="145" t="s">
        <v>31</v>
      </c>
      <c r="D3" s="161" t="s">
        <v>31</v>
      </c>
      <c r="E3" s="145" t="s">
        <v>32</v>
      </c>
      <c r="F3" s="145" t="n">
        <v>124776.4</v>
      </c>
      <c r="G3" s="145" t="n">
        <v>157587.19</v>
      </c>
      <c r="H3" s="145" t="n">
        <v>193941.5</v>
      </c>
      <c r="I3" s="162" t="n">
        <f aca="false">IFERROR(H3/$H$19,"")</f>
        <v>0.110928212845793</v>
      </c>
      <c r="J3" s="162" t="n">
        <f aca="false">IFERROR(H3/G3-1,"")</f>
        <v>0.230693306987706</v>
      </c>
      <c r="K3" s="145" t="n">
        <f aca="false">H3-G3</f>
        <v>36354.31</v>
      </c>
      <c r="M3" s="145" t="n">
        <f aca="false">VLOOKUP(C3,'תקציב  '!$B:$S,12,0)*1</f>
        <v>209841.26984127</v>
      </c>
      <c r="N3" s="162" t="n">
        <f aca="false">IFERROR(H3/M3-1,"")</f>
        <v>-0.0757704614220884</v>
      </c>
      <c r="O3" s="162" t="n">
        <f aca="false">IFERROR(H3/M3,"-")</f>
        <v>0.924229538577912</v>
      </c>
      <c r="P3" s="145" t="n">
        <f aca="false">H3-M3</f>
        <v>-15899.76984127</v>
      </c>
      <c r="R3" s="147" t="n">
        <v>200000</v>
      </c>
      <c r="S3" s="162" t="n">
        <f aca="false">IFERROR(H3/R3-1,"-")</f>
        <v>-0.0302925000000001</v>
      </c>
      <c r="T3" s="162" t="n">
        <f aca="false">IFERROR(H3/R3,"-")</f>
        <v>0.9697075</v>
      </c>
      <c r="U3" s="147" t="n">
        <f aca="false">H3-R3</f>
        <v>-6058.5</v>
      </c>
      <c r="W3" s="145" t="n">
        <v>193941.5</v>
      </c>
      <c r="X3" s="5" t="n">
        <f aca="false">H3-W3</f>
        <v>0</v>
      </c>
      <c r="Y3" s="163" t="n">
        <f aca="false">IFERROR((H3/W3)-1,"-")</f>
        <v>0</v>
      </c>
    </row>
    <row r="4" customFormat="false" ht="14.25" hidden="true" customHeight="true" outlineLevel="1" collapsed="false">
      <c r="A4" s="164" t="n">
        <v>1</v>
      </c>
      <c r="B4" s="161" t="s">
        <v>33</v>
      </c>
      <c r="C4" s="145" t="s">
        <v>33</v>
      </c>
      <c r="D4" s="161" t="s">
        <v>33</v>
      </c>
      <c r="E4" s="145" t="s">
        <v>32</v>
      </c>
      <c r="F4" s="145" t="n">
        <v>514559.045</v>
      </c>
      <c r="G4" s="145" t="n">
        <v>465794.42</v>
      </c>
      <c r="H4" s="145" t="n">
        <v>507718.575</v>
      </c>
      <c r="I4" s="162" t="n">
        <f aca="false">IFERROR(H4/$H$19,"")</f>
        <v>0.290398466307432</v>
      </c>
      <c r="J4" s="162" t="n">
        <f aca="false">IFERROR(H4/G4-1,"")</f>
        <v>0.0900057046625848</v>
      </c>
      <c r="K4" s="145" t="n">
        <f aca="false">H4-G4</f>
        <v>41924.155</v>
      </c>
      <c r="M4" s="145" t="n">
        <f aca="false">VLOOKUP(C4,'תקציב  '!$B:$S,12,0)*1</f>
        <v>527603.174603175</v>
      </c>
      <c r="N4" s="162" t="n">
        <f aca="false">IFERROR(H4/M4-1,"")</f>
        <v>-0.0376885518517411</v>
      </c>
      <c r="O4" s="162" t="n">
        <f aca="false">IFERROR(H4/M4,"-")</f>
        <v>0.962311448148259</v>
      </c>
      <c r="P4" s="145" t="n">
        <f aca="false">H4-M4</f>
        <v>-19884.599603175</v>
      </c>
      <c r="R4" s="147" t="n">
        <v>550000</v>
      </c>
      <c r="S4" s="162" t="n">
        <f aca="false">IFERROR(H4/R4-1,"-")</f>
        <v>-0.0768753181818181</v>
      </c>
      <c r="T4" s="162" t="n">
        <f aca="false">IFERROR(H4/R4,"-")</f>
        <v>0.923124681818182</v>
      </c>
      <c r="U4" s="147" t="n">
        <f aca="false">H4-R4</f>
        <v>-42281.425</v>
      </c>
      <c r="W4" s="145" t="n">
        <v>343121.506</v>
      </c>
      <c r="X4" s="5" t="n">
        <f aca="false">H4-W4</f>
        <v>164597.069</v>
      </c>
      <c r="Y4" s="163" t="n">
        <f aca="false">IFERROR((H4/W4)-1,"-")</f>
        <v>0.479704903720025</v>
      </c>
    </row>
    <row r="5" customFormat="false" ht="14.25" hidden="true" customHeight="true" outlineLevel="1" collapsed="false">
      <c r="A5" s="164" t="n">
        <v>7</v>
      </c>
      <c r="B5" s="161" t="s">
        <v>34</v>
      </c>
      <c r="C5" s="145" t="s">
        <v>34</v>
      </c>
      <c r="D5" s="161" t="s">
        <v>34</v>
      </c>
      <c r="E5" s="145" t="s">
        <v>32</v>
      </c>
      <c r="F5" s="145" t="n">
        <v>104489.476</v>
      </c>
      <c r="G5" s="145" t="n">
        <v>64918.49</v>
      </c>
      <c r="H5" s="145" t="n">
        <v>73475.311</v>
      </c>
      <c r="I5" s="162" t="n">
        <f aca="false">IFERROR(H5/$H$19,"")</f>
        <v>0.0420254815886175</v>
      </c>
      <c r="J5" s="162" t="n">
        <f aca="false">IFERROR(H5/G5-1,"")</f>
        <v>0.131808688094871</v>
      </c>
      <c r="K5" s="145" t="n">
        <f aca="false">H5-G5</f>
        <v>8556.821</v>
      </c>
      <c r="M5" s="145" t="n">
        <f aca="false">VLOOKUP(C5,'תקציב  '!$B:$S,12,0)*1</f>
        <v>67857.1428571428</v>
      </c>
      <c r="N5" s="162" t="n">
        <f aca="false">IFERROR(H5/M5-1,"")</f>
        <v>0.0827940568421062</v>
      </c>
      <c r="O5" s="162" t="n">
        <f aca="false">IFERROR(H5/M5,"-")</f>
        <v>1.08279405684211</v>
      </c>
      <c r="P5" s="145" t="n">
        <f aca="false">H5-M5</f>
        <v>5618.16814285721</v>
      </c>
      <c r="R5" s="147" t="n">
        <v>100000</v>
      </c>
      <c r="S5" s="162" t="n">
        <f aca="false">IFERROR(H5/R5-1,"-")</f>
        <v>-0.26524689</v>
      </c>
      <c r="T5" s="162" t="n">
        <f aca="false">IFERROR(H5/R5,"-")</f>
        <v>0.73475311</v>
      </c>
      <c r="U5" s="147" t="n">
        <f aca="false">H5-R5</f>
        <v>-26524.689</v>
      </c>
      <c r="W5" s="145" t="n">
        <v>60296.236</v>
      </c>
      <c r="X5" s="5" t="n">
        <f aca="false">H5-W5</f>
        <v>13179.075</v>
      </c>
      <c r="Y5" s="163" t="n">
        <f aca="false">IFERROR((H5/W5)-1,"-")</f>
        <v>0.218572101250234</v>
      </c>
    </row>
    <row r="6" customFormat="false" ht="14.25" hidden="true" customHeight="true" outlineLevel="1" collapsed="false">
      <c r="A6" s="164" t="n">
        <v>4</v>
      </c>
      <c r="B6" s="161" t="s">
        <v>35</v>
      </c>
      <c r="C6" s="145" t="s">
        <v>35</v>
      </c>
      <c r="D6" s="161" t="s">
        <v>35</v>
      </c>
      <c r="E6" s="145" t="s">
        <v>32</v>
      </c>
      <c r="F6" s="145" t="n">
        <v>141046.592</v>
      </c>
      <c r="G6" s="145" t="n">
        <v>134403.73</v>
      </c>
      <c r="H6" s="145" t="n">
        <v>182488.743</v>
      </c>
      <c r="I6" s="162" t="n">
        <f aca="false">IFERROR(H6/$H$19,"")</f>
        <v>0.104377609358829</v>
      </c>
      <c r="J6" s="162" t="n">
        <f aca="false">IFERROR(H6/G6-1,"")</f>
        <v>0.357765465288798</v>
      </c>
      <c r="K6" s="145" t="n">
        <f aca="false">H6-G6</f>
        <v>48085.013</v>
      </c>
      <c r="M6" s="145" t="n">
        <f aca="false">VLOOKUP(B6,'תקציב  '!$B:$S,12,0)*1</f>
        <v>150253.968253968</v>
      </c>
      <c r="N6" s="162" t="n">
        <f aca="false">IFERROR(H6/M6-1,"")</f>
        <v>0.214535263997467</v>
      </c>
      <c r="O6" s="162" t="n">
        <f aca="false">IFERROR(H6/M6,"-")</f>
        <v>1.21453526399747</v>
      </c>
      <c r="P6" s="145" t="n">
        <f aca="false">H6-M6</f>
        <v>32234.774746032</v>
      </c>
      <c r="R6" s="147" t="n">
        <v>200000</v>
      </c>
      <c r="S6" s="162" t="n">
        <f aca="false">IFERROR(H6/R6-1,"-")</f>
        <v>-0.087556285</v>
      </c>
      <c r="T6" s="162" t="n">
        <f aca="false">IFERROR(H6/R6,"-")</f>
        <v>0.912443715</v>
      </c>
      <c r="U6" s="147" t="n">
        <f aca="false">H6-R6</f>
        <v>-17511.257</v>
      </c>
      <c r="W6" s="145" t="n">
        <v>169016.557</v>
      </c>
      <c r="X6" s="5" t="n">
        <f aca="false">H6-W6</f>
        <v>13472.186</v>
      </c>
      <c r="Y6" s="163" t="n">
        <f aca="false">IFERROR((H6/W6)-1,"-")</f>
        <v>0.0797092677730975</v>
      </c>
    </row>
    <row r="7" customFormat="false" ht="14.25" hidden="true" customHeight="true" outlineLevel="1" collapsed="false">
      <c r="A7" s="164" t="n">
        <v>3</v>
      </c>
      <c r="B7" s="161" t="s">
        <v>132</v>
      </c>
      <c r="C7" s="145" t="s">
        <v>36</v>
      </c>
      <c r="D7" s="161" t="s">
        <v>36</v>
      </c>
      <c r="E7" s="145" t="s">
        <v>32</v>
      </c>
      <c r="F7" s="145" t="n">
        <v>309520.8</v>
      </c>
      <c r="G7" s="145" t="n">
        <v>337200.15</v>
      </c>
      <c r="H7" s="145" t="n">
        <v>296928.1</v>
      </c>
      <c r="I7" s="162" t="n">
        <f aca="false">IFERROR(H7/$H$19,"")</f>
        <v>0.169833189269429</v>
      </c>
      <c r="J7" s="162" t="n">
        <f aca="false">IFERROR(H7/G7-1,"")</f>
        <v>-0.119430700134623</v>
      </c>
      <c r="K7" s="145" t="n">
        <f aca="false">H7-G7</f>
        <v>-40272.0500000001</v>
      </c>
      <c r="M7" s="145" t="n">
        <f aca="false">VLOOKUP(C7,'תקציב  '!$B:$S,12,0)*1</f>
        <v>365000</v>
      </c>
      <c r="N7" s="162" t="n">
        <f aca="false">IFERROR(H7/M7-1,"")</f>
        <v>-0.186498356164384</v>
      </c>
      <c r="O7" s="162" t="n">
        <f aca="false">IFERROR(H7/M7,"-")</f>
        <v>0.813501643835616</v>
      </c>
      <c r="P7" s="145" t="n">
        <f aca="false">H7-M7</f>
        <v>-68071.9</v>
      </c>
      <c r="R7" s="147" t="n">
        <v>330000</v>
      </c>
      <c r="S7" s="162" t="n">
        <f aca="false">IFERROR(H7/R7-1,"-")</f>
        <v>-0.100217878787879</v>
      </c>
      <c r="T7" s="162" t="n">
        <f aca="false">IFERROR(H7/R7,"-")</f>
        <v>0.899782121212121</v>
      </c>
      <c r="U7" s="147" t="n">
        <f aca="false">H7-R7</f>
        <v>-33071.9</v>
      </c>
      <c r="W7" s="145" t="n">
        <v>224717.2</v>
      </c>
      <c r="X7" s="5" t="n">
        <f aca="false">H7-W7</f>
        <v>72210.9</v>
      </c>
      <c r="Y7" s="163" t="n">
        <f aca="false">IFERROR((H7/W7)-1,"-")</f>
        <v>0.321341223546751</v>
      </c>
    </row>
    <row r="8" customFormat="false" ht="14.25" hidden="true" customHeight="true" outlineLevel="1" collapsed="false">
      <c r="A8" s="164" t="n">
        <v>8</v>
      </c>
      <c r="B8" s="161" t="s">
        <v>133</v>
      </c>
      <c r="C8" s="145" t="s">
        <v>37</v>
      </c>
      <c r="D8" s="161" t="s">
        <v>37</v>
      </c>
      <c r="E8" s="145" t="s">
        <v>32</v>
      </c>
      <c r="F8" s="145" t="n">
        <v>65554.73</v>
      </c>
      <c r="G8" s="145" t="n">
        <v>89206.99</v>
      </c>
      <c r="H8" s="145" t="n">
        <v>55452.215</v>
      </c>
      <c r="I8" s="162" t="n">
        <f aca="false">IFERROR(H8/$H$19,"")</f>
        <v>0.0317168584768639</v>
      </c>
      <c r="J8" s="162" t="n">
        <f aca="false">IFERROR(H8/G8-1,"")</f>
        <v>-0.378387108454169</v>
      </c>
      <c r="K8" s="145" t="n">
        <f aca="false">H8-G8</f>
        <v>-33754.775</v>
      </c>
      <c r="M8" s="145" t="n">
        <f aca="false">VLOOKUP(C8,'תקציב  '!$B:$S,12,0)*1</f>
        <v>95396.8253968254</v>
      </c>
      <c r="N8" s="162" t="n">
        <f aca="false">IFERROR(H8/M8-1,"")</f>
        <v>-0.418720541597338</v>
      </c>
      <c r="O8" s="162" t="n">
        <f aca="false">IFERROR(H8/M8,"-")</f>
        <v>0.581279458402662</v>
      </c>
      <c r="P8" s="145" t="n">
        <f aca="false">H8-M8</f>
        <v>-39944.6103968254</v>
      </c>
      <c r="R8" s="147" t="n">
        <v>100000</v>
      </c>
      <c r="S8" s="162" t="n">
        <f aca="false">IFERROR(H8/R8-1,"-")</f>
        <v>-0.44547785</v>
      </c>
      <c r="T8" s="162" t="n">
        <f aca="false">IFERROR(H8/R8,"-")</f>
        <v>0.55452215</v>
      </c>
      <c r="U8" s="147" t="n">
        <f aca="false">H8-R8</f>
        <v>-44547.785</v>
      </c>
      <c r="W8" s="145" t="n">
        <v>49516.012</v>
      </c>
      <c r="X8" s="5" t="n">
        <f aca="false">H8-W8</f>
        <v>5936.20299999999</v>
      </c>
      <c r="Y8" s="163" t="n">
        <f aca="false">IFERROR((H8/W8)-1,"-")</f>
        <v>0.119884513316622</v>
      </c>
    </row>
    <row r="9" customFormat="false" ht="14.25" hidden="true" customHeight="true" outlineLevel="1" collapsed="false">
      <c r="A9" s="164" t="n">
        <v>6</v>
      </c>
      <c r="B9" s="161" t="s">
        <v>134</v>
      </c>
      <c r="C9" s="145" t="s">
        <v>38</v>
      </c>
      <c r="D9" s="161" t="s">
        <v>38</v>
      </c>
      <c r="E9" s="145" t="s">
        <v>32</v>
      </c>
      <c r="F9" s="145" t="n">
        <v>65856.52</v>
      </c>
      <c r="G9" s="145" t="n">
        <v>69988.58</v>
      </c>
      <c r="H9" s="145" t="n">
        <v>60353.17</v>
      </c>
      <c r="I9" s="162" t="n">
        <f aca="false">IFERROR(H9/$H$19,"")</f>
        <v>0.0345200448984789</v>
      </c>
      <c r="J9" s="162" t="n">
        <f aca="false">IFERROR(H9/G9-1,"")</f>
        <v>-0.137671174354445</v>
      </c>
      <c r="K9" s="145" t="n">
        <f aca="false">H9-G9</f>
        <v>-9635.41</v>
      </c>
      <c r="M9" s="145" t="n">
        <f aca="false">VLOOKUP(C9,'תקציב  '!$B:$S,12,0)*1</f>
        <v>166575.396825397</v>
      </c>
      <c r="N9" s="162" t="n">
        <f aca="false">IFERROR(H9/M9-1,"")</f>
        <v>-0.637682568072993</v>
      </c>
      <c r="O9" s="162" t="n">
        <f aca="false">IFERROR(H9/M9,"-")</f>
        <v>0.362317431927007</v>
      </c>
      <c r="P9" s="145" t="n">
        <f aca="false">H9-M9</f>
        <v>-106222.226825397</v>
      </c>
      <c r="R9" s="147" t="n">
        <v>100000</v>
      </c>
      <c r="S9" s="162" t="n">
        <f aca="false">IFERROR(H9/R9-1,"-")</f>
        <v>-0.3964683</v>
      </c>
      <c r="T9" s="162" t="n">
        <f aca="false">IFERROR(H9/R9,"-")</f>
        <v>0.6035317</v>
      </c>
      <c r="U9" s="147" t="n">
        <f aca="false">H9-R9</f>
        <v>-39646.83</v>
      </c>
      <c r="W9" s="145" t="n">
        <v>50664.95</v>
      </c>
      <c r="X9" s="5" t="n">
        <f aca="false">H9-W9</f>
        <v>9688.22</v>
      </c>
      <c r="Y9" s="163" t="n">
        <f aca="false">IFERROR((H9/W9)-1,"-")</f>
        <v>0.191221347302228</v>
      </c>
    </row>
    <row r="10" customFormat="false" ht="14.25" hidden="true" customHeight="true" outlineLevel="1" collapsed="false">
      <c r="A10" s="165" t="n">
        <v>10</v>
      </c>
      <c r="B10" s="167" t="s">
        <v>135</v>
      </c>
      <c r="C10" s="145" t="s">
        <v>39</v>
      </c>
      <c r="D10" s="167" t="s">
        <v>39</v>
      </c>
      <c r="E10" s="145" t="s">
        <v>32</v>
      </c>
      <c r="F10" s="145" t="n">
        <v>10468.76</v>
      </c>
      <c r="G10" s="145" t="n">
        <v>17490.72</v>
      </c>
      <c r="H10" s="145" t="n">
        <v>8627.76</v>
      </c>
      <c r="I10" s="162" t="n">
        <f aca="false">IFERROR(H10/$H$19,"")</f>
        <v>0.00493479733663204</v>
      </c>
      <c r="J10" s="162" t="n">
        <f aca="false">IFERROR(H10/G10-1,"")</f>
        <v>-0.506723565410686</v>
      </c>
      <c r="K10" s="145" t="n">
        <f aca="false">H10-G10</f>
        <v>-8862.96</v>
      </c>
      <c r="M10" s="145" t="n">
        <f aca="false">VLOOKUP(C10,'תקציב  '!$B:$S,12,0)*1</f>
        <v>14325.3968253968</v>
      </c>
      <c r="N10" s="162" t="n">
        <f aca="false">IFERROR(H10/M10-1,"")</f>
        <v>-0.397729772853184</v>
      </c>
      <c r="O10" s="162" t="n">
        <f aca="false">IFERROR(H10/M10,"-")</f>
        <v>0.602270227146816</v>
      </c>
      <c r="P10" s="145" t="n">
        <f aca="false">H10-M10</f>
        <v>-5697.6368253968</v>
      </c>
      <c r="R10" s="147" t="n">
        <v>15000</v>
      </c>
      <c r="S10" s="162" t="n">
        <f aca="false">IFERROR(H10/R10-1,"-")</f>
        <v>-0.424816</v>
      </c>
      <c r="T10" s="162" t="n">
        <f aca="false">IFERROR(H10/R10,"-")</f>
        <v>0.575184</v>
      </c>
      <c r="U10" s="147" t="n">
        <f aca="false">H10-R10</f>
        <v>-6372.24</v>
      </c>
      <c r="W10" s="145" t="n">
        <v>8922.67</v>
      </c>
      <c r="X10" s="5" t="n">
        <f aca="false">H10-W10</f>
        <v>-294.91</v>
      </c>
      <c r="Y10" s="163" t="n">
        <f aca="false">IFERROR((H10/W10)-1,"-")</f>
        <v>-0.0330517658951861</v>
      </c>
    </row>
    <row r="11" customFormat="false" ht="14.25" hidden="true" customHeight="true" outlineLevel="1" collapsed="false">
      <c r="A11" s="164" t="n">
        <v>11</v>
      </c>
      <c r="B11" s="161" t="s">
        <v>136</v>
      </c>
      <c r="C11" s="145" t="s">
        <v>40</v>
      </c>
      <c r="D11" s="161" t="s">
        <v>40</v>
      </c>
      <c r="E11" s="145" t="s">
        <v>32</v>
      </c>
      <c r="F11" s="145" t="n">
        <v>3066.38</v>
      </c>
      <c r="G11" s="145" t="n">
        <v>4228.87</v>
      </c>
      <c r="H11" s="145" t="n">
        <v>5091.7</v>
      </c>
      <c r="I11" s="162" t="n">
        <f aca="false">IFERROR(H11/$H$19,"")</f>
        <v>0.00291228634071061</v>
      </c>
      <c r="J11" s="162" t="n">
        <f aca="false">IFERROR(H11/G11-1,"")</f>
        <v>0.204033228734863</v>
      </c>
      <c r="K11" s="145" t="n">
        <f aca="false">H11-G11</f>
        <v>862.83</v>
      </c>
      <c r="M11" s="145" t="n">
        <f aca="false">VLOOKUP(C11,'תקציב  '!$B:$S,12,0)*1</f>
        <v>8539.68253968254</v>
      </c>
      <c r="N11" s="162" t="n">
        <f aca="false">IFERROR(H11/M11-1,"")</f>
        <v>-0.403760037174721</v>
      </c>
      <c r="O11" s="162" t="n">
        <f aca="false">IFERROR(H11/M11,"-")</f>
        <v>0.596239962825279</v>
      </c>
      <c r="P11" s="145" t="n">
        <f aca="false">H11-M11</f>
        <v>-3447.98253968254</v>
      </c>
      <c r="R11" s="147" t="n">
        <v>10000</v>
      </c>
      <c r="S11" s="162" t="n">
        <f aca="false">IFERROR(H11/R11-1,"-")</f>
        <v>-0.49083</v>
      </c>
      <c r="T11" s="162" t="n">
        <f aca="false">IFERROR(H11/R11,"-")</f>
        <v>0.50917</v>
      </c>
      <c r="U11" s="147" t="n">
        <f aca="false">H11-R11</f>
        <v>-4908.3</v>
      </c>
      <c r="W11" s="145" t="n">
        <v>5091.7</v>
      </c>
      <c r="X11" s="5" t="n">
        <f aca="false">H11-W11</f>
        <v>0</v>
      </c>
      <c r="Y11" s="163" t="n">
        <f aca="false">IFERROR((H11/W11)-1,"-")</f>
        <v>0</v>
      </c>
    </row>
    <row r="12" customFormat="false" ht="14.25" hidden="true" customHeight="true" outlineLevel="1" collapsed="false">
      <c r="A12" s="164" t="n">
        <v>14</v>
      </c>
      <c r="B12" s="161" t="s">
        <v>137</v>
      </c>
      <c r="C12" s="145" t="s">
        <v>41</v>
      </c>
      <c r="D12" s="161" t="s">
        <v>41</v>
      </c>
      <c r="E12" s="145" t="s">
        <v>32</v>
      </c>
      <c r="F12" s="145" t="n">
        <v>850.4</v>
      </c>
      <c r="G12" s="145" t="n">
        <v>0</v>
      </c>
      <c r="H12" s="145" t="n">
        <v>0</v>
      </c>
      <c r="I12" s="162" t="n">
        <f aca="false">IFERROR(H12/$H$19,"")</f>
        <v>0</v>
      </c>
      <c r="J12" s="162" t="str">
        <f aca="false">IFERROR(H12/G12-1,"")</f>
        <v/>
      </c>
      <c r="K12" s="145" t="n">
        <f aca="false">H12-G12</f>
        <v>0</v>
      </c>
      <c r="M12" s="145" t="n">
        <f aca="false">VLOOKUP(C12,'תקציב  '!$B:$S,12,0)*1</f>
        <v>0</v>
      </c>
      <c r="N12" s="162" t="str">
        <f aca="false">IFERROR(H12/M12-1,"")</f>
        <v/>
      </c>
      <c r="O12" s="162" t="str">
        <f aca="false">IFERROR(H12/M12,"-")</f>
        <v>-</v>
      </c>
      <c r="P12" s="145" t="n">
        <f aca="false">H12-M12</f>
        <v>0</v>
      </c>
      <c r="R12" s="147" t="n">
        <v>5000</v>
      </c>
      <c r="S12" s="162" t="n">
        <f aca="false">IFERROR(H12/R12-1,"-")</f>
        <v>-1</v>
      </c>
      <c r="T12" s="162" t="n">
        <f aca="false">IFERROR(H12/R12,"-")</f>
        <v>0</v>
      </c>
      <c r="U12" s="147" t="n">
        <f aca="false">H12-R12</f>
        <v>-5000</v>
      </c>
      <c r="W12" s="145" t="n">
        <v>0</v>
      </c>
      <c r="X12" s="5" t="n">
        <f aca="false">H12-W12</f>
        <v>0</v>
      </c>
      <c r="Y12" s="163" t="str">
        <f aca="false">IFERROR((H12/W12)-1,"-")</f>
        <v>-</v>
      </c>
    </row>
    <row r="13" customFormat="false" ht="14.25" hidden="true" customHeight="true" outlineLevel="1" collapsed="false">
      <c r="A13" s="164" t="n">
        <v>15</v>
      </c>
      <c r="B13" s="161" t="s">
        <v>138</v>
      </c>
      <c r="C13" s="145" t="s">
        <v>47</v>
      </c>
      <c r="D13" s="161" t="s">
        <v>47</v>
      </c>
      <c r="E13" s="145" t="s">
        <v>32</v>
      </c>
      <c r="F13" s="145" t="n">
        <v>0</v>
      </c>
      <c r="G13" s="145" t="n">
        <v>0</v>
      </c>
      <c r="H13" s="145" t="n">
        <v>0</v>
      </c>
      <c r="I13" s="162" t="n">
        <f aca="false">IFERROR(H13/$H$19,"")</f>
        <v>0</v>
      </c>
      <c r="J13" s="162" t="str">
        <f aca="false">IFERROR(H13/G13-1,"")</f>
        <v/>
      </c>
      <c r="K13" s="145" t="n">
        <f aca="false">H13-G13</f>
        <v>0</v>
      </c>
      <c r="M13" s="145" t="n">
        <f aca="false">VLOOKUP(C13,'תקציב  '!$B:$S,12,0)*1</f>
        <v>0</v>
      </c>
      <c r="N13" s="162" t="str">
        <f aca="false">IFERROR(H13/M13-1,"")</f>
        <v/>
      </c>
      <c r="O13" s="162" t="str">
        <f aca="false">IFERROR(H13/M13,"-")</f>
        <v>-</v>
      </c>
      <c r="P13" s="145" t="n">
        <f aca="false">H13-M13</f>
        <v>0</v>
      </c>
      <c r="R13" s="147" t="n">
        <v>5000</v>
      </c>
      <c r="S13" s="162" t="n">
        <f aca="false">IFERROR(H13/R13-1,"-")</f>
        <v>-1</v>
      </c>
      <c r="T13" s="162" t="n">
        <f aca="false">IFERROR(H13/R13,"-")</f>
        <v>0</v>
      </c>
      <c r="U13" s="147" t="n">
        <f aca="false">H13-R13</f>
        <v>-5000</v>
      </c>
      <c r="W13" s="145" t="n">
        <v>0</v>
      </c>
      <c r="X13" s="5" t="n">
        <f aca="false">H13-W13</f>
        <v>0</v>
      </c>
      <c r="Y13" s="163" t="str">
        <f aca="false">IFERROR((H13/W13)-1,"-")</f>
        <v>-</v>
      </c>
    </row>
    <row r="14" customFormat="false" ht="14.25" hidden="true" customHeight="true" outlineLevel="1" collapsed="false">
      <c r="A14" s="164" t="n">
        <v>13</v>
      </c>
      <c r="B14" s="161" t="s">
        <v>139</v>
      </c>
      <c r="C14" s="145" t="s">
        <v>43</v>
      </c>
      <c r="D14" s="161" t="s">
        <v>43</v>
      </c>
      <c r="E14" s="145" t="s">
        <v>32</v>
      </c>
      <c r="F14" s="145" t="n">
        <v>0</v>
      </c>
      <c r="G14" s="145" t="n">
        <v>0</v>
      </c>
      <c r="H14" s="145" t="n">
        <v>6726.56</v>
      </c>
      <c r="I14" s="162" t="n">
        <f aca="false">IFERROR(H14/$H$19,"")</f>
        <v>0.00384737294184071</v>
      </c>
      <c r="J14" s="162" t="str">
        <f aca="false">IFERROR(H14/G14-1,"")</f>
        <v/>
      </c>
      <c r="K14" s="145" t="n">
        <f aca="false">H14-G14</f>
        <v>6726.56</v>
      </c>
      <c r="M14" s="145" t="n">
        <f aca="false">VLOOKUP(C14,'תקציב  '!$B:$S,12,0)*1</f>
        <v>50000</v>
      </c>
      <c r="N14" s="162" t="n">
        <f aca="false">IFERROR(H14/M14-1,"")</f>
        <v>-0.8654688</v>
      </c>
      <c r="O14" s="162" t="n">
        <f aca="false">IFERROR(H14/M14,"-")</f>
        <v>0.1345312</v>
      </c>
      <c r="P14" s="145" t="n">
        <f aca="false">H14-M14</f>
        <v>-43273.44</v>
      </c>
      <c r="R14" s="147" t="n">
        <v>5000</v>
      </c>
      <c r="S14" s="162" t="n">
        <f aca="false">IFERROR(H14/R14-1,"-")</f>
        <v>0.345312</v>
      </c>
      <c r="T14" s="162" t="n">
        <f aca="false">IFERROR(H14/R14,"-")</f>
        <v>1.345312</v>
      </c>
      <c r="U14" s="147" t="n">
        <f aca="false">H14-R14</f>
        <v>1726.56</v>
      </c>
      <c r="W14" s="145" t="n">
        <v>3512.91</v>
      </c>
      <c r="X14" s="5" t="n">
        <f aca="false">H14-W14</f>
        <v>3213.65</v>
      </c>
      <c r="Y14" s="163" t="n">
        <f aca="false">IFERROR((H14/W14)-1,"-")</f>
        <v>0.914811367214076</v>
      </c>
    </row>
    <row r="15" customFormat="false" ht="14.25" hidden="true" customHeight="true" outlineLevel="1" collapsed="false">
      <c r="A15" s="164" t="n">
        <v>9</v>
      </c>
      <c r="B15" s="161" t="s">
        <v>140</v>
      </c>
      <c r="C15" s="145" t="s">
        <v>44</v>
      </c>
      <c r="D15" s="161" t="s">
        <v>44</v>
      </c>
      <c r="E15" s="145" t="s">
        <v>32</v>
      </c>
      <c r="F15" s="145" t="n">
        <v>5902.85</v>
      </c>
      <c r="G15" s="145" t="n">
        <v>9679.47</v>
      </c>
      <c r="H15" s="145" t="n">
        <v>9421.74</v>
      </c>
      <c r="I15" s="162" t="n">
        <f aca="false">IFERROR(H15/$H$19,"")</f>
        <v>0.00538892800198887</v>
      </c>
      <c r="J15" s="162" t="n">
        <f aca="false">IFERROR(H15/G15-1,"")</f>
        <v>-0.0266264578535808</v>
      </c>
      <c r="K15" s="145" t="n">
        <f aca="false">H15-G15</f>
        <v>-257.73</v>
      </c>
      <c r="M15" s="145" t="n">
        <f aca="false">VLOOKUP(C15,'תקציב  '!$B:$S,12,0)*1</f>
        <v>15079.3650793651</v>
      </c>
      <c r="N15" s="162" t="n">
        <f aca="false">IFERROR(H15/M15-1,"")</f>
        <v>-0.375189873684211</v>
      </c>
      <c r="O15" s="162" t="n">
        <f aca="false">IFERROR(H15/M15,"-")</f>
        <v>0.624810126315789</v>
      </c>
      <c r="P15" s="145" t="n">
        <f aca="false">H15-M15</f>
        <v>-5657.6250793651</v>
      </c>
      <c r="R15" s="147" t="n">
        <v>25000</v>
      </c>
      <c r="S15" s="162" t="n">
        <f aca="false">IFERROR(H15/R15-1,"-")</f>
        <v>-0.6231304</v>
      </c>
      <c r="T15" s="162" t="n">
        <f aca="false">IFERROR(H15/R15,"-")</f>
        <v>0.3768696</v>
      </c>
      <c r="U15" s="147" t="n">
        <f aca="false">H15-R15</f>
        <v>-15578.26</v>
      </c>
      <c r="W15" s="145" t="n">
        <v>9421.74</v>
      </c>
      <c r="X15" s="5" t="n">
        <f aca="false">H15-W15</f>
        <v>0</v>
      </c>
      <c r="Y15" s="163" t="n">
        <f aca="false">IFERROR((H15/W15)-1,"-")</f>
        <v>0</v>
      </c>
    </row>
    <row r="16" customFormat="false" ht="15" hidden="false" customHeight="true" outlineLevel="0" collapsed="false">
      <c r="A16" s="168"/>
      <c r="B16" s="170"/>
      <c r="C16" s="172" t="s">
        <v>115</v>
      </c>
      <c r="D16" s="170" t="s">
        <v>115</v>
      </c>
      <c r="E16" s="172"/>
      <c r="F16" s="172" t="n">
        <f aca="false">SUM(F3:F15)+F50</f>
        <v>1346091.953</v>
      </c>
      <c r="G16" s="172" t="n">
        <f aca="false">SUM(G3:G15)+G50</f>
        <v>1350498.61</v>
      </c>
      <c r="H16" s="172" t="n">
        <f aca="false">SUM(H3:H15)+H50</f>
        <v>1400225.374</v>
      </c>
      <c r="I16" s="173" t="n">
        <f aca="false">IFERROR(H16/$H$19,"")</f>
        <v>0.800883247366616</v>
      </c>
      <c r="J16" s="173" t="n">
        <f aca="false">H16/G16-1</f>
        <v>0.0368210404896308</v>
      </c>
      <c r="K16" s="172" t="n">
        <f aca="false">SUM(K3:K15)+K50</f>
        <v>49726.764</v>
      </c>
      <c r="M16" s="172" t="n">
        <f aca="false">SUM(M3:M15)+M50</f>
        <v>1670472.22222222</v>
      </c>
      <c r="N16" s="173" t="n">
        <f aca="false">H16/M16-1</f>
        <v>-0.161778714202571</v>
      </c>
      <c r="O16" s="173" t="n">
        <f aca="false">IFERROR(H16/M16,"-")</f>
        <v>0.838221285797429</v>
      </c>
      <c r="P16" s="172" t="n">
        <f aca="false">SUM(P3:P15)+P50</f>
        <v>-270246.848222223</v>
      </c>
      <c r="R16" s="172" t="n">
        <f aca="false">SUM(R3:R15)+R50</f>
        <v>1645000</v>
      </c>
      <c r="S16" s="173" t="n">
        <f aca="false">IFERROR(H16/R16-1,"-")</f>
        <v>-0.148799164741641</v>
      </c>
      <c r="T16" s="173" t="n">
        <f aca="false">IFERROR(H16/R16,"-")</f>
        <v>0.851200835258359</v>
      </c>
      <c r="U16" s="172" t="n">
        <f aca="false">H16-R16</f>
        <v>-244774.626</v>
      </c>
      <c r="V16" s="174"/>
      <c r="W16" s="172" t="n">
        <v>1118222.981</v>
      </c>
      <c r="X16" s="175" t="n">
        <f aca="false">H16-W16</f>
        <v>282002.393</v>
      </c>
      <c r="Y16" s="176" t="n">
        <f aca="false">IFERROR((H16/W16)-1,"-")</f>
        <v>0.252187978418948</v>
      </c>
    </row>
    <row r="17" customFormat="false" ht="14.25" hidden="true" customHeight="true" outlineLevel="1" collapsed="false">
      <c r="A17" s="164" t="n">
        <v>2</v>
      </c>
      <c r="B17" s="161" t="s">
        <v>141</v>
      </c>
      <c r="C17" s="145" t="s">
        <v>45</v>
      </c>
      <c r="D17" s="161" t="s">
        <v>45</v>
      </c>
      <c r="E17" s="145" t="s">
        <v>32</v>
      </c>
      <c r="F17" s="145" t="n">
        <v>56193.1900000001</v>
      </c>
      <c r="G17" s="145" t="n">
        <v>143120.649999998</v>
      </c>
      <c r="H17" s="145" t="n">
        <v>347579.04</v>
      </c>
      <c r="I17" s="162" t="n">
        <f aca="false">IFERROR(H17/$H$19,"")</f>
        <v>0.198803875033742</v>
      </c>
      <c r="J17" s="162" t="n">
        <f aca="false">IFERROR(H17/G17-1,"")</f>
        <v>1.42857365446569</v>
      </c>
      <c r="K17" s="145" t="n">
        <f aca="false">H17-G17</f>
        <v>204458.390000002</v>
      </c>
      <c r="M17" s="145" t="n">
        <f aca="false">VLOOKUP(C17,'תקציב  '!$B:$S,12,0)*1</f>
        <v>1012800</v>
      </c>
      <c r="N17" s="162" t="n">
        <f aca="false">IFERROR(H17/M17-1,"")</f>
        <v>-0.65681374407583</v>
      </c>
      <c r="O17" s="162" t="n">
        <f aca="false">IFERROR(H17/M17,"-")</f>
        <v>0.343186255924171</v>
      </c>
      <c r="P17" s="145" t="n">
        <f aca="false">H17-M17</f>
        <v>-665220.96</v>
      </c>
      <c r="R17" s="147" t="n">
        <v>977100.847457627</v>
      </c>
      <c r="S17" s="162" t="n">
        <f aca="false">IFERROR(H17/R17-1,"-")</f>
        <v>-0.644275162687265</v>
      </c>
      <c r="T17" s="162" t="n">
        <f aca="false">IFERROR(H17/R17,"-")</f>
        <v>0.355724837312735</v>
      </c>
      <c r="U17" s="147" t="n">
        <f aca="false">H17-R17</f>
        <v>-629521.807457627</v>
      </c>
      <c r="W17" s="145" t="n">
        <v>327556.57</v>
      </c>
      <c r="X17" s="5" t="n">
        <f aca="false">H17-W17</f>
        <v>20022.47</v>
      </c>
      <c r="Y17" s="163" t="n">
        <f aca="false">IFERROR((H17/W17)-1,"-")</f>
        <v>0.061126754380167</v>
      </c>
    </row>
    <row r="18" customFormat="false" ht="14.25" hidden="true" customHeight="true" outlineLevel="1" collapsed="false">
      <c r="A18" s="164" t="n">
        <v>12</v>
      </c>
      <c r="B18" s="161" t="s">
        <v>142</v>
      </c>
      <c r="C18" s="145" t="s">
        <v>46</v>
      </c>
      <c r="D18" s="161" t="s">
        <v>46</v>
      </c>
      <c r="E18" s="145" t="s">
        <v>32</v>
      </c>
      <c r="F18" s="145" t="n">
        <v>3358.59</v>
      </c>
      <c r="G18" s="145" t="n">
        <v>1798.35</v>
      </c>
      <c r="H18" s="145" t="n">
        <v>547.02</v>
      </c>
      <c r="I18" s="162" t="n">
        <f aca="false">IFERROR(H18/$H$19,"")</f>
        <v>0.000312877599641675</v>
      </c>
      <c r="J18" s="162" t="n">
        <f aca="false">IFERROR(H18/G18-1,"")</f>
        <v>-0.695821169405288</v>
      </c>
      <c r="K18" s="145" t="n">
        <f aca="false">H18-G18</f>
        <v>-1251.33</v>
      </c>
      <c r="M18" s="145" t="n">
        <f aca="false">VLOOKUP(C18,'תקציב  '!$B:$S,12,0)*1</f>
        <v>2536.92833333333</v>
      </c>
      <c r="N18" s="162" t="n">
        <f aca="false">IFERROR(H18/M18-1,"")</f>
        <v>-0.784377038636619</v>
      </c>
      <c r="O18" s="162" t="n">
        <f aca="false">IFERROR(H18/M18,"-")</f>
        <v>0.215622961363381</v>
      </c>
      <c r="P18" s="145" t="n">
        <f aca="false">H18-M18</f>
        <v>-1989.90833333333</v>
      </c>
      <c r="R18" s="147" t="n">
        <v>5000</v>
      </c>
      <c r="S18" s="162" t="n">
        <f aca="false">IFERROR(H18/R18-1,"-")</f>
        <v>-0.890596</v>
      </c>
      <c r="T18" s="162" t="n">
        <f aca="false">IFERROR(H18/R18,"-")</f>
        <v>0.109404</v>
      </c>
      <c r="U18" s="147" t="n">
        <f aca="false">H18-R18</f>
        <v>-4452.98</v>
      </c>
      <c r="W18" s="145" t="n">
        <v>547.02</v>
      </c>
      <c r="X18" s="5" t="n">
        <f aca="false">H18-W18</f>
        <v>0</v>
      </c>
      <c r="Y18" s="163" t="n">
        <f aca="false">IFERROR((H18/W18)-1,"-")</f>
        <v>0</v>
      </c>
    </row>
    <row r="19" customFormat="false" ht="15" hidden="false" customHeight="true" outlineLevel="0" collapsed="false">
      <c r="A19" s="165"/>
      <c r="B19" s="178"/>
      <c r="C19" s="172" t="s">
        <v>48</v>
      </c>
      <c r="D19" s="178" t="s">
        <v>48</v>
      </c>
      <c r="E19" s="172"/>
      <c r="F19" s="172" t="n">
        <f aca="false">F16+F17+F18</f>
        <v>1405643.733</v>
      </c>
      <c r="G19" s="172" t="n">
        <f aca="false">G16+G17+G18</f>
        <v>1495417.61</v>
      </c>
      <c r="H19" s="172" t="n">
        <f aca="false">H16+H17+H18</f>
        <v>1748351.434</v>
      </c>
      <c r="I19" s="173" t="n">
        <f aca="false">IFERROR(H19/$H$19,"")</f>
        <v>1</v>
      </c>
      <c r="J19" s="173" t="n">
        <f aca="false">H19/G19-1</f>
        <v>0.169139257361027</v>
      </c>
      <c r="K19" s="172" t="n">
        <f aca="false">K16+K17+K18</f>
        <v>252933.824000002</v>
      </c>
      <c r="M19" s="172" t="n">
        <f aca="false">M16+M17+M18</f>
        <v>2685809.15055556</v>
      </c>
      <c r="N19" s="173" t="n">
        <f aca="false">H19/M19-1</f>
        <v>-0.349041076266214</v>
      </c>
      <c r="O19" s="173" t="n">
        <f aca="false">IFERROR(H19/M19,"-")</f>
        <v>0.650958923733787</v>
      </c>
      <c r="P19" s="172" t="n">
        <f aca="false">P16+P17+P18</f>
        <v>-937457.716555556</v>
      </c>
      <c r="R19" s="172" t="n">
        <f aca="false">R16+R17+R18</f>
        <v>2627100.84745763</v>
      </c>
      <c r="S19" s="173" t="n">
        <f aca="false">IFERROR(H19/R19-1,"-")</f>
        <v>-0.334493978146303</v>
      </c>
      <c r="T19" s="173" t="n">
        <f aca="false">IFERROR(H19/R19,"-")</f>
        <v>0.665506021853697</v>
      </c>
      <c r="U19" s="172" t="n">
        <f aca="false">H19-R19</f>
        <v>-878749.413457627</v>
      </c>
      <c r="V19" s="174"/>
      <c r="W19" s="172" t="n">
        <v>1446326.571</v>
      </c>
      <c r="X19" s="175" t="n">
        <f aca="false">H19-W19</f>
        <v>302024.863</v>
      </c>
      <c r="Y19" s="176" t="n">
        <f aca="false">IFERROR((H19/W19)-1,"-")</f>
        <v>0.208822038574026</v>
      </c>
    </row>
    <row r="20" customFormat="false" ht="14.25" hidden="true" customHeight="true" outlineLevel="1" collapsed="false">
      <c r="A20" s="165" t="n">
        <v>50</v>
      </c>
      <c r="B20" s="167" t="s">
        <v>143</v>
      </c>
      <c r="C20" s="145" t="s">
        <v>49</v>
      </c>
      <c r="D20" s="167" t="s">
        <v>50</v>
      </c>
      <c r="E20" s="145" t="s">
        <v>51</v>
      </c>
      <c r="F20" s="145" t="n">
        <v>258929.86</v>
      </c>
      <c r="G20" s="145" t="n">
        <v>247434.35</v>
      </c>
      <c r="H20" s="145" t="n">
        <v>198718.53</v>
      </c>
      <c r="I20" s="162" t="n">
        <f aca="false">IFERROR(H20/$H$19,"")</f>
        <v>0.113660518209064</v>
      </c>
      <c r="J20" s="162" t="n">
        <f aca="false">IFERROR(H20/G20-1,"")</f>
        <v>-0.196883819890003</v>
      </c>
      <c r="K20" s="145" t="n">
        <f aca="false">H20-G20</f>
        <v>-48715.82</v>
      </c>
      <c r="M20" s="145" t="n">
        <f aca="false">VLOOKUP(C20,'תקציב  '!$B:$S,12,0)*1</f>
        <v>477395.46855</v>
      </c>
      <c r="N20" s="162" t="n">
        <f aca="false">IFERROR(H20/M20-1,"")</f>
        <v>-0.583744415078822</v>
      </c>
      <c r="O20" s="162" t="n">
        <f aca="false">IFERROR(H20/M20,"-")</f>
        <v>0.416255584921178</v>
      </c>
      <c r="P20" s="145" t="n">
        <f aca="false">H20-M20</f>
        <v>-278676.93855</v>
      </c>
      <c r="R20" s="147" t="n">
        <v>327115.8</v>
      </c>
      <c r="S20" s="162" t="n">
        <f aca="false">IFERROR(H20/R20-1,"-")</f>
        <v>-0.392513201746904</v>
      </c>
      <c r="T20" s="162" t="n">
        <f aca="false">IFERROR(H20/R20,"-")</f>
        <v>0.607486798253096</v>
      </c>
      <c r="U20" s="147" t="n">
        <f aca="false">H20-R20</f>
        <v>-128397.27</v>
      </c>
      <c r="W20" s="145" t="n">
        <v>183052.05</v>
      </c>
      <c r="X20" s="5" t="n">
        <f aca="false">H20-W20</f>
        <v>15666.48</v>
      </c>
      <c r="Y20" s="163" t="n">
        <f aca="false">IFERROR((H20/W20)-1,"-")</f>
        <v>0.0855848377551631</v>
      </c>
    </row>
    <row r="21" customFormat="false" ht="14.25" hidden="true" customHeight="true" outlineLevel="1" collapsed="false">
      <c r="A21" s="165" t="n">
        <v>20</v>
      </c>
      <c r="B21" s="167" t="s">
        <v>144</v>
      </c>
      <c r="C21" s="145" t="s">
        <v>52</v>
      </c>
      <c r="D21" s="167" t="s">
        <v>53</v>
      </c>
      <c r="E21" s="145" t="s">
        <v>54</v>
      </c>
      <c r="F21" s="145" t="n">
        <v>159908.54</v>
      </c>
      <c r="G21" s="145" t="n">
        <v>0</v>
      </c>
      <c r="H21" s="145" t="n">
        <v>0</v>
      </c>
      <c r="I21" s="162" t="n">
        <f aca="false">IFERROR(H21/$H$19,"")</f>
        <v>0</v>
      </c>
      <c r="J21" s="162" t="str">
        <f aca="false">IFERROR(H21/G21-1,"")</f>
        <v/>
      </c>
      <c r="K21" s="145" t="n">
        <f aca="false">H21-G21</f>
        <v>0</v>
      </c>
      <c r="M21" s="145" t="n">
        <f aca="false">VLOOKUP(C21,'תקציב  '!$B:$S,12,0)*1</f>
        <v>0</v>
      </c>
      <c r="N21" s="162" t="str">
        <f aca="false">IFERROR(H21/M21-1,"")</f>
        <v/>
      </c>
      <c r="O21" s="162" t="str">
        <f aca="false">IFERROR(H21/M21,"-")</f>
        <v>-</v>
      </c>
      <c r="P21" s="145" t="n">
        <f aca="false">H21-M21</f>
        <v>0</v>
      </c>
      <c r="R21" s="147" t="n">
        <v>0</v>
      </c>
      <c r="S21" s="162" t="str">
        <f aca="false">IFERROR(H21/R21-1,"-")</f>
        <v>-</v>
      </c>
      <c r="T21" s="162" t="str">
        <f aca="false">IFERROR(H21/R21,"-")</f>
        <v>-</v>
      </c>
      <c r="U21" s="147" t="n">
        <f aca="false">H21-R21</f>
        <v>0</v>
      </c>
      <c r="W21" s="145" t="n">
        <v>0</v>
      </c>
      <c r="X21" s="5" t="n">
        <f aca="false">H21-W21</f>
        <v>0</v>
      </c>
      <c r="Y21" s="163" t="str">
        <f aca="false">IFERROR((H21/W21)-1,"-")</f>
        <v>-</v>
      </c>
    </row>
    <row r="22" customFormat="false" ht="14.25" hidden="true" customHeight="true" outlineLevel="1" collapsed="false">
      <c r="A22" s="165" t="n">
        <v>21</v>
      </c>
      <c r="B22" s="167" t="s">
        <v>145</v>
      </c>
      <c r="C22" s="145" t="s">
        <v>55</v>
      </c>
      <c r="D22" s="167" t="s">
        <v>56</v>
      </c>
      <c r="E22" s="145" t="s">
        <v>57</v>
      </c>
      <c r="F22" s="145" t="n">
        <v>16422.81</v>
      </c>
      <c r="G22" s="145" t="n">
        <v>10281.02</v>
      </c>
      <c r="H22" s="145" t="n">
        <v>0</v>
      </c>
      <c r="I22" s="162" t="n">
        <f aca="false">IFERROR(H22/$H$19,"")</f>
        <v>0</v>
      </c>
      <c r="J22" s="162" t="n">
        <f aca="false">IFERROR(H22/G22-1,"")</f>
        <v>-1</v>
      </c>
      <c r="K22" s="145" t="n">
        <f aca="false">H22-G22</f>
        <v>-10281.02</v>
      </c>
      <c r="M22" s="145" t="n">
        <f aca="false">VLOOKUP(C22,'תקציב  '!$B:$S,12,0)*1</f>
        <v>15000</v>
      </c>
      <c r="N22" s="162" t="n">
        <f aca="false">IFERROR(H22/M22-1,"")</f>
        <v>-1</v>
      </c>
      <c r="O22" s="162" t="n">
        <f aca="false">IFERROR(H22/M22,"-")</f>
        <v>0</v>
      </c>
      <c r="P22" s="145" t="n">
        <f aca="false">H22-M22</f>
        <v>-15000</v>
      </c>
      <c r="R22" s="147" t="n">
        <v>40000</v>
      </c>
      <c r="S22" s="162" t="n">
        <f aca="false">IFERROR(H22/R22-1,"-")</f>
        <v>-1</v>
      </c>
      <c r="T22" s="162" t="n">
        <f aca="false">IFERROR(H22/R22,"-")</f>
        <v>0</v>
      </c>
      <c r="U22" s="147" t="n">
        <f aca="false">H22-R22</f>
        <v>-40000</v>
      </c>
      <c r="W22" s="145" t="n">
        <v>0</v>
      </c>
      <c r="X22" s="5" t="n">
        <f aca="false">H22-W22</f>
        <v>0</v>
      </c>
      <c r="Y22" s="163" t="str">
        <f aca="false">IFERROR((H22/W22)-1,"-")</f>
        <v>-</v>
      </c>
    </row>
    <row r="23" customFormat="false" ht="14.25" hidden="true" customHeight="true" outlineLevel="1" collapsed="false">
      <c r="A23" s="165" t="n">
        <v>22</v>
      </c>
      <c r="B23" s="167" t="s">
        <v>146</v>
      </c>
      <c r="C23" s="145" t="s">
        <v>58</v>
      </c>
      <c r="D23" s="167" t="s">
        <v>59</v>
      </c>
      <c r="E23" s="145" t="s">
        <v>60</v>
      </c>
      <c r="F23" s="145" t="n">
        <v>-4343.69</v>
      </c>
      <c r="G23" s="145" t="n">
        <v>0</v>
      </c>
      <c r="H23" s="145" t="n">
        <v>51223.23</v>
      </c>
      <c r="I23" s="162" t="n">
        <f aca="false">IFERROR(H23/$H$19,"")</f>
        <v>0.0292980169798059</v>
      </c>
      <c r="J23" s="162" t="str">
        <f aca="false">IFERROR(H23/G23-1,"")</f>
        <v/>
      </c>
      <c r="K23" s="145" t="n">
        <f aca="false">H23-G23</f>
        <v>51223.23</v>
      </c>
      <c r="M23" s="145" t="n">
        <f aca="false">VLOOKUP(C23,'תקציב  '!$B:$S,12,0)*1</f>
        <v>85000</v>
      </c>
      <c r="N23" s="162" t="n">
        <f aca="false">IFERROR(H23/M23-1,"")</f>
        <v>-0.397373764705882</v>
      </c>
      <c r="O23" s="162" t="n">
        <f aca="false">IFERROR(H23/M23,"-")</f>
        <v>0.602626235294118</v>
      </c>
      <c r="P23" s="145" t="n">
        <f aca="false">H23-M23</f>
        <v>-33776.77</v>
      </c>
      <c r="R23" s="147" t="n">
        <v>75000</v>
      </c>
      <c r="S23" s="162" t="n">
        <f aca="false">IFERROR(H23/R23-1,"-")</f>
        <v>-0.3170236</v>
      </c>
      <c r="T23" s="162" t="n">
        <f aca="false">IFERROR(H23/R23,"-")</f>
        <v>0.6829764</v>
      </c>
      <c r="U23" s="147" t="n">
        <f aca="false">H23-R23</f>
        <v>-23776.77</v>
      </c>
      <c r="W23" s="145" t="n">
        <v>51223.23</v>
      </c>
      <c r="X23" s="5" t="n">
        <f aca="false">H23-W23</f>
        <v>0</v>
      </c>
      <c r="Y23" s="163" t="n">
        <f aca="false">IFERROR((H23/W23)-1,"-")</f>
        <v>0</v>
      </c>
    </row>
    <row r="24" customFormat="false" ht="14.25" hidden="true" customHeight="true" outlineLevel="1" collapsed="false">
      <c r="A24" s="165" t="n">
        <v>23</v>
      </c>
      <c r="B24" s="167" t="s">
        <v>147</v>
      </c>
      <c r="C24" s="145" t="s">
        <v>61</v>
      </c>
      <c r="D24" s="167" t="s">
        <v>62</v>
      </c>
      <c r="E24" s="145" t="s">
        <v>63</v>
      </c>
      <c r="F24" s="145" t="n">
        <v>11239.03</v>
      </c>
      <c r="G24" s="145" t="n">
        <v>0</v>
      </c>
      <c r="H24" s="145" t="n">
        <v>15160.58</v>
      </c>
      <c r="I24" s="162" t="n">
        <f aca="false">IFERROR(H24/$H$19,"")</f>
        <v>0.00867135731705528</v>
      </c>
      <c r="J24" s="162" t="str">
        <f aca="false">IFERROR(H24/G24-1,"")</f>
        <v/>
      </c>
      <c r="K24" s="145" t="n">
        <f aca="false">H24-G24</f>
        <v>15160.58</v>
      </c>
      <c r="M24" s="145" t="n">
        <f aca="false">VLOOKUP(C24,'תקציב  '!$B:$S,12,0)*1</f>
        <v>17000</v>
      </c>
      <c r="N24" s="162" t="n">
        <f aca="false">IFERROR(H24/M24-1,"")</f>
        <v>-0.108201176470588</v>
      </c>
      <c r="O24" s="162" t="n">
        <f aca="false">IFERROR(H24/M24,"-")</f>
        <v>0.891798823529412</v>
      </c>
      <c r="P24" s="145" t="n">
        <f aca="false">H24-M24</f>
        <v>-1839.42</v>
      </c>
      <c r="R24" s="147" t="n">
        <v>15000</v>
      </c>
      <c r="S24" s="162" t="n">
        <f aca="false">IFERROR(H24/R24-1,"-")</f>
        <v>0.0107053333333333</v>
      </c>
      <c r="T24" s="162" t="n">
        <f aca="false">IFERROR(H24/R24,"-")</f>
        <v>1.01070533333333</v>
      </c>
      <c r="U24" s="147" t="n">
        <f aca="false">H24-R24</f>
        <v>160.58</v>
      </c>
      <c r="W24" s="145" t="n">
        <v>15160.58</v>
      </c>
      <c r="X24" s="5" t="n">
        <f aca="false">H24-W24</f>
        <v>0</v>
      </c>
      <c r="Y24" s="163" t="n">
        <f aca="false">IFERROR((H24/W24)-1,"-")</f>
        <v>0</v>
      </c>
    </row>
    <row r="25" customFormat="false" ht="14.25" hidden="true" customHeight="true" outlineLevel="1" collapsed="false">
      <c r="A25" s="165" t="n">
        <v>24</v>
      </c>
      <c r="B25" s="167" t="s">
        <v>148</v>
      </c>
      <c r="C25" s="145" t="s">
        <v>64</v>
      </c>
      <c r="D25" s="167" t="s">
        <v>65</v>
      </c>
      <c r="E25" s="145" t="s">
        <v>66</v>
      </c>
      <c r="F25" s="145" t="n">
        <v>0</v>
      </c>
      <c r="G25" s="145" t="n">
        <v>0</v>
      </c>
      <c r="H25" s="145" t="n">
        <v>0</v>
      </c>
      <c r="I25" s="162" t="n">
        <f aca="false">IFERROR(H25/$H$19,"")</f>
        <v>0</v>
      </c>
      <c r="J25" s="162" t="str">
        <f aca="false">IFERROR(H25/G25-1,"")</f>
        <v/>
      </c>
      <c r="K25" s="145" t="n">
        <f aca="false">H25-G25</f>
        <v>0</v>
      </c>
      <c r="M25" s="145" t="n">
        <f aca="false">VLOOKUP(C25,'תקציב  '!$B:$S,12,0)*1</f>
        <v>5000</v>
      </c>
      <c r="N25" s="162" t="n">
        <f aca="false">IFERROR(H25/M25-1,"")</f>
        <v>-1</v>
      </c>
      <c r="O25" s="162" t="n">
        <f aca="false">IFERROR(H25/M25,"-")</f>
        <v>0</v>
      </c>
      <c r="P25" s="145" t="n">
        <f aca="false">H25-M25</f>
        <v>-5000</v>
      </c>
      <c r="R25" s="147" t="n">
        <v>0</v>
      </c>
      <c r="S25" s="162" t="str">
        <f aca="false">IFERROR(H25/R25-1,"-")</f>
        <v>-</v>
      </c>
      <c r="T25" s="162" t="str">
        <f aca="false">IFERROR(H25/R25,"-")</f>
        <v>-</v>
      </c>
      <c r="U25" s="147" t="n">
        <f aca="false">H25-R25</f>
        <v>0</v>
      </c>
      <c r="W25" s="145" t="n">
        <v>0</v>
      </c>
      <c r="X25" s="5" t="n">
        <f aca="false">H25-W25</f>
        <v>0</v>
      </c>
      <c r="Y25" s="163" t="str">
        <f aca="false">IFERROR((H25/W25)-1,"-")</f>
        <v>-</v>
      </c>
    </row>
    <row r="26" customFormat="false" ht="13.5" hidden="true" customHeight="true" outlineLevel="1" collapsed="false">
      <c r="A26" s="165" t="n">
        <v>25</v>
      </c>
      <c r="B26" s="167" t="s">
        <v>149</v>
      </c>
      <c r="C26" s="145" t="s">
        <v>67</v>
      </c>
      <c r="D26" s="167" t="s">
        <v>68</v>
      </c>
      <c r="E26" s="145" t="s">
        <v>69</v>
      </c>
      <c r="F26" s="145" t="n">
        <v>0</v>
      </c>
      <c r="G26" s="145" t="n">
        <v>0</v>
      </c>
      <c r="H26" s="145" t="n">
        <v>0</v>
      </c>
      <c r="I26" s="162" t="n">
        <f aca="false">IFERROR(H26/$H$19,"")</f>
        <v>0</v>
      </c>
      <c r="J26" s="162" t="str">
        <f aca="false">IFERROR(H26/G26-1,"")</f>
        <v/>
      </c>
      <c r="K26" s="145" t="n">
        <f aca="false">H26-G26</f>
        <v>0</v>
      </c>
      <c r="M26" s="145" t="n">
        <f aca="false">VLOOKUP(C26,'תקציב  '!$B:$S,12,0)*1</f>
        <v>0</v>
      </c>
      <c r="N26" s="162" t="str">
        <f aca="false">IFERROR(H26/M26-1,"")</f>
        <v/>
      </c>
      <c r="O26" s="162" t="str">
        <f aca="false">IFERROR(H26/M26,"-")</f>
        <v>-</v>
      </c>
      <c r="P26" s="145" t="n">
        <f aca="false">H26-M26</f>
        <v>0</v>
      </c>
      <c r="R26" s="147" t="n">
        <v>70000</v>
      </c>
      <c r="S26" s="162" t="n">
        <f aca="false">IFERROR(H26/R26-1,"-")</f>
        <v>-1</v>
      </c>
      <c r="T26" s="162" t="n">
        <f aca="false">IFERROR(H26/R26,"-")</f>
        <v>0</v>
      </c>
      <c r="U26" s="147" t="n">
        <f aca="false">H26-R26</f>
        <v>-70000</v>
      </c>
      <c r="W26" s="145" t="n">
        <v>0</v>
      </c>
      <c r="X26" s="5" t="n">
        <f aca="false">H26-W26</f>
        <v>0</v>
      </c>
      <c r="Y26" s="163" t="str">
        <f aca="false">IFERROR((H26/W26)-1,"-")</f>
        <v>-</v>
      </c>
    </row>
    <row r="27" customFormat="false" ht="14.25" hidden="true" customHeight="true" outlineLevel="1" collapsed="false">
      <c r="A27" s="165" t="n">
        <v>26</v>
      </c>
      <c r="B27" s="167" t="s">
        <v>150</v>
      </c>
      <c r="C27" s="145" t="s">
        <v>70</v>
      </c>
      <c r="D27" s="167" t="s">
        <v>71</v>
      </c>
      <c r="E27" s="145" t="s">
        <v>72</v>
      </c>
      <c r="F27" s="145" t="n">
        <v>0</v>
      </c>
      <c r="G27" s="145" t="n">
        <v>0</v>
      </c>
      <c r="H27" s="145" t="n">
        <v>0</v>
      </c>
      <c r="I27" s="162" t="n">
        <f aca="false">IFERROR(H27/$H$19,"")</f>
        <v>0</v>
      </c>
      <c r="J27" s="162" t="str">
        <f aca="false">IFERROR(H27/G27-1,"")</f>
        <v/>
      </c>
      <c r="K27" s="145" t="n">
        <f aca="false">H27-G27</f>
        <v>0</v>
      </c>
      <c r="M27" s="145" t="n">
        <f aca="false">VLOOKUP(C27,'תקציב  '!$B:$S,12,0)*1</f>
        <v>0</v>
      </c>
      <c r="N27" s="162" t="str">
        <f aca="false">IFERROR(H27/M27-1,"")</f>
        <v/>
      </c>
      <c r="O27" s="162" t="str">
        <f aca="false">IFERROR(H27/M27,"-")</f>
        <v>-</v>
      </c>
      <c r="P27" s="145" t="n">
        <f aca="false">H27-M27</f>
        <v>0</v>
      </c>
      <c r="R27" s="147" t="n">
        <v>20000</v>
      </c>
      <c r="S27" s="162" t="n">
        <f aca="false">IFERROR(H27/R27-1,"-")</f>
        <v>-1</v>
      </c>
      <c r="T27" s="162" t="n">
        <f aca="false">IFERROR(H27/R27,"-")</f>
        <v>0</v>
      </c>
      <c r="U27" s="147" t="n">
        <f aca="false">H27-R27</f>
        <v>-20000</v>
      </c>
      <c r="W27" s="145" t="n">
        <v>0</v>
      </c>
      <c r="X27" s="5" t="n">
        <f aca="false">H27-W27</f>
        <v>0</v>
      </c>
      <c r="Y27" s="163" t="str">
        <f aca="false">IFERROR((H27/W27)-1,"-")</f>
        <v>-</v>
      </c>
    </row>
    <row r="28" customFormat="false" ht="13.5" hidden="true" customHeight="true" outlineLevel="1" collapsed="false">
      <c r="A28" s="165" t="n">
        <v>27</v>
      </c>
      <c r="B28" s="167" t="s">
        <v>151</v>
      </c>
      <c r="C28" s="145" t="s">
        <v>73</v>
      </c>
      <c r="D28" s="167" t="s">
        <v>74</v>
      </c>
      <c r="E28" s="145" t="s">
        <v>75</v>
      </c>
      <c r="F28" s="145" t="n">
        <v>0</v>
      </c>
      <c r="G28" s="145" t="n">
        <v>0</v>
      </c>
      <c r="H28" s="145" t="n">
        <v>0</v>
      </c>
      <c r="I28" s="162" t="n">
        <f aca="false">IFERROR(H28/$H$19,"")</f>
        <v>0</v>
      </c>
      <c r="J28" s="162" t="str">
        <f aca="false">IFERROR(H28/G28-1,"")</f>
        <v/>
      </c>
      <c r="K28" s="145" t="n">
        <f aca="false">H28-G28</f>
        <v>0</v>
      </c>
      <c r="M28" s="145" t="n">
        <f aca="false">VLOOKUP(C28,'תקציב  '!$B:$S,12,0)*1</f>
        <v>0</v>
      </c>
      <c r="N28" s="162" t="str">
        <f aca="false">IFERROR(H28/M28-1,"")</f>
        <v/>
      </c>
      <c r="O28" s="162" t="str">
        <f aca="false">IFERROR(H28/M28,"-")</f>
        <v>-</v>
      </c>
      <c r="P28" s="145" t="n">
        <f aca="false">H28-M28</f>
        <v>0</v>
      </c>
      <c r="R28" s="147" t="n">
        <v>150000</v>
      </c>
      <c r="S28" s="162" t="n">
        <f aca="false">IFERROR(H28/R28-1,"-")</f>
        <v>-1</v>
      </c>
      <c r="T28" s="162" t="n">
        <f aca="false">IFERROR(H28/R28,"-")</f>
        <v>0</v>
      </c>
      <c r="U28" s="147" t="n">
        <f aca="false">H28-R28</f>
        <v>-150000</v>
      </c>
      <c r="W28" s="145" t="n">
        <v>0</v>
      </c>
      <c r="X28" s="5" t="n">
        <f aca="false">H28-W28</f>
        <v>0</v>
      </c>
      <c r="Y28" s="163" t="str">
        <f aca="false">IFERROR((H28/W28)-1,"-")</f>
        <v>-</v>
      </c>
    </row>
    <row r="29" customFormat="false" ht="13.5" hidden="true" customHeight="true" outlineLevel="1" collapsed="false">
      <c r="A29" s="165" t="n">
        <v>28</v>
      </c>
      <c r="B29" s="167" t="s">
        <v>152</v>
      </c>
      <c r="C29" s="145" t="s">
        <v>76</v>
      </c>
      <c r="D29" s="167" t="s">
        <v>77</v>
      </c>
      <c r="E29" s="145" t="s">
        <v>78</v>
      </c>
      <c r="F29" s="145" t="n">
        <v>64828.58</v>
      </c>
      <c r="G29" s="145" t="n">
        <v>27485.96</v>
      </c>
      <c r="H29" s="145" t="n">
        <v>25430.19</v>
      </c>
      <c r="I29" s="162" t="n">
        <f aca="false">IFERROR(H29/$H$19,"")</f>
        <v>0.0145452393068475</v>
      </c>
      <c r="J29" s="162" t="n">
        <f aca="false">IFERROR(H29/G29-1,"")</f>
        <v>-0.07479345818738</v>
      </c>
      <c r="K29" s="145" t="n">
        <f aca="false">H29-G29</f>
        <v>-2055.77</v>
      </c>
      <c r="M29" s="145" t="n">
        <f aca="false">VLOOKUP(C29,'תקציב  '!$B:$S,12,0)*1</f>
        <v>39765.076</v>
      </c>
      <c r="N29" s="162" t="n">
        <f aca="false">IFERROR(H29/M29-1,"")</f>
        <v>-0.360489339942416</v>
      </c>
      <c r="O29" s="162" t="n">
        <f aca="false">IFERROR(H29/M29,"-")</f>
        <v>0.639510660057584</v>
      </c>
      <c r="P29" s="145" t="n">
        <f aca="false">H29-M29</f>
        <v>-14334.886</v>
      </c>
      <c r="R29" s="147" t="n">
        <v>40000</v>
      </c>
      <c r="S29" s="162" t="n">
        <f aca="false">IFERROR(H29/R29-1,"-")</f>
        <v>-0.36424525</v>
      </c>
      <c r="T29" s="162" t="n">
        <f aca="false">IFERROR(H29/R29,"-")</f>
        <v>0.63575475</v>
      </c>
      <c r="U29" s="147" t="n">
        <f aca="false">H29-R29</f>
        <v>-14569.81</v>
      </c>
      <c r="W29" s="145" t="n">
        <v>25430.19</v>
      </c>
      <c r="X29" s="5" t="n">
        <f aca="false">H29-W29</f>
        <v>0</v>
      </c>
      <c r="Y29" s="163" t="n">
        <f aca="false">IFERROR((H29/W29)-1,"-")</f>
        <v>0</v>
      </c>
    </row>
    <row r="30" customFormat="false" ht="14.25" hidden="true" customHeight="true" outlineLevel="1" collapsed="false">
      <c r="A30" s="165" t="n">
        <v>29</v>
      </c>
      <c r="B30" s="167" t="s">
        <v>153</v>
      </c>
      <c r="C30" s="145" t="s">
        <v>79</v>
      </c>
      <c r="D30" s="167" t="s">
        <v>80</v>
      </c>
      <c r="E30" s="145" t="s">
        <v>81</v>
      </c>
      <c r="F30" s="145" t="n">
        <v>54153.1</v>
      </c>
      <c r="G30" s="145" t="n">
        <v>0</v>
      </c>
      <c r="H30" s="145" t="n">
        <v>0</v>
      </c>
      <c r="I30" s="162" t="n">
        <f aca="false">IFERROR(H30/$H$19,"")</f>
        <v>0</v>
      </c>
      <c r="J30" s="162" t="str">
        <f aca="false">IFERROR(H30/G30-1,"")</f>
        <v/>
      </c>
      <c r="K30" s="145" t="n">
        <f aca="false">H30-G30</f>
        <v>0</v>
      </c>
      <c r="M30" s="145" t="n">
        <f aca="false">VLOOKUP(C30,'תקציב  '!$B:$S,12,0)*1</f>
        <v>0</v>
      </c>
      <c r="N30" s="162" t="str">
        <f aca="false">IFERROR(H30/M30-1,"")</f>
        <v/>
      </c>
      <c r="O30" s="162" t="str">
        <f aca="false">IFERROR(H30/M30,"-")</f>
        <v>-</v>
      </c>
      <c r="P30" s="145" t="n">
        <f aca="false">H30-M30</f>
        <v>0</v>
      </c>
      <c r="R30" s="147" t="n">
        <v>0</v>
      </c>
      <c r="S30" s="162" t="str">
        <f aca="false">IFERROR(H30/R30-1,"-")</f>
        <v>-</v>
      </c>
      <c r="T30" s="162" t="str">
        <f aca="false">IFERROR(H30/R30,"-")</f>
        <v>-</v>
      </c>
      <c r="U30" s="147" t="n">
        <f aca="false">H30-R30</f>
        <v>0</v>
      </c>
      <c r="W30" s="145" t="n">
        <v>0</v>
      </c>
      <c r="X30" s="5" t="n">
        <f aca="false">H30-W30</f>
        <v>0</v>
      </c>
      <c r="Y30" s="163" t="str">
        <f aca="false">IFERROR((H30/W30)-1,"-")</f>
        <v>-</v>
      </c>
    </row>
    <row r="31" customFormat="false" ht="14.25" hidden="true" customHeight="true" outlineLevel="1" collapsed="false">
      <c r="A31" s="165" t="n">
        <v>30</v>
      </c>
      <c r="B31" s="167" t="s">
        <v>154</v>
      </c>
      <c r="C31" s="145" t="s">
        <v>82</v>
      </c>
      <c r="D31" s="167" t="s">
        <v>83</v>
      </c>
      <c r="E31" s="145" t="s">
        <v>81</v>
      </c>
      <c r="F31" s="145" t="n">
        <v>20673.57</v>
      </c>
      <c r="G31" s="145" t="n">
        <v>0</v>
      </c>
      <c r="H31" s="145" t="n">
        <v>21590.63</v>
      </c>
      <c r="I31" s="162" t="n">
        <f aca="false">IFERROR(H31/$H$19,"")</f>
        <v>0.0123491362091908</v>
      </c>
      <c r="J31" s="162" t="str">
        <f aca="false">IFERROR(H31/G31-1,"")</f>
        <v/>
      </c>
      <c r="K31" s="145" t="n">
        <f aca="false">H31-G31</f>
        <v>21590.63</v>
      </c>
      <c r="M31" s="145" t="n">
        <f aca="false">VLOOKUP(C31,'תקציב  '!$B:$S,12,0)*1</f>
        <v>0</v>
      </c>
      <c r="N31" s="162" t="str">
        <f aca="false">IFERROR(H31/M31-1,"")</f>
        <v/>
      </c>
      <c r="O31" s="162" t="str">
        <f aca="false">IFERROR(H31/M31,"-")</f>
        <v>-</v>
      </c>
      <c r="P31" s="145" t="n">
        <f aca="false">H31-M31</f>
        <v>21590.63</v>
      </c>
      <c r="R31" s="147" t="n">
        <v>25000</v>
      </c>
      <c r="S31" s="162" t="n">
        <f aca="false">IFERROR(H31/R31-1,"-")</f>
        <v>-0.1363748</v>
      </c>
      <c r="T31" s="162" t="n">
        <f aca="false">IFERROR(H31/R31,"-")</f>
        <v>0.8636252</v>
      </c>
      <c r="U31" s="147" t="n">
        <f aca="false">H31-R31</f>
        <v>-3409.37</v>
      </c>
      <c r="W31" s="145" t="n">
        <v>21590.63</v>
      </c>
      <c r="X31" s="5" t="n">
        <f aca="false">H31-W31</f>
        <v>0</v>
      </c>
      <c r="Y31" s="163" t="n">
        <f aca="false">IFERROR((H31/W31)-1,"-")</f>
        <v>0</v>
      </c>
    </row>
    <row r="32" customFormat="false" ht="13.5" hidden="true" customHeight="true" outlineLevel="1" collapsed="false">
      <c r="A32" s="165" t="n">
        <v>31</v>
      </c>
      <c r="B32" s="167" t="s">
        <v>84</v>
      </c>
      <c r="C32" s="145" t="s">
        <v>84</v>
      </c>
      <c r="D32" s="167" t="s">
        <v>85</v>
      </c>
      <c r="E32" s="145" t="s">
        <v>86</v>
      </c>
      <c r="F32" s="145" t="n">
        <v>31722.98</v>
      </c>
      <c r="G32" s="145" t="n">
        <v>50202.49</v>
      </c>
      <c r="H32" s="145" t="n">
        <v>0</v>
      </c>
      <c r="I32" s="162" t="n">
        <f aca="false">IFERROR(H32/$H$19,"")</f>
        <v>0</v>
      </c>
      <c r="J32" s="162" t="n">
        <f aca="false">IFERROR(H32/G32-1,"")</f>
        <v>-1</v>
      </c>
      <c r="K32" s="145" t="n">
        <f aca="false">H32-G32</f>
        <v>-50202.49</v>
      </c>
      <c r="M32" s="145" t="n">
        <f aca="false">VLOOKUP(C32,'תקציב  '!$B:$S,12,0)*1</f>
        <v>49000</v>
      </c>
      <c r="N32" s="162" t="n">
        <f aca="false">IFERROR(H32/M32-1,"")</f>
        <v>-1</v>
      </c>
      <c r="O32" s="162" t="n">
        <f aca="false">IFERROR(H32/M32,"-")</f>
        <v>0</v>
      </c>
      <c r="P32" s="145" t="n">
        <f aca="false">H32-M32</f>
        <v>-49000</v>
      </c>
      <c r="R32" s="147" t="n">
        <v>17500</v>
      </c>
      <c r="S32" s="162" t="n">
        <f aca="false">IFERROR(H32/R32-1,"-")</f>
        <v>-1</v>
      </c>
      <c r="T32" s="162" t="n">
        <f aca="false">IFERROR(H32/R32,"-")</f>
        <v>0</v>
      </c>
      <c r="U32" s="147" t="n">
        <f aca="false">H32-R32</f>
        <v>-17500</v>
      </c>
      <c r="W32" s="145" t="n">
        <v>0</v>
      </c>
      <c r="X32" s="5" t="n">
        <f aca="false">H32-W32</f>
        <v>0</v>
      </c>
      <c r="Y32" s="163" t="str">
        <f aca="false">IFERROR((H32/W32)-1,"-")</f>
        <v>-</v>
      </c>
    </row>
    <row r="33" customFormat="false" ht="13.5" hidden="true" customHeight="true" outlineLevel="1" collapsed="false">
      <c r="A33" s="165"/>
      <c r="B33" s="167"/>
      <c r="C33" s="145"/>
      <c r="D33" s="167" t="s">
        <v>155</v>
      </c>
      <c r="E33" s="145" t="s">
        <v>156</v>
      </c>
      <c r="F33" s="145"/>
      <c r="G33" s="145"/>
      <c r="H33" s="145" t="n">
        <v>0</v>
      </c>
      <c r="I33" s="162" t="n">
        <f aca="false">IFERROR(H33/$H$19,"")</f>
        <v>0</v>
      </c>
      <c r="J33" s="162" t="str">
        <f aca="false">IFERROR(H33/G33-1,"")</f>
        <v/>
      </c>
      <c r="K33" s="145" t="n">
        <f aca="false">H33-G33</f>
        <v>0</v>
      </c>
      <c r="M33" s="145"/>
      <c r="N33" s="162" t="str">
        <f aca="false">IFERROR(H33/M33-1,"")</f>
        <v/>
      </c>
      <c r="O33" s="162" t="str">
        <f aca="false">IFERROR(H33/M33,"-")</f>
        <v>-</v>
      </c>
      <c r="P33" s="145" t="n">
        <f aca="false">H33-M33</f>
        <v>0</v>
      </c>
      <c r="R33" s="147" t="n">
        <v>0</v>
      </c>
      <c r="S33" s="162" t="str">
        <f aca="false">IFERROR(H33/R33-1,"-")</f>
        <v>-</v>
      </c>
      <c r="T33" s="162" t="str">
        <f aca="false">IFERROR(H33/R33,"-")</f>
        <v>-</v>
      </c>
      <c r="U33" s="147" t="n">
        <f aca="false">H33-R33</f>
        <v>0</v>
      </c>
      <c r="W33" s="145" t="n">
        <v>0</v>
      </c>
      <c r="X33" s="5" t="n">
        <f aca="false">H33-W33</f>
        <v>0</v>
      </c>
      <c r="Y33" s="163" t="str">
        <f aca="false">IFERROR((H33/W33)-1,"-")</f>
        <v>-</v>
      </c>
    </row>
    <row r="34" customFormat="false" ht="13.5" hidden="true" customHeight="true" outlineLevel="1" collapsed="false">
      <c r="A34" s="165" t="n">
        <v>32</v>
      </c>
      <c r="B34" s="167" t="s">
        <v>157</v>
      </c>
      <c r="C34" s="145" t="s">
        <v>87</v>
      </c>
      <c r="D34" s="167" t="s">
        <v>88</v>
      </c>
      <c r="E34" s="145" t="s">
        <v>89</v>
      </c>
      <c r="F34" s="145" t="n">
        <v>1987.54</v>
      </c>
      <c r="G34" s="145" t="n">
        <v>0</v>
      </c>
      <c r="H34" s="145" t="n">
        <v>0</v>
      </c>
      <c r="I34" s="162" t="n">
        <f aca="false">IFERROR(H34/$H$19,"")</f>
        <v>0</v>
      </c>
      <c r="J34" s="162" t="str">
        <f aca="false">IFERROR(H34/G34-1,"")</f>
        <v/>
      </c>
      <c r="K34" s="145" t="n">
        <f aca="false">H34-G34</f>
        <v>0</v>
      </c>
      <c r="M34" s="145" t="n">
        <f aca="false">VLOOKUP(C34,'תקציב  '!$B:$S,12,0)*1</f>
        <v>0</v>
      </c>
      <c r="N34" s="162" t="str">
        <f aca="false">IFERROR(H34/M34-1,"")</f>
        <v/>
      </c>
      <c r="O34" s="162" t="str">
        <f aca="false">IFERROR(H34/M34,"-")</f>
        <v>-</v>
      </c>
      <c r="P34" s="145" t="n">
        <f aca="false">H34-M34</f>
        <v>0</v>
      </c>
      <c r="R34" s="147" t="n">
        <v>0</v>
      </c>
      <c r="S34" s="162" t="str">
        <f aca="false">IFERROR(H34/R34-1,"-")</f>
        <v>-</v>
      </c>
      <c r="T34" s="162" t="str">
        <f aca="false">IFERROR(H34/R34,"-")</f>
        <v>-</v>
      </c>
      <c r="U34" s="147" t="n">
        <f aca="false">H34-R34</f>
        <v>0</v>
      </c>
      <c r="W34" s="145" t="n">
        <v>0</v>
      </c>
      <c r="X34" s="5" t="n">
        <f aca="false">H34-W34</f>
        <v>0</v>
      </c>
      <c r="Y34" s="163" t="str">
        <f aca="false">IFERROR((H34/W34)-1,"-")</f>
        <v>-</v>
      </c>
    </row>
    <row r="35" customFormat="false" ht="13.5" hidden="true" customHeight="true" outlineLevel="1" collapsed="false">
      <c r="A35" s="165" t="n">
        <v>33</v>
      </c>
      <c r="B35" s="167" t="s">
        <v>158</v>
      </c>
      <c r="C35" s="145" t="s">
        <v>90</v>
      </c>
      <c r="D35" s="167" t="s">
        <v>91</v>
      </c>
      <c r="E35" s="145" t="s">
        <v>92</v>
      </c>
      <c r="F35" s="145" t="n">
        <v>0</v>
      </c>
      <c r="G35" s="145" t="n">
        <v>0</v>
      </c>
      <c r="H35" s="145" t="n">
        <v>0</v>
      </c>
      <c r="I35" s="162" t="n">
        <f aca="false">IFERROR(H35/$H$19,"")</f>
        <v>0</v>
      </c>
      <c r="J35" s="162" t="str">
        <f aca="false">IFERROR(H35/G35-1,"")</f>
        <v/>
      </c>
      <c r="K35" s="145" t="n">
        <f aca="false">H35-G35</f>
        <v>0</v>
      </c>
      <c r="M35" s="145" t="n">
        <f aca="false">VLOOKUP(C35,'תקציב  '!$B:$S,12,0)*1</f>
        <v>0</v>
      </c>
      <c r="N35" s="162" t="str">
        <f aca="false">IFERROR(H35/M35-1,"")</f>
        <v/>
      </c>
      <c r="O35" s="162" t="str">
        <f aca="false">IFERROR(H35/M35,"-")</f>
        <v>-</v>
      </c>
      <c r="P35" s="145" t="n">
        <f aca="false">H35-M35</f>
        <v>0</v>
      </c>
      <c r="R35" s="147" t="n">
        <v>0</v>
      </c>
      <c r="S35" s="162" t="str">
        <f aca="false">IFERROR(H35/R35-1,"-")</f>
        <v>-</v>
      </c>
      <c r="T35" s="162" t="str">
        <f aca="false">IFERROR(H35/R35,"-")</f>
        <v>-</v>
      </c>
      <c r="U35" s="147" t="n">
        <f aca="false">H35-R35</f>
        <v>0</v>
      </c>
      <c r="W35" s="145" t="n">
        <v>0</v>
      </c>
      <c r="X35" s="5" t="n">
        <f aca="false">H35-W35</f>
        <v>0</v>
      </c>
      <c r="Y35" s="163" t="str">
        <f aca="false">IFERROR((H35/W35)-1,"-")</f>
        <v>-</v>
      </c>
    </row>
    <row r="36" customFormat="false" ht="14.25" hidden="true" customHeight="true" outlineLevel="1" collapsed="false">
      <c r="A36" s="165"/>
      <c r="B36" s="167" t="s">
        <v>159</v>
      </c>
      <c r="C36" s="145" t="s">
        <v>159</v>
      </c>
      <c r="D36" s="167" t="s">
        <v>160</v>
      </c>
      <c r="E36" s="145" t="s">
        <v>78</v>
      </c>
      <c r="F36" s="145" t="n">
        <v>0</v>
      </c>
      <c r="G36" s="145" t="n">
        <v>0</v>
      </c>
      <c r="H36" s="145" t="n">
        <v>0</v>
      </c>
      <c r="I36" s="162" t="n">
        <f aca="false">IFERROR(H36/$H$19,"")</f>
        <v>0</v>
      </c>
      <c r="J36" s="162" t="str">
        <f aca="false">IFERROR(H36/G36-1,"")</f>
        <v/>
      </c>
      <c r="K36" s="145" t="n">
        <f aca="false">H36-G36</f>
        <v>0</v>
      </c>
      <c r="M36" s="145"/>
      <c r="N36" s="162" t="str">
        <f aca="false">IFERROR(H36/M36-1,"")</f>
        <v/>
      </c>
      <c r="O36" s="162" t="str">
        <f aca="false">IFERROR(H36/M36,"-")</f>
        <v>-</v>
      </c>
      <c r="P36" s="145" t="n">
        <f aca="false">H36-M36</f>
        <v>0</v>
      </c>
      <c r="R36" s="147" t="n">
        <v>0</v>
      </c>
      <c r="S36" s="162" t="str">
        <f aca="false">IFERROR(H36/R36-1,"-")</f>
        <v>-</v>
      </c>
      <c r="T36" s="162" t="str">
        <f aca="false">IFERROR(H36/R36,"-")</f>
        <v>-</v>
      </c>
      <c r="U36" s="147" t="n">
        <f aca="false">H36-R36</f>
        <v>0</v>
      </c>
      <c r="W36" s="145" t="n">
        <v>0</v>
      </c>
      <c r="X36" s="5" t="n">
        <f aca="false">H36-W36</f>
        <v>0</v>
      </c>
      <c r="Y36" s="163" t="str">
        <f aca="false">IFERROR((H36/W36)-1,"-")</f>
        <v>-</v>
      </c>
    </row>
    <row r="37" customFormat="false" ht="14.25" hidden="true" customHeight="true" outlineLevel="1" collapsed="false">
      <c r="A37" s="165" t="n">
        <v>34</v>
      </c>
      <c r="B37" s="167" t="s">
        <v>161</v>
      </c>
      <c r="C37" s="145" t="s">
        <v>161</v>
      </c>
      <c r="D37" s="167" t="s">
        <v>93</v>
      </c>
      <c r="E37" s="145" t="s">
        <v>162</v>
      </c>
      <c r="F37" s="145" t="n">
        <v>0</v>
      </c>
      <c r="G37" s="145" t="n">
        <v>0</v>
      </c>
      <c r="H37" s="145" t="n">
        <v>0</v>
      </c>
      <c r="I37" s="162" t="n">
        <f aca="false">IFERROR(H37/$H$19,"")</f>
        <v>0</v>
      </c>
      <c r="J37" s="162" t="str">
        <f aca="false">IFERROR(H37/G37-1,"")</f>
        <v/>
      </c>
      <c r="K37" s="145" t="n">
        <f aca="false">H37-G37</f>
        <v>0</v>
      </c>
      <c r="M37" s="145"/>
      <c r="N37" s="162" t="str">
        <f aca="false">IFERROR(H37/M37-1,"")</f>
        <v/>
      </c>
      <c r="O37" s="162" t="str">
        <f aca="false">IFERROR(H37/M37,"-")</f>
        <v>-</v>
      </c>
      <c r="P37" s="145" t="n">
        <f aca="false">H37-M37</f>
        <v>0</v>
      </c>
      <c r="R37" s="147" t="n">
        <v>0</v>
      </c>
      <c r="S37" s="162" t="str">
        <f aca="false">IFERROR(H37/R37-1,"-")</f>
        <v>-</v>
      </c>
      <c r="T37" s="162" t="str">
        <f aca="false">IFERROR(H37/R37,"-")</f>
        <v>-</v>
      </c>
      <c r="U37" s="147" t="n">
        <f aca="false">H37-R37</f>
        <v>0</v>
      </c>
      <c r="W37" s="145" t="n">
        <v>0</v>
      </c>
      <c r="X37" s="5" t="n">
        <f aca="false">H37-W37</f>
        <v>0</v>
      </c>
      <c r="Y37" s="163" t="str">
        <f aca="false">IFERROR((H37/W37)-1,"-")</f>
        <v>-</v>
      </c>
    </row>
    <row r="38" customFormat="false" ht="13.5" hidden="true" customHeight="true" outlineLevel="1" collapsed="false">
      <c r="A38" s="165" t="n">
        <v>35</v>
      </c>
      <c r="B38" s="167" t="s">
        <v>94</v>
      </c>
      <c r="C38" s="145" t="s">
        <v>94</v>
      </c>
      <c r="D38" s="167" t="s">
        <v>95</v>
      </c>
      <c r="E38" s="145" t="s">
        <v>51</v>
      </c>
      <c r="F38" s="145" t="n">
        <v>-1.37</v>
      </c>
      <c r="G38" s="145" t="n">
        <v>0</v>
      </c>
      <c r="H38" s="145" t="n">
        <v>0</v>
      </c>
      <c r="I38" s="162" t="n">
        <f aca="false">IFERROR(H38/$H$19,"")</f>
        <v>0</v>
      </c>
      <c r="J38" s="162" t="str">
        <f aca="false">IFERROR(H38/G38-1,"")</f>
        <v/>
      </c>
      <c r="K38" s="145" t="n">
        <f aca="false">H38-G38</f>
        <v>0</v>
      </c>
      <c r="M38" s="145" t="n">
        <f aca="false">VLOOKUP(C38,'תקציב  '!$B:$S,12,0)*1</f>
        <v>0</v>
      </c>
      <c r="N38" s="162" t="str">
        <f aca="false">IFERROR(H38/M38-1,"")</f>
        <v/>
      </c>
      <c r="O38" s="162" t="str">
        <f aca="false">IFERROR(H38/M38,"-")</f>
        <v>-</v>
      </c>
      <c r="P38" s="145" t="n">
        <f aca="false">H38-M38</f>
        <v>0</v>
      </c>
      <c r="R38" s="147" t="n">
        <v>0</v>
      </c>
      <c r="S38" s="162" t="str">
        <f aca="false">IFERROR(H38/R38-1,"-")</f>
        <v>-</v>
      </c>
      <c r="T38" s="162" t="str">
        <f aca="false">IFERROR(H38/R38,"-")</f>
        <v>-</v>
      </c>
      <c r="U38" s="147" t="n">
        <f aca="false">H38-R38</f>
        <v>0</v>
      </c>
      <c r="W38" s="145" t="n">
        <v>0</v>
      </c>
      <c r="X38" s="5" t="n">
        <f aca="false">H38-W38</f>
        <v>0</v>
      </c>
      <c r="Y38" s="163" t="str">
        <f aca="false">IFERROR((H38/W38)-1,"-")</f>
        <v>-</v>
      </c>
    </row>
    <row r="39" customFormat="false" ht="13.5" hidden="true" customHeight="true" outlineLevel="1" collapsed="false">
      <c r="A39" s="196" t="n">
        <v>36</v>
      </c>
      <c r="B39" s="197"/>
      <c r="C39" s="198" t="s">
        <v>97</v>
      </c>
      <c r="D39" s="197" t="s">
        <v>97</v>
      </c>
      <c r="E39" s="198"/>
      <c r="F39" s="145"/>
      <c r="G39" s="145"/>
      <c r="H39" s="145" t="n">
        <v>0</v>
      </c>
      <c r="I39" s="199" t="n">
        <f aca="false">IFERROR(H39/$H$19,"")</f>
        <v>0</v>
      </c>
      <c r="J39" s="162" t="str">
        <f aca="false">IFERROR(H39/G39-1,"")</f>
        <v/>
      </c>
      <c r="K39" s="145" t="n">
        <f aca="false">H39-G39</f>
        <v>0</v>
      </c>
      <c r="M39" s="145" t="n">
        <f aca="false">VLOOKUP(C39,'תקציב  '!$B:$S,12,0)*1</f>
        <v>0</v>
      </c>
      <c r="N39" s="162" t="str">
        <f aca="false">IFERROR(H39/M39-1,"")</f>
        <v/>
      </c>
      <c r="O39" s="199" t="str">
        <f aca="false">IFERROR(H39/M39,"-")</f>
        <v>-</v>
      </c>
      <c r="P39" s="145" t="n">
        <f aca="false">H39-M39</f>
        <v>0</v>
      </c>
      <c r="R39" s="147" t="n">
        <v>0</v>
      </c>
      <c r="S39" s="162" t="str">
        <f aca="false">IFERROR(H39/R39-1,"-")</f>
        <v>-</v>
      </c>
      <c r="T39" s="162" t="str">
        <f aca="false">IFERROR(H39/R39,"-")</f>
        <v>-</v>
      </c>
      <c r="U39" s="147" t="n">
        <f aca="false">H39-R39</f>
        <v>0</v>
      </c>
      <c r="W39" s="145" t="n">
        <v>0</v>
      </c>
      <c r="X39" s="5" t="n">
        <f aca="false">H39-W39</f>
        <v>0</v>
      </c>
      <c r="Y39" s="163" t="str">
        <f aca="false">IFERROR((H39/W39)-1,"-")</f>
        <v>-</v>
      </c>
    </row>
    <row r="40" customFormat="false" ht="15" hidden="false" customHeight="true" outlineLevel="0" collapsed="false">
      <c r="A40" s="165"/>
      <c r="B40" s="182"/>
      <c r="C40" s="183" t="s">
        <v>98</v>
      </c>
      <c r="D40" s="182" t="s">
        <v>98</v>
      </c>
      <c r="E40" s="183"/>
      <c r="F40" s="183" t="n">
        <f aca="false">SUM(F20:F39)+F51+F52</f>
        <v>615520.95</v>
      </c>
      <c r="G40" s="183" t="n">
        <f aca="false">SUM(G20:G39)+G51+G52</f>
        <v>335403.82</v>
      </c>
      <c r="H40" s="183" t="n">
        <f aca="false">SUM(H20:H39)+H51+H52</f>
        <v>312123.16</v>
      </c>
      <c r="I40" s="184" t="n">
        <f aca="false">IFERROR(H40/$H$19,"")</f>
        <v>0.178524268021963</v>
      </c>
      <c r="J40" s="184" t="n">
        <f aca="false">H40/G40-1</f>
        <v>-0.0694108373601708</v>
      </c>
      <c r="K40" s="183" t="n">
        <f aca="false">SUM(K20:K39)+K51+K52</f>
        <v>-23280.66</v>
      </c>
      <c r="M40" s="183" t="n">
        <f aca="false">SUM(M20:M39)+M51+M52</f>
        <v>688160.54455</v>
      </c>
      <c r="N40" s="184" t="n">
        <f aca="false">H40/M40-1</f>
        <v>-0.546438454700854</v>
      </c>
      <c r="O40" s="184" t="n">
        <f aca="false">IFERROR(H40/M40,"-")</f>
        <v>0.453561545299146</v>
      </c>
      <c r="P40" s="183" t="n">
        <f aca="false">SUM(P20:P39)+P51+P52</f>
        <v>-376037.38455</v>
      </c>
      <c r="R40" s="183" t="n">
        <f aca="false">SUM(R20:R39)+R51+R52</f>
        <v>779615.8</v>
      </c>
      <c r="S40" s="184" t="n">
        <f aca="false">IFERROR(H40/R40-1,"-")</f>
        <v>-0.599644902014556</v>
      </c>
      <c r="T40" s="184" t="n">
        <f aca="false">IFERROR(H40/R40,"-")</f>
        <v>0.400355097985444</v>
      </c>
      <c r="U40" s="183" t="n">
        <f aca="false">H40-R40</f>
        <v>-467492.64</v>
      </c>
      <c r="V40" s="174"/>
      <c r="W40" s="183" t="n">
        <v>296456.68</v>
      </c>
      <c r="X40" s="175" t="n">
        <f aca="false">H40-W40</f>
        <v>15666.48</v>
      </c>
      <c r="Y40" s="176" t="n">
        <f aca="false">IFERROR((H40/W40)-1,"-")</f>
        <v>0.0528457648517144</v>
      </c>
    </row>
    <row r="41" customFormat="false" ht="15" hidden="false" customHeight="true" outlineLevel="0" collapsed="false">
      <c r="A41" s="165"/>
      <c r="B41" s="185"/>
      <c r="C41" s="186" t="s">
        <v>163</v>
      </c>
      <c r="D41" s="185" t="s">
        <v>163</v>
      </c>
      <c r="E41" s="186"/>
      <c r="F41" s="186" t="n">
        <f aca="false">F40+F19</f>
        <v>2021164.683</v>
      </c>
      <c r="G41" s="186" t="n">
        <f aca="false">G40+G19</f>
        <v>1830821.43</v>
      </c>
      <c r="H41" s="186" t="n">
        <f aca="false">H40+H19</f>
        <v>2060474.594</v>
      </c>
      <c r="I41" s="134" t="n">
        <f aca="false">IFERROR(H41/$H$19,"")</f>
        <v>1.17852426802196</v>
      </c>
      <c r="J41" s="134" t="n">
        <f aca="false">H41/G41-1</f>
        <v>0.12543722737613</v>
      </c>
      <c r="K41" s="186" t="n">
        <f aca="false">K40+K19</f>
        <v>229653.164000002</v>
      </c>
      <c r="M41" s="186" t="n">
        <f aca="false">M40+M19</f>
        <v>3373969.69510556</v>
      </c>
      <c r="N41" s="134" t="n">
        <f aca="false">H41/M41-1</f>
        <v>-0.389302578209572</v>
      </c>
      <c r="O41" s="134" t="n">
        <f aca="false">IFERROR(H41/M41,"-")</f>
        <v>0.610697421790428</v>
      </c>
      <c r="P41" s="186" t="n">
        <f aca="false">P40+P19</f>
        <v>-1313495.10110556</v>
      </c>
      <c r="R41" s="186" t="n">
        <f aca="false">R40+R19</f>
        <v>3406716.64745763</v>
      </c>
      <c r="S41" s="134" t="n">
        <f aca="false">IFERROR(H41/R41-1,"-")</f>
        <v>-0.395172887202786</v>
      </c>
      <c r="T41" s="134" t="n">
        <f aca="false">IFERROR(H41/R41,"-")</f>
        <v>0.604827112797214</v>
      </c>
      <c r="U41" s="186" t="n">
        <f aca="false">H41-R41</f>
        <v>-1346242.05345763</v>
      </c>
      <c r="V41" s="174"/>
      <c r="W41" s="186" t="n">
        <v>1742783.251</v>
      </c>
      <c r="X41" s="175" t="n">
        <f aca="false">H41-W41</f>
        <v>317691.343</v>
      </c>
      <c r="Y41" s="176" t="n">
        <f aca="false">IFERROR((H41/W41)-1,"-")</f>
        <v>0.182289646642926</v>
      </c>
    </row>
    <row r="42" customFormat="false" ht="14.25" hidden="false" customHeight="true" outlineLevel="0" collapsed="false">
      <c r="C42" s="144"/>
      <c r="E42" s="144"/>
      <c r="F42" s="1" t="n">
        <v>0</v>
      </c>
    </row>
    <row r="50" customFormat="false" ht="14.25" hidden="false" customHeight="true" outlineLevel="0" collapsed="false">
      <c r="A50" s="159"/>
      <c r="B50" s="161"/>
      <c r="C50" s="145" t="s">
        <v>164</v>
      </c>
      <c r="D50" s="161" t="s">
        <v>164</v>
      </c>
      <c r="E50" s="145" t="s">
        <v>32</v>
      </c>
      <c r="F50" s="145"/>
      <c r="G50" s="145"/>
      <c r="H50" s="145" t="n">
        <v>0</v>
      </c>
      <c r="I50" s="162" t="n">
        <f aca="false">IFERROR(H50/$H$19,"")</f>
        <v>0</v>
      </c>
      <c r="J50" s="162" t="str">
        <f aca="false">IFERROR(H50/G50-1,"-")</f>
        <v>-</v>
      </c>
      <c r="K50" s="145" t="n">
        <f aca="false">H50-G50</f>
        <v>0</v>
      </c>
      <c r="M50" s="145"/>
      <c r="N50" s="162" t="str">
        <f aca="false">IFERROR(H50/M50-1,"-")</f>
        <v>-</v>
      </c>
      <c r="O50" s="162" t="str">
        <f aca="false">IFERROR(H50/M50,"-")</f>
        <v>-</v>
      </c>
      <c r="P50" s="145" t="n">
        <f aca="false">H50-M50</f>
        <v>0</v>
      </c>
    </row>
    <row r="51" customFormat="false" ht="14.25" hidden="false" customHeight="true" outlineLevel="0" collapsed="false">
      <c r="A51" s="165"/>
      <c r="B51" s="167"/>
      <c r="C51" s="145" t="s">
        <v>165</v>
      </c>
      <c r="D51" s="167" t="s">
        <v>165</v>
      </c>
      <c r="E51" s="145" t="s">
        <v>166</v>
      </c>
      <c r="F51" s="145"/>
      <c r="G51" s="145"/>
      <c r="H51" s="145" t="n">
        <v>0</v>
      </c>
      <c r="I51" s="162" t="n">
        <f aca="false">IFERROR(H51/$H$19,"")</f>
        <v>0</v>
      </c>
      <c r="J51" s="162" t="str">
        <f aca="false">IFERROR(H51/G51-1,"-")</f>
        <v>-</v>
      </c>
      <c r="K51" s="145" t="n">
        <f aca="false">H51-G51</f>
        <v>0</v>
      </c>
      <c r="M51" s="145"/>
      <c r="N51" s="162" t="str">
        <f aca="false">IFERROR(H51/M51-1,"-")</f>
        <v>-</v>
      </c>
      <c r="O51" s="162" t="str">
        <f aca="false">IFERROR(H51/M51,"-")</f>
        <v>-</v>
      </c>
      <c r="P51" s="145" t="n">
        <f aca="false">H51-M51</f>
        <v>0</v>
      </c>
    </row>
    <row r="52" customFormat="false" ht="14.25" hidden="false" customHeight="true" outlineLevel="0" collapsed="false">
      <c r="A52" s="165"/>
      <c r="B52" s="167"/>
      <c r="C52" s="145" t="s">
        <v>167</v>
      </c>
      <c r="D52" s="167" t="s">
        <v>167</v>
      </c>
      <c r="E52" s="145" t="s">
        <v>167</v>
      </c>
      <c r="F52" s="145"/>
      <c r="G52" s="145"/>
      <c r="H52" s="145" t="n">
        <v>0</v>
      </c>
      <c r="I52" s="162" t="n">
        <f aca="false">IFERROR(H52/$H$19,"")</f>
        <v>0</v>
      </c>
      <c r="J52" s="162" t="str">
        <f aca="false">IFERROR(H52/G52-1,"-")</f>
        <v>-</v>
      </c>
      <c r="K52" s="145" t="n">
        <f aca="false">H52-G52</f>
        <v>0</v>
      </c>
      <c r="M52" s="145"/>
      <c r="N52" s="162" t="str">
        <f aca="false">IFERROR(H52/M52-1,"-")</f>
        <v>-</v>
      </c>
      <c r="O52" s="162" t="str">
        <f aca="false">IFERROR(H52/M52,"-")</f>
        <v>-</v>
      </c>
      <c r="P52" s="145" t="n">
        <f aca="false">H52-M52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Q31" activeCellId="0" sqref="Q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90" width="26"/>
    <col collapsed="false" customWidth="true" hidden="false" outlineLevel="0" max="4" min="4" style="90" width="26"/>
    <col collapsed="false" customWidth="true" hidden="false" outlineLevel="0" max="5" min="5" style="90" width="12.25"/>
    <col collapsed="false" customWidth="true" hidden="false" outlineLevel="0" max="8" min="6" style="1" width="9.87"/>
    <col collapsed="false" customWidth="true" hidden="false" outlineLevel="0" max="9" min="9" style="1" width="6.88"/>
    <col collapsed="false" customWidth="true" hidden="false" outlineLevel="0" max="10" min="10" style="1" width="11"/>
    <col collapsed="false" customWidth="true" hidden="false" outlineLevel="0" max="11" min="11" style="1" width="11.88"/>
    <col collapsed="false" customWidth="true" hidden="false" outlineLevel="0" max="13" min="13" style="1" width="9.87"/>
    <col collapsed="false" customWidth="true" hidden="false" outlineLevel="0" max="14" min="14" style="1" width="11"/>
    <col collapsed="false" customWidth="true" hidden="false" outlineLevel="0" max="15" min="15" style="1" width="10.5"/>
    <col collapsed="false" customWidth="true" hidden="false" outlineLevel="0" max="17" min="17" style="1" width="9.87"/>
    <col collapsed="false" customWidth="true" hidden="false" outlineLevel="0" max="18" min="18" style="1" width="10.88"/>
    <col collapsed="false" customWidth="true" hidden="false" outlineLevel="0" max="19" min="19" style="1" width="7.62"/>
    <col collapsed="false" customWidth="true" hidden="false" outlineLevel="0" max="20" min="20" style="1" width="13"/>
    <col collapsed="false" customWidth="true" hidden="false" outlineLevel="0" max="22" min="22" style="1" width="9.87"/>
    <col collapsed="false" customWidth="true" hidden="false" outlineLevel="0" max="23" min="23" style="1" width="10.5"/>
    <col collapsed="false" customWidth="true" hidden="false" outlineLevel="0" max="24" min="24" style="148" width="9"/>
  </cols>
  <sheetData>
    <row r="1" customFormat="false" ht="15.75" hidden="false" customHeight="true" outlineLevel="0" collapsed="false">
      <c r="B1" s="149"/>
      <c r="C1" s="149" t="s">
        <v>181</v>
      </c>
      <c r="D1" s="149" t="s">
        <v>181</v>
      </c>
      <c r="E1" s="149"/>
      <c r="F1" s="7"/>
      <c r="G1" s="7"/>
      <c r="H1" s="7"/>
      <c r="I1" s="7"/>
      <c r="J1" s="7"/>
      <c r="K1" s="7"/>
      <c r="M1" s="7"/>
      <c r="N1" s="7"/>
      <c r="O1" s="7"/>
      <c r="Q1" s="7"/>
      <c r="R1" s="7"/>
      <c r="S1" s="7"/>
      <c r="T1" s="7"/>
      <c r="V1" s="7"/>
    </row>
    <row r="2" customFormat="false" ht="15" hidden="false" customHeight="true" outlineLevel="0" collapsed="false">
      <c r="A2" s="151" t="s">
        <v>2</v>
      </c>
      <c r="B2" s="38"/>
      <c r="C2" s="38"/>
      <c r="D2" s="38"/>
      <c r="E2" s="154" t="s">
        <v>3</v>
      </c>
      <c r="F2" s="154" t="n">
        <v>10.2024</v>
      </c>
      <c r="G2" s="154" t="n">
        <v>10.2025</v>
      </c>
      <c r="H2" s="154" t="n">
        <v>10.2026</v>
      </c>
      <c r="I2" s="155" t="s">
        <v>174</v>
      </c>
      <c r="J2" s="155" t="s">
        <v>128</v>
      </c>
      <c r="K2" s="154" t="s">
        <v>129</v>
      </c>
      <c r="M2" s="154" t="s">
        <v>130</v>
      </c>
      <c r="N2" s="155" t="s">
        <v>111</v>
      </c>
      <c r="O2" s="154" t="s">
        <v>112</v>
      </c>
      <c r="Q2" s="156" t="s">
        <v>1</v>
      </c>
      <c r="R2" s="155" t="s">
        <v>177</v>
      </c>
      <c r="S2" s="155" t="s">
        <v>175</v>
      </c>
      <c r="T2" s="158" t="s">
        <v>178</v>
      </c>
      <c r="U2" s="157"/>
      <c r="V2" s="158" t="n">
        <v>10.2026</v>
      </c>
      <c r="W2" s="157"/>
    </row>
    <row r="3" customFormat="false" ht="14.25" hidden="false" customHeight="true" outlineLevel="0" collapsed="false">
      <c r="A3" s="159" t="n">
        <v>5</v>
      </c>
      <c r="B3" s="161" t="s">
        <v>131</v>
      </c>
      <c r="C3" s="161" t="s">
        <v>31</v>
      </c>
      <c r="D3" s="161" t="s">
        <v>31</v>
      </c>
      <c r="E3" s="161" t="s">
        <v>32</v>
      </c>
      <c r="F3" s="145" t="n">
        <v>0</v>
      </c>
      <c r="G3" s="145" t="n">
        <v>33955.2</v>
      </c>
      <c r="H3" s="145" t="n">
        <v>0</v>
      </c>
      <c r="I3" s="162" t="n">
        <f aca="false">IFERROR(H3/$H$19,"")</f>
        <v>0</v>
      </c>
      <c r="J3" s="162" t="n">
        <f aca="false">IFERROR(H3/G3-1,"")</f>
        <v>-1</v>
      </c>
      <c r="K3" s="145" t="n">
        <f aca="false">H3-G3</f>
        <v>-33955.2</v>
      </c>
      <c r="M3" s="145" t="n">
        <f aca="false">VLOOKUP(C3,'תקציב  '!$B:$S,13,0)*1</f>
        <v>226666.666666667</v>
      </c>
      <c r="N3" s="162" t="n">
        <f aca="false">IFERROR(H3/M3-1,"")</f>
        <v>-1</v>
      </c>
      <c r="O3" s="145" t="n">
        <f aca="false">H3-M3</f>
        <v>-226666.666666667</v>
      </c>
      <c r="Q3" s="147" t="n">
        <v>200000</v>
      </c>
      <c r="R3" s="162" t="n">
        <f aca="false">IFERROR(G3/Q3-1,"-")</f>
        <v>-0.830224</v>
      </c>
      <c r="S3" s="162" t="n">
        <f aca="false">IFERROR(G3/Q3,"-")</f>
        <v>0.169776</v>
      </c>
      <c r="T3" s="147" t="n">
        <f aca="false">G3-Q3</f>
        <v>-166044.8</v>
      </c>
      <c r="V3" s="145"/>
      <c r="W3" s="5" t="n">
        <f aca="false">H3-V3</f>
        <v>0</v>
      </c>
      <c r="X3" s="163" t="str">
        <f aca="false">IFERROR((G3/V3)-1,"-")</f>
        <v>-</v>
      </c>
    </row>
    <row r="4" customFormat="false" ht="14.25" hidden="false" customHeight="true" outlineLevel="0" collapsed="false">
      <c r="A4" s="164" t="n">
        <v>1</v>
      </c>
      <c r="B4" s="161" t="s">
        <v>33</v>
      </c>
      <c r="C4" s="161" t="s">
        <v>33</v>
      </c>
      <c r="D4" s="161" t="s">
        <v>33</v>
      </c>
      <c r="E4" s="161" t="s">
        <v>32</v>
      </c>
      <c r="F4" s="145" t="n">
        <v>403387.075</v>
      </c>
      <c r="G4" s="145" t="n">
        <v>417469.78</v>
      </c>
      <c r="H4" s="145" t="n">
        <v>57325.268</v>
      </c>
      <c r="I4" s="162" t="n">
        <f aca="false">IFERROR(H4/$H$19,"")</f>
        <v>0.224572020029607</v>
      </c>
      <c r="J4" s="162" t="n">
        <f aca="false">IFERROR(H4/G4-1,"")</f>
        <v>-0.862684029488314</v>
      </c>
      <c r="K4" s="145" t="n">
        <f aca="false">H4-G4</f>
        <v>-360144.512</v>
      </c>
      <c r="M4" s="145" t="n">
        <f aca="false">VLOOKUP(C4,'תקציב  '!$B:$S,13,0)*1</f>
        <v>546666.666666667</v>
      </c>
      <c r="N4" s="162" t="n">
        <f aca="false">IFERROR(H4/M4-1,"")</f>
        <v>-0.895136704878049</v>
      </c>
      <c r="O4" s="145" t="n">
        <f aca="false">H4-M4</f>
        <v>-489341.398666667</v>
      </c>
      <c r="Q4" s="147" t="n">
        <v>550000</v>
      </c>
      <c r="R4" s="162" t="n">
        <f aca="false">IFERROR(G4/Q4-1,"-")</f>
        <v>-0.240964036363636</v>
      </c>
      <c r="S4" s="162" t="n">
        <f aca="false">IFERROR(G4/Q4,"-")</f>
        <v>0.759035963636364</v>
      </c>
      <c r="T4" s="147" t="n">
        <f aca="false">G4-Q4</f>
        <v>-132530.22</v>
      </c>
      <c r="V4" s="145"/>
      <c r="W4" s="5" t="n">
        <f aca="false">H4-V4</f>
        <v>57325.268</v>
      </c>
      <c r="X4" s="163" t="str">
        <f aca="false">IFERROR((G4/V4)-1,"-")</f>
        <v>-</v>
      </c>
    </row>
    <row r="5" customFormat="false" ht="14.25" hidden="false" customHeight="true" outlineLevel="0" collapsed="false">
      <c r="A5" s="164" t="n">
        <v>7</v>
      </c>
      <c r="B5" s="161" t="s">
        <v>34</v>
      </c>
      <c r="C5" s="161" t="s">
        <v>34</v>
      </c>
      <c r="D5" s="161" t="s">
        <v>34</v>
      </c>
      <c r="E5" s="161" t="s">
        <v>32</v>
      </c>
      <c r="F5" s="145" t="n">
        <v>80742.389</v>
      </c>
      <c r="G5" s="145" t="n">
        <v>61390.42</v>
      </c>
      <c r="H5" s="145" t="n">
        <v>12263.342</v>
      </c>
      <c r="I5" s="162" t="n">
        <f aca="false">IFERROR(H5/$H$19,"")</f>
        <v>0.0480417027488458</v>
      </c>
      <c r="J5" s="162" t="n">
        <f aca="false">IFERROR(H5/G5-1,"")</f>
        <v>-0.800240135187217</v>
      </c>
      <c r="K5" s="145" t="n">
        <f aca="false">H5-G5</f>
        <v>-49127.078</v>
      </c>
      <c r="M5" s="145" t="n">
        <f aca="false">VLOOKUP(C5,'תקציב  '!$B:$S,13,0)*1</f>
        <v>75000</v>
      </c>
      <c r="N5" s="162" t="n">
        <f aca="false">IFERROR(H5/M5-1,"")</f>
        <v>-0.836488773333333</v>
      </c>
      <c r="O5" s="145" t="n">
        <f aca="false">H5-M5</f>
        <v>-62736.658</v>
      </c>
      <c r="Q5" s="147" t="n">
        <v>100000</v>
      </c>
      <c r="R5" s="162" t="n">
        <f aca="false">IFERROR(G5/Q5-1,"-")</f>
        <v>-0.3860958</v>
      </c>
      <c r="S5" s="162" t="n">
        <f aca="false">IFERROR(G5/Q5,"-")</f>
        <v>0.6139042</v>
      </c>
      <c r="T5" s="147" t="n">
        <f aca="false">G5-Q5</f>
        <v>-38609.58</v>
      </c>
      <c r="V5" s="145"/>
      <c r="W5" s="5" t="n">
        <f aca="false">H5-V5</f>
        <v>12263.342</v>
      </c>
      <c r="X5" s="163" t="str">
        <f aca="false">IFERROR((G5/V5)-1,"-")</f>
        <v>-</v>
      </c>
    </row>
    <row r="6" customFormat="false" ht="14.25" hidden="false" customHeight="true" outlineLevel="0" collapsed="false">
      <c r="A6" s="164" t="n">
        <v>4</v>
      </c>
      <c r="B6" s="161" t="s">
        <v>35</v>
      </c>
      <c r="C6" s="161" t="s">
        <v>35</v>
      </c>
      <c r="D6" s="161" t="s">
        <v>35</v>
      </c>
      <c r="E6" s="161" t="s">
        <v>32</v>
      </c>
      <c r="F6" s="145" t="n">
        <v>128887.331</v>
      </c>
      <c r="G6" s="145" t="n">
        <v>150616.42</v>
      </c>
      <c r="H6" s="145" t="n">
        <v>27439.028</v>
      </c>
      <c r="I6" s="162" t="n">
        <f aca="false">IFERROR(H6/$H$19,"")</f>
        <v>0.10749252747687</v>
      </c>
      <c r="J6" s="162" t="n">
        <f aca="false">IFERROR(H6/G6-1,"")</f>
        <v>-0.817821801899156</v>
      </c>
      <c r="K6" s="145" t="n">
        <f aca="false">H6-G6</f>
        <v>-123177.392</v>
      </c>
      <c r="M6" s="145" t="n">
        <f aca="false">VLOOKUP(B6,'תקציב  '!$B:$S,13,0)*1</f>
        <v>162333.333333333</v>
      </c>
      <c r="N6" s="162" t="n">
        <f aca="false">IFERROR(H6/M6-1,"")</f>
        <v>-0.830971080082135</v>
      </c>
      <c r="O6" s="145" t="n">
        <f aca="false">H6-M6</f>
        <v>-134894.305333333</v>
      </c>
      <c r="Q6" s="147" t="n">
        <v>200000</v>
      </c>
      <c r="R6" s="162" t="n">
        <f aca="false">IFERROR(G6/Q6-1,"-")</f>
        <v>-0.2469179</v>
      </c>
      <c r="S6" s="162" t="n">
        <f aca="false">IFERROR(G6/Q6,"-")</f>
        <v>0.7530821</v>
      </c>
      <c r="T6" s="147" t="n">
        <f aca="false">G6-Q6</f>
        <v>-49383.58</v>
      </c>
      <c r="V6" s="145"/>
      <c r="W6" s="5" t="n">
        <f aca="false">H6-V6</f>
        <v>27439.028</v>
      </c>
      <c r="X6" s="163" t="str">
        <f aca="false">IFERROR((G6/V6)-1,"-")</f>
        <v>-</v>
      </c>
    </row>
    <row r="7" customFormat="false" ht="14.25" hidden="false" customHeight="true" outlineLevel="0" collapsed="false">
      <c r="A7" s="164" t="n">
        <v>3</v>
      </c>
      <c r="B7" s="161" t="s">
        <v>132</v>
      </c>
      <c r="C7" s="161" t="s">
        <v>36</v>
      </c>
      <c r="D7" s="161" t="s">
        <v>36</v>
      </c>
      <c r="E7" s="161" t="s">
        <v>32</v>
      </c>
      <c r="F7" s="145" t="n">
        <v>291076</v>
      </c>
      <c r="G7" s="145" t="n">
        <v>184903.8</v>
      </c>
      <c r="H7" s="145" t="n">
        <v>65849.9</v>
      </c>
      <c r="I7" s="162" t="n">
        <f aca="false">IFERROR(H7/$H$19,"")</f>
        <v>0.257967307919915</v>
      </c>
      <c r="J7" s="162" t="n">
        <f aca="false">IFERROR(H7/G7-1,"")</f>
        <v>-0.643869406686071</v>
      </c>
      <c r="K7" s="145" t="n">
        <f aca="false">H7-G7</f>
        <v>-119053.9</v>
      </c>
      <c r="M7" s="145" t="n">
        <f aca="false">VLOOKUP(C7,'תקציב  '!$B:$S,13,0)*1</f>
        <v>365000</v>
      </c>
      <c r="N7" s="162" t="n">
        <f aca="false">IFERROR(H7/M7-1,"")</f>
        <v>-0.819589315068493</v>
      </c>
      <c r="O7" s="145" t="n">
        <f aca="false">H7-M7</f>
        <v>-299150.1</v>
      </c>
      <c r="Q7" s="147" t="n">
        <v>330000</v>
      </c>
      <c r="R7" s="162" t="n">
        <f aca="false">IFERROR(G7/Q7-1,"-")</f>
        <v>-0.439685454545455</v>
      </c>
      <c r="S7" s="162" t="n">
        <f aca="false">IFERROR(G7/Q7,"-")</f>
        <v>0.560314545454545</v>
      </c>
      <c r="T7" s="147" t="n">
        <f aca="false">G7-Q7</f>
        <v>-145096.2</v>
      </c>
      <c r="V7" s="145"/>
      <c r="W7" s="5" t="n">
        <f aca="false">H7-V7</f>
        <v>65849.9</v>
      </c>
      <c r="X7" s="163" t="str">
        <f aca="false">IFERROR((G7/V7)-1,"-")</f>
        <v>-</v>
      </c>
    </row>
    <row r="8" customFormat="false" ht="14.25" hidden="false" customHeight="true" outlineLevel="0" collapsed="false">
      <c r="A8" s="164" t="n">
        <v>8</v>
      </c>
      <c r="B8" s="161" t="s">
        <v>133</v>
      </c>
      <c r="C8" s="161" t="s">
        <v>37</v>
      </c>
      <c r="D8" s="161" t="s">
        <v>37</v>
      </c>
      <c r="E8" s="161" t="s">
        <v>32</v>
      </c>
      <c r="F8" s="145" t="n">
        <v>50225.36</v>
      </c>
      <c r="G8" s="145" t="n">
        <v>70789.24</v>
      </c>
      <c r="H8" s="145" t="n">
        <v>8841.378</v>
      </c>
      <c r="I8" s="162" t="n">
        <f aca="false">IFERROR(H8/$H$19,"")</f>
        <v>0.0346361419070091</v>
      </c>
      <c r="J8" s="162" t="n">
        <f aca="false">IFERROR(H8/G8-1,"")</f>
        <v>-0.875102798108865</v>
      </c>
      <c r="K8" s="145" t="n">
        <f aca="false">H8-G8</f>
        <v>-61947.862</v>
      </c>
      <c r="M8" s="145" t="n">
        <f aca="false">VLOOKUP(C8,'תקציב  '!$B:$S,13,0)*1</f>
        <v>103333.333333333</v>
      </c>
      <c r="N8" s="162" t="n">
        <f aca="false">IFERROR(H8/M8-1,"")</f>
        <v>-0.914438277419355</v>
      </c>
      <c r="O8" s="145" t="n">
        <f aca="false">H8-M8</f>
        <v>-94491.955333333</v>
      </c>
      <c r="Q8" s="147" t="n">
        <v>100000</v>
      </c>
      <c r="R8" s="162" t="n">
        <f aca="false">IFERROR(G8/Q8-1,"-")</f>
        <v>-0.2921076</v>
      </c>
      <c r="S8" s="162" t="n">
        <f aca="false">IFERROR(G8/Q8,"-")</f>
        <v>0.7078924</v>
      </c>
      <c r="T8" s="147" t="n">
        <f aca="false">G8-Q8</f>
        <v>-29210.76</v>
      </c>
      <c r="V8" s="145"/>
      <c r="W8" s="5" t="n">
        <f aca="false">H8-V8</f>
        <v>8841.378</v>
      </c>
      <c r="X8" s="163" t="str">
        <f aca="false">IFERROR((G8/V8)-1,"-")</f>
        <v>-</v>
      </c>
    </row>
    <row r="9" customFormat="false" ht="14.25" hidden="false" customHeight="true" outlineLevel="0" collapsed="false">
      <c r="A9" s="164" t="n">
        <v>6</v>
      </c>
      <c r="B9" s="161" t="s">
        <v>134</v>
      </c>
      <c r="C9" s="161" t="s">
        <v>38</v>
      </c>
      <c r="D9" s="161" t="s">
        <v>38</v>
      </c>
      <c r="E9" s="161" t="s">
        <v>32</v>
      </c>
      <c r="F9" s="145" t="n">
        <v>56916.24</v>
      </c>
      <c r="G9" s="145" t="n">
        <v>57765.28</v>
      </c>
      <c r="H9" s="145" t="n">
        <v>12737.86</v>
      </c>
      <c r="I9" s="162" t="n">
        <f aca="false">IFERROR(H9/$H$19,"")</f>
        <v>0.0499006293534351</v>
      </c>
      <c r="J9" s="162" t="n">
        <f aca="false">IFERROR(H9/G9-1,"")</f>
        <v>-0.779489340309612</v>
      </c>
      <c r="K9" s="145" t="n">
        <f aca="false">H9-G9</f>
        <v>-45027.42</v>
      </c>
      <c r="M9" s="145" t="n">
        <f aca="false">VLOOKUP(C9,'תקציב  '!$B:$S,13,0)*1</f>
        <v>173583.333333333</v>
      </c>
      <c r="N9" s="162" t="n">
        <f aca="false">IFERROR(H9/M9-1,"")</f>
        <v>-0.926618185309649</v>
      </c>
      <c r="O9" s="145" t="n">
        <f aca="false">H9-M9</f>
        <v>-160845.473333333</v>
      </c>
      <c r="Q9" s="147" t="n">
        <v>100000</v>
      </c>
      <c r="R9" s="162" t="n">
        <f aca="false">IFERROR(G9/Q9-1,"-")</f>
        <v>-0.4223472</v>
      </c>
      <c r="S9" s="162" t="n">
        <f aca="false">IFERROR(G9/Q9,"-")</f>
        <v>0.5776528</v>
      </c>
      <c r="T9" s="147" t="n">
        <f aca="false">G9-Q9</f>
        <v>-42234.72</v>
      </c>
      <c r="V9" s="145"/>
      <c r="W9" s="5" t="n">
        <f aca="false">H9-V9</f>
        <v>12737.86</v>
      </c>
      <c r="X9" s="163" t="str">
        <f aca="false">IFERROR((G9/V9)-1,"-")</f>
        <v>-</v>
      </c>
    </row>
    <row r="10" customFormat="false" ht="14.25" hidden="false" customHeight="true" outlineLevel="0" collapsed="false">
      <c r="A10" s="165" t="n">
        <v>10</v>
      </c>
      <c r="B10" s="167" t="s">
        <v>135</v>
      </c>
      <c r="C10" s="167" t="s">
        <v>39</v>
      </c>
      <c r="D10" s="167" t="s">
        <v>39</v>
      </c>
      <c r="E10" s="167" t="s">
        <v>32</v>
      </c>
      <c r="F10" s="145" t="n">
        <v>11253.22</v>
      </c>
      <c r="G10" s="145" t="n">
        <v>9579</v>
      </c>
      <c r="H10" s="145" t="n">
        <v>7706.35</v>
      </c>
      <c r="I10" s="162" t="n">
        <f aca="false">IFERROR(H10/$H$19,"")</f>
        <v>0.0301896641208056</v>
      </c>
      <c r="J10" s="162" t="n">
        <f aca="false">IFERROR(H10/G10-1,"")</f>
        <v>-0.19549535442113</v>
      </c>
      <c r="K10" s="145" t="n">
        <f aca="false">H10-G10</f>
        <v>-1872.65</v>
      </c>
      <c r="M10" s="145" t="n">
        <f aca="false">VLOOKUP(C10,'תקציב  '!$B:$S,13,0)*1</f>
        <v>15833.3333333333</v>
      </c>
      <c r="N10" s="162" t="n">
        <f aca="false">IFERROR(H10/M10-1,"")</f>
        <v>-0.513283157894736</v>
      </c>
      <c r="O10" s="145" t="n">
        <f aca="false">H10-M10</f>
        <v>-8126.9833333333</v>
      </c>
      <c r="Q10" s="147" t="n">
        <v>15000</v>
      </c>
      <c r="R10" s="162" t="n">
        <f aca="false">IFERROR(G10/Q10-1,"-")</f>
        <v>-0.3614</v>
      </c>
      <c r="S10" s="162" t="n">
        <f aca="false">IFERROR(G10/Q10,"-")</f>
        <v>0.6386</v>
      </c>
      <c r="T10" s="147" t="n">
        <f aca="false">G10-Q10</f>
        <v>-5421</v>
      </c>
      <c r="V10" s="145"/>
      <c r="W10" s="5" t="n">
        <f aca="false">H10-V10</f>
        <v>7706.35</v>
      </c>
      <c r="X10" s="163" t="str">
        <f aca="false">IFERROR((G10/V10)-1,"-")</f>
        <v>-</v>
      </c>
    </row>
    <row r="11" customFormat="false" ht="14.25" hidden="false" customHeight="true" outlineLevel="0" collapsed="false">
      <c r="A11" s="164" t="n">
        <v>11</v>
      </c>
      <c r="B11" s="161" t="s">
        <v>136</v>
      </c>
      <c r="C11" s="161" t="s">
        <v>40</v>
      </c>
      <c r="D11" s="161" t="s">
        <v>40</v>
      </c>
      <c r="E11" s="161" t="s">
        <v>32</v>
      </c>
      <c r="F11" s="145" t="n">
        <v>-1766.36</v>
      </c>
      <c r="G11" s="145" t="n">
        <v>3274.69</v>
      </c>
      <c r="H11" s="145" t="n">
        <v>2342.42</v>
      </c>
      <c r="I11" s="162" t="n">
        <f aca="false">IFERROR(H11/$H$19,"")</f>
        <v>0.00917644189919448</v>
      </c>
      <c r="J11" s="162" t="n">
        <f aca="false">IFERROR(H11/G11-1,"")</f>
        <v>-0.284689543132327</v>
      </c>
      <c r="K11" s="145" t="n">
        <f aca="false">H11-G11</f>
        <v>-932.27</v>
      </c>
      <c r="M11" s="145" t="n">
        <f aca="false">VLOOKUP(C11,'תקציב  '!$B:$S,13,0)*1</f>
        <v>9333.33333333333</v>
      </c>
      <c r="N11" s="162" t="n">
        <f aca="false">IFERROR(H11/M11-1,"")</f>
        <v>-0.749026428571429</v>
      </c>
      <c r="O11" s="145" t="n">
        <f aca="false">H11-M11</f>
        <v>-6990.91333333333</v>
      </c>
      <c r="Q11" s="147" t="n">
        <v>10000</v>
      </c>
      <c r="R11" s="162" t="n">
        <f aca="false">IFERROR(G11/Q11-1,"-")</f>
        <v>-0.672531</v>
      </c>
      <c r="S11" s="162" t="n">
        <f aca="false">IFERROR(G11/Q11,"-")</f>
        <v>0.327469</v>
      </c>
      <c r="T11" s="147" t="n">
        <f aca="false">G11-Q11</f>
        <v>-6725.31</v>
      </c>
      <c r="V11" s="145"/>
      <c r="W11" s="5" t="n">
        <f aca="false">H11-V11</f>
        <v>2342.42</v>
      </c>
      <c r="X11" s="163" t="str">
        <f aca="false">IFERROR((G11/V11)-1,"-")</f>
        <v>-</v>
      </c>
    </row>
    <row r="12" customFormat="false" ht="14.25" hidden="false" customHeight="true" outlineLevel="0" collapsed="false">
      <c r="A12" s="164" t="n">
        <v>14</v>
      </c>
      <c r="B12" s="161" t="s">
        <v>137</v>
      </c>
      <c r="C12" s="161" t="s">
        <v>41</v>
      </c>
      <c r="D12" s="161" t="s">
        <v>41</v>
      </c>
      <c r="E12" s="161" t="s">
        <v>32</v>
      </c>
      <c r="F12" s="145" t="n">
        <v>0</v>
      </c>
      <c r="G12" s="145" t="n">
        <v>669.74</v>
      </c>
      <c r="H12" s="145" t="n">
        <v>0</v>
      </c>
      <c r="I12" s="162" t="n">
        <f aca="false">IFERROR(H12/$H$19,"")</f>
        <v>0</v>
      </c>
      <c r="J12" s="162" t="n">
        <f aca="false">IFERROR(H12/G12-1,"")</f>
        <v>-1</v>
      </c>
      <c r="K12" s="145" t="n">
        <f aca="false">H12-G12</f>
        <v>-669.74</v>
      </c>
      <c r="M12" s="145" t="n">
        <f aca="false">VLOOKUP(C12,'תקציב  '!$B:$S,13,0)*1</f>
        <v>0</v>
      </c>
      <c r="N12" s="162" t="str">
        <f aca="false">IFERROR(H12/M12-1,"")</f>
        <v/>
      </c>
      <c r="O12" s="145" t="n">
        <f aca="false">H12-M12</f>
        <v>0</v>
      </c>
      <c r="Q12" s="147" t="n">
        <v>5000</v>
      </c>
      <c r="R12" s="162" t="n">
        <f aca="false">IFERROR(G12/Q12-1,"-")</f>
        <v>-0.866052</v>
      </c>
      <c r="S12" s="162" t="n">
        <f aca="false">IFERROR(G12/Q12,"-")</f>
        <v>0.133948</v>
      </c>
      <c r="T12" s="147" t="n">
        <f aca="false">G12-Q12</f>
        <v>-4330.26</v>
      </c>
      <c r="V12" s="145"/>
      <c r="W12" s="5" t="n">
        <f aca="false">H12-V12</f>
        <v>0</v>
      </c>
      <c r="X12" s="163" t="str">
        <f aca="false">IFERROR((G12/V12)-1,"-")</f>
        <v>-</v>
      </c>
    </row>
    <row r="13" customFormat="false" ht="14.25" hidden="false" customHeight="true" outlineLevel="0" collapsed="false">
      <c r="A13" s="164" t="n">
        <v>15</v>
      </c>
      <c r="B13" s="161" t="s">
        <v>138</v>
      </c>
      <c r="C13" s="161" t="s">
        <v>47</v>
      </c>
      <c r="D13" s="161" t="s">
        <v>47</v>
      </c>
      <c r="E13" s="161" t="s">
        <v>32</v>
      </c>
      <c r="F13" s="145" t="n">
        <v>0</v>
      </c>
      <c r="G13" s="145" t="n">
        <v>514.2</v>
      </c>
      <c r="H13" s="145" t="n">
        <v>0</v>
      </c>
      <c r="I13" s="162" t="n">
        <f aca="false">IFERROR(H13/$H$19,"")</f>
        <v>0</v>
      </c>
      <c r="J13" s="162" t="n">
        <f aca="false">IFERROR(H13/G13-1,"")</f>
        <v>-1</v>
      </c>
      <c r="K13" s="145" t="n">
        <f aca="false">H13-G13</f>
        <v>-514.2</v>
      </c>
      <c r="M13" s="145" t="n">
        <f aca="false">VLOOKUP(C13,'תקציב  '!$B:$S,13,0)*1</f>
        <v>0</v>
      </c>
      <c r="N13" s="162" t="str">
        <f aca="false">IFERROR(H13/M13-1,"")</f>
        <v/>
      </c>
      <c r="O13" s="145" t="n">
        <f aca="false">H13-M13</f>
        <v>0</v>
      </c>
      <c r="Q13" s="147" t="n">
        <v>5000</v>
      </c>
      <c r="R13" s="162" t="n">
        <f aca="false">IFERROR(G13/Q13-1,"-")</f>
        <v>-0.89716</v>
      </c>
      <c r="S13" s="162" t="n">
        <f aca="false">IFERROR(G13/Q13,"-")</f>
        <v>0.10284</v>
      </c>
      <c r="T13" s="147" t="n">
        <f aca="false">G13-Q13</f>
        <v>-4485.8</v>
      </c>
      <c r="V13" s="145"/>
      <c r="W13" s="5" t="n">
        <f aca="false">H13-V13</f>
        <v>0</v>
      </c>
      <c r="X13" s="163" t="str">
        <f aca="false">IFERROR((G13/V13)-1,"-")</f>
        <v>-</v>
      </c>
    </row>
    <row r="14" customFormat="false" ht="14.25" hidden="false" customHeight="true" outlineLevel="0" collapsed="false">
      <c r="A14" s="164" t="n">
        <v>13</v>
      </c>
      <c r="B14" s="161" t="s">
        <v>139</v>
      </c>
      <c r="C14" s="161" t="s">
        <v>43</v>
      </c>
      <c r="D14" s="161" t="s">
        <v>43</v>
      </c>
      <c r="E14" s="161" t="s">
        <v>32</v>
      </c>
      <c r="F14" s="145" t="n">
        <v>507.08</v>
      </c>
      <c r="G14" s="145" t="n">
        <v>0</v>
      </c>
      <c r="H14" s="145" t="n">
        <v>0.01</v>
      </c>
      <c r="I14" s="162" t="n">
        <f aca="false">IFERROR(H14/$H$19,"")</f>
        <v>3.91750493045418E-008</v>
      </c>
      <c r="J14" s="162" t="str">
        <f aca="false">IFERROR(H14/G14-1,"")</f>
        <v/>
      </c>
      <c r="K14" s="145" t="n">
        <f aca="false">H14-G14</f>
        <v>0.01</v>
      </c>
      <c r="M14" s="145" t="n">
        <f aca="false">VLOOKUP(C14,'תקציב  '!$B:$S,13,0)*1</f>
        <v>50000</v>
      </c>
      <c r="N14" s="162" t="n">
        <f aca="false">IFERROR(H14/M14-1,"")</f>
        <v>-0.9999998</v>
      </c>
      <c r="O14" s="145" t="n">
        <f aca="false">H14-M14</f>
        <v>-49999.99</v>
      </c>
      <c r="Q14" s="147" t="n">
        <v>5000</v>
      </c>
      <c r="R14" s="162" t="n">
        <f aca="false">IFERROR(G14/Q14-1,"-")</f>
        <v>-1</v>
      </c>
      <c r="S14" s="162" t="n">
        <f aca="false">IFERROR(G14/Q14,"-")</f>
        <v>0</v>
      </c>
      <c r="T14" s="147" t="n">
        <f aca="false">G14-Q14</f>
        <v>-5000</v>
      </c>
      <c r="V14" s="145"/>
      <c r="W14" s="5" t="n">
        <f aca="false">H14-V14</f>
        <v>0.01</v>
      </c>
      <c r="X14" s="163" t="str">
        <f aca="false">IFERROR((G14/V14)-1,"-")</f>
        <v>-</v>
      </c>
    </row>
    <row r="15" customFormat="false" ht="14.25" hidden="false" customHeight="true" outlineLevel="0" collapsed="false">
      <c r="A15" s="164" t="n">
        <v>9</v>
      </c>
      <c r="B15" s="161" t="s">
        <v>140</v>
      </c>
      <c r="C15" s="161" t="s">
        <v>44</v>
      </c>
      <c r="D15" s="161" t="s">
        <v>44</v>
      </c>
      <c r="E15" s="161" t="s">
        <v>32</v>
      </c>
      <c r="F15" s="145" t="n">
        <v>2059.32</v>
      </c>
      <c r="G15" s="145" t="n">
        <v>4038.81</v>
      </c>
      <c r="H15" s="145" t="n">
        <v>0</v>
      </c>
      <c r="I15" s="162" t="n">
        <f aca="false">IFERROR(H15/$H$19,"")</f>
        <v>0</v>
      </c>
      <c r="J15" s="162" t="n">
        <f aca="false">IFERROR(H15/G15-1,"")</f>
        <v>-1</v>
      </c>
      <c r="K15" s="145" t="n">
        <f aca="false">H15-G15</f>
        <v>-4038.81</v>
      </c>
      <c r="M15" s="145" t="n">
        <f aca="false">VLOOKUP(C15,'תקציב  '!$B:$S,13,0)*1</f>
        <v>16666.6666666667</v>
      </c>
      <c r="N15" s="162" t="n">
        <f aca="false">IFERROR(H15/M15-1,"")</f>
        <v>-1</v>
      </c>
      <c r="O15" s="145" t="n">
        <f aca="false">H15-M15</f>
        <v>-16666.6666666667</v>
      </c>
      <c r="Q15" s="147" t="n">
        <v>25000</v>
      </c>
      <c r="R15" s="162" t="n">
        <f aca="false">IFERROR(G15/Q15-1,"-")</f>
        <v>-0.8384476</v>
      </c>
      <c r="S15" s="162" t="n">
        <f aca="false">IFERROR(G15/Q15,"-")</f>
        <v>0.1615524</v>
      </c>
      <c r="T15" s="147" t="n">
        <f aca="false">G15-Q15</f>
        <v>-20961.19</v>
      </c>
      <c r="V15" s="145"/>
      <c r="W15" s="5" t="n">
        <f aca="false">H15-V15</f>
        <v>0</v>
      </c>
      <c r="X15" s="163" t="str">
        <f aca="false">IFERROR((G15/V15)-1,"-")</f>
        <v>-</v>
      </c>
    </row>
    <row r="16" customFormat="false" ht="15" hidden="false" customHeight="true" outlineLevel="0" collapsed="false">
      <c r="A16" s="168"/>
      <c r="B16" s="170"/>
      <c r="C16" s="170" t="s">
        <v>115</v>
      </c>
      <c r="D16" s="170" t="s">
        <v>115</v>
      </c>
      <c r="E16" s="170"/>
      <c r="F16" s="172" t="n">
        <f aca="false">SUM(F3:F15)+F50</f>
        <v>1023287.655</v>
      </c>
      <c r="G16" s="172" t="n">
        <f aca="false">SUM(G3:G15)+G50</f>
        <v>994966.58</v>
      </c>
      <c r="H16" s="172" t="n">
        <f aca="false">SUM(H3:H15)+H50</f>
        <v>194505.556</v>
      </c>
      <c r="I16" s="173" t="n">
        <f aca="false">IFERROR(H16/$H$19,"")</f>
        <v>0.761976474630732</v>
      </c>
      <c r="J16" s="173" t="n">
        <f aca="false">IFERROR(H16/G16-1,"")</f>
        <v>-0.80451046305495</v>
      </c>
      <c r="K16" s="172" t="n">
        <f aca="false">SUM(K3:K15)+K50</f>
        <v>-800461.024</v>
      </c>
      <c r="M16" s="172" t="n">
        <f aca="false">SUM(M3:M15)+M50</f>
        <v>1744416.66666667</v>
      </c>
      <c r="N16" s="173" t="n">
        <f aca="false">IFERROR(H16/M16-1,"")</f>
        <v>-0.888498224239239</v>
      </c>
      <c r="O16" s="172" t="n">
        <f aca="false">SUM(O3:O15)+O50</f>
        <v>-1549911.11066667</v>
      </c>
      <c r="Q16" s="172" t="n">
        <f aca="false">SUM(Q3:Q15)+Q50</f>
        <v>1645000</v>
      </c>
      <c r="R16" s="173" t="n">
        <f aca="false">IFERROR(G16/Q16-1,"-")</f>
        <v>-0.395157094224924</v>
      </c>
      <c r="S16" s="173" t="n">
        <f aca="false">IFERROR(G16/Q16,"-")</f>
        <v>0.604842905775076</v>
      </c>
      <c r="T16" s="172" t="n">
        <f aca="false">G16-Q16</f>
        <v>-650033.42</v>
      </c>
      <c r="U16" s="174"/>
      <c r="V16" s="172"/>
      <c r="W16" s="175" t="n">
        <f aca="false">H16-V16</f>
        <v>194505.556</v>
      </c>
      <c r="X16" s="176" t="str">
        <f aca="false">IFERROR((G16/V16)-1,"-")</f>
        <v>-</v>
      </c>
    </row>
    <row r="17" customFormat="false" ht="14.25" hidden="false" customHeight="true" outlineLevel="0" collapsed="false">
      <c r="A17" s="164" t="n">
        <v>2</v>
      </c>
      <c r="B17" s="161" t="s">
        <v>141</v>
      </c>
      <c r="C17" s="161" t="s">
        <v>45</v>
      </c>
      <c r="D17" s="161" t="s">
        <v>45</v>
      </c>
      <c r="E17" s="161" t="s">
        <v>32</v>
      </c>
      <c r="F17" s="145" t="n">
        <v>71675.5700000002</v>
      </c>
      <c r="G17" s="145" t="n">
        <v>136200.54</v>
      </c>
      <c r="H17" s="145" t="n">
        <v>60416.76</v>
      </c>
      <c r="I17" s="162" t="n">
        <f aca="false">IFERROR(H17/$H$19,"")</f>
        <v>0.236682955182067</v>
      </c>
      <c r="J17" s="162" t="n">
        <f aca="false">IFERROR(H17/G17-1,"")</f>
        <v>-0.556413212458629</v>
      </c>
      <c r="K17" s="145" t="n">
        <f aca="false">H17-G17</f>
        <v>-75783.78</v>
      </c>
      <c r="M17" s="145" t="n">
        <f aca="false">VLOOKUP(C17,'תקציב  '!$B:$S,13,0)*1</f>
        <v>1300521.18644068</v>
      </c>
      <c r="N17" s="162" t="n">
        <f aca="false">IFERROR(H17/M17-1,"")</f>
        <v>-0.953544193950926</v>
      </c>
      <c r="O17" s="145" t="n">
        <f aca="false">H17-M17</f>
        <v>-1240104.42644068</v>
      </c>
      <c r="Q17" s="147" t="n">
        <v>1159556.77966102</v>
      </c>
      <c r="R17" s="162" t="n">
        <f aca="false">IFERROR(G17/Q17-1,"-")</f>
        <v>-0.882540861828417</v>
      </c>
      <c r="S17" s="162" t="n">
        <f aca="false">IFERROR(G17/Q17,"-")</f>
        <v>0.117459138171583</v>
      </c>
      <c r="T17" s="147" t="n">
        <f aca="false">G17-Q17</f>
        <v>-1023356.23966102</v>
      </c>
      <c r="V17" s="145"/>
      <c r="W17" s="5" t="n">
        <f aca="false">H17-V17</f>
        <v>60416.76</v>
      </c>
      <c r="X17" s="163" t="str">
        <f aca="false">IFERROR((G17/V17)-1,"-")</f>
        <v>-</v>
      </c>
    </row>
    <row r="18" customFormat="false" ht="14.25" hidden="false" customHeight="true" outlineLevel="0" collapsed="false">
      <c r="A18" s="164" t="n">
        <v>12</v>
      </c>
      <c r="B18" s="161" t="s">
        <v>142</v>
      </c>
      <c r="C18" s="161" t="s">
        <v>46</v>
      </c>
      <c r="D18" s="161" t="s">
        <v>46</v>
      </c>
      <c r="E18" s="161" t="s">
        <v>32</v>
      </c>
      <c r="F18" s="145" t="n">
        <v>3795.33</v>
      </c>
      <c r="G18" s="145" t="n">
        <v>1762.26</v>
      </c>
      <c r="H18" s="145" t="n">
        <v>342.2</v>
      </c>
      <c r="I18" s="162" t="n">
        <f aca="false">IFERROR(H18/$H$19,"")</f>
        <v>0.00134057018720142</v>
      </c>
      <c r="J18" s="162" t="n">
        <f aca="false">IFERROR(H18/G18-1,"")</f>
        <v>-0.805817529762918</v>
      </c>
      <c r="K18" s="145" t="n">
        <f aca="false">H18-G18</f>
        <v>-1420.06</v>
      </c>
      <c r="M18" s="145" t="n">
        <f aca="false">VLOOKUP(C18,'תקציב  '!$B:$S,13,0)*1</f>
        <v>2536.92833333333</v>
      </c>
      <c r="N18" s="162" t="n">
        <f aca="false">IFERROR(H18/M18-1,"")</f>
        <v>-0.865112468687527</v>
      </c>
      <c r="O18" s="145" t="n">
        <f aca="false">H18-M18</f>
        <v>-2194.72833333333</v>
      </c>
      <c r="Q18" s="147" t="n">
        <v>5000</v>
      </c>
      <c r="R18" s="162" t="n">
        <f aca="false">IFERROR(G18/Q18-1,"-")</f>
        <v>-0.647548</v>
      </c>
      <c r="S18" s="162" t="n">
        <f aca="false">IFERROR(G18/Q18,"-")</f>
        <v>0.352452</v>
      </c>
      <c r="T18" s="147" t="n">
        <f aca="false">G18-Q18</f>
        <v>-3237.74</v>
      </c>
      <c r="V18" s="145"/>
      <c r="W18" s="5" t="n">
        <f aca="false">H18-V18</f>
        <v>342.2</v>
      </c>
      <c r="X18" s="163" t="str">
        <f aca="false">IFERROR((G18/V18)-1,"-")</f>
        <v>-</v>
      </c>
    </row>
    <row r="19" customFormat="false" ht="15" hidden="false" customHeight="true" outlineLevel="0" collapsed="false">
      <c r="A19" s="165"/>
      <c r="B19" s="178"/>
      <c r="C19" s="178" t="s">
        <v>48</v>
      </c>
      <c r="D19" s="178" t="s">
        <v>48</v>
      </c>
      <c r="E19" s="178"/>
      <c r="F19" s="172" t="n">
        <f aca="false">F16+F17+F18</f>
        <v>1098758.555</v>
      </c>
      <c r="G19" s="172" t="n">
        <f aca="false">G16+G17+G18</f>
        <v>1132929.38</v>
      </c>
      <c r="H19" s="172" t="n">
        <f aca="false">H16+H17+H18</f>
        <v>255264.516</v>
      </c>
      <c r="I19" s="173" t="n">
        <f aca="false">IFERROR(H19/$H$19,"")</f>
        <v>1</v>
      </c>
      <c r="J19" s="173" t="n">
        <f aca="false">IFERROR(H19/G19-1,"")</f>
        <v>-0.774686295098111</v>
      </c>
      <c r="K19" s="172" t="n">
        <f aca="false">K16+K17+K18</f>
        <v>-877664.864</v>
      </c>
      <c r="M19" s="172" t="n">
        <f aca="false">M16+M17+M18</f>
        <v>3047474.78144068</v>
      </c>
      <c r="N19" s="173" t="n">
        <f aca="false">IFERROR(H19/M19-1,"")</f>
        <v>-0.916237365587214</v>
      </c>
      <c r="O19" s="172" t="n">
        <f aca="false">O16+O17+O18</f>
        <v>-2792210.26544068</v>
      </c>
      <c r="Q19" s="172" t="n">
        <f aca="false">Q16+Q17+Q18</f>
        <v>2809556.77966102</v>
      </c>
      <c r="R19" s="173" t="n">
        <f aca="false">IFERROR(G19/Q19-1,"-")</f>
        <v>-0.596758681582263</v>
      </c>
      <c r="S19" s="173" t="n">
        <f aca="false">IFERROR(G19/Q19,"-")</f>
        <v>0.403241318417737</v>
      </c>
      <c r="T19" s="172" t="n">
        <f aca="false">G19-Q19</f>
        <v>-1676627.39966102</v>
      </c>
      <c r="U19" s="174"/>
      <c r="V19" s="172"/>
      <c r="W19" s="175" t="n">
        <f aca="false">H19-V19</f>
        <v>255264.516</v>
      </c>
      <c r="X19" s="176" t="str">
        <f aca="false">IFERROR((G19/V19)-1,"-")</f>
        <v>-</v>
      </c>
    </row>
    <row r="20" customFormat="false" ht="14.25" hidden="false" customHeight="true" outlineLevel="0" collapsed="false">
      <c r="A20" s="165" t="n">
        <v>50</v>
      </c>
      <c r="B20" s="167" t="s">
        <v>143</v>
      </c>
      <c r="C20" s="167" t="s">
        <v>49</v>
      </c>
      <c r="D20" s="167" t="s">
        <v>50</v>
      </c>
      <c r="E20" s="167" t="s">
        <v>51</v>
      </c>
      <c r="F20" s="145" t="n">
        <v>234970.3</v>
      </c>
      <c r="G20" s="145" t="n">
        <v>223589.21</v>
      </c>
      <c r="H20" s="145" t="n">
        <v>45504.03</v>
      </c>
      <c r="I20" s="162" t="n">
        <f aca="false">IFERROR(H20/$H$19,"")</f>
        <v>0.178262261880535</v>
      </c>
      <c r="J20" s="162" t="n">
        <f aca="false">IFERROR(H20/G20-1,"")</f>
        <v>-0.796483783810498</v>
      </c>
      <c r="K20" s="145" t="n">
        <f aca="false">H20-G20</f>
        <v>-178085.18</v>
      </c>
      <c r="M20" s="145" t="n">
        <f aca="false">VLOOKUP(C20,'תקציב  '!$B:$S,13,0)*1</f>
        <v>443955.5208</v>
      </c>
      <c r="N20" s="162" t="n">
        <f aca="false">IFERROR(H20/M20-1,"")</f>
        <v>-0.897503177980527</v>
      </c>
      <c r="O20" s="145" t="n">
        <f aca="false">H20-M20</f>
        <v>-398451.4908</v>
      </c>
      <c r="Q20" s="147" t="n">
        <v>321888.6</v>
      </c>
      <c r="R20" s="162" t="n">
        <f aca="false">IFERROR(G20/Q20-1,"-")</f>
        <v>-0.305383259922843</v>
      </c>
      <c r="S20" s="162" t="n">
        <f aca="false">IFERROR(G20/Q20,"-")</f>
        <v>0.694616740077157</v>
      </c>
      <c r="T20" s="147" t="n">
        <f aca="false">G20-Q20</f>
        <v>-98299.39</v>
      </c>
      <c r="V20" s="145"/>
      <c r="W20" s="5" t="n">
        <f aca="false">H20-V20</f>
        <v>45504.03</v>
      </c>
      <c r="X20" s="163" t="str">
        <f aca="false">IFERROR((G20/V20)-1,"-")</f>
        <v>-</v>
      </c>
    </row>
    <row r="21" customFormat="false" ht="14.25" hidden="false" customHeight="true" outlineLevel="0" collapsed="false">
      <c r="A21" s="165" t="n">
        <v>20</v>
      </c>
      <c r="B21" s="167" t="s">
        <v>144</v>
      </c>
      <c r="C21" s="167" t="s">
        <v>52</v>
      </c>
      <c r="D21" s="167" t="s">
        <v>53</v>
      </c>
      <c r="E21" s="167" t="s">
        <v>54</v>
      </c>
      <c r="F21" s="145" t="n">
        <v>0</v>
      </c>
      <c r="G21" s="145" t="n">
        <v>140125.45</v>
      </c>
      <c r="H21" s="145" t="n">
        <v>0</v>
      </c>
      <c r="I21" s="162" t="n">
        <f aca="false">IFERROR(H21/$H$19,"")</f>
        <v>0</v>
      </c>
      <c r="J21" s="162" t="n">
        <f aca="false">IFERROR(H21/G21-1,"")</f>
        <v>-1</v>
      </c>
      <c r="K21" s="145" t="n">
        <f aca="false">H21-G21</f>
        <v>-140125.45</v>
      </c>
      <c r="M21" s="145" t="n">
        <f aca="false">VLOOKUP(C21,'תקציב  '!$B:$S,13,0)*1</f>
        <v>156800</v>
      </c>
      <c r="N21" s="162" t="n">
        <f aca="false">IFERROR(H21/M21-1,"")</f>
        <v>-1</v>
      </c>
      <c r="O21" s="145" t="n">
        <f aca="false">H21-M21</f>
        <v>-156800</v>
      </c>
      <c r="Q21" s="147" t="n">
        <v>300000</v>
      </c>
      <c r="R21" s="162" t="n">
        <f aca="false">IFERROR(G21/Q21-1,"-")</f>
        <v>-0.532915166666667</v>
      </c>
      <c r="S21" s="162" t="n">
        <f aca="false">IFERROR(G21/Q21,"-")</f>
        <v>0.467084833333333</v>
      </c>
      <c r="T21" s="147" t="n">
        <f aca="false">G21-Q21</f>
        <v>-159874.55</v>
      </c>
      <c r="V21" s="145"/>
      <c r="W21" s="5" t="n">
        <f aca="false">H21-V21</f>
        <v>0</v>
      </c>
      <c r="X21" s="163" t="str">
        <f aca="false">IFERROR((G21/V21)-1,"-")</f>
        <v>-</v>
      </c>
    </row>
    <row r="22" customFormat="false" ht="14.25" hidden="false" customHeight="true" outlineLevel="0" collapsed="false">
      <c r="A22" s="165" t="n">
        <v>21</v>
      </c>
      <c r="B22" s="167" t="s">
        <v>145</v>
      </c>
      <c r="C22" s="167" t="s">
        <v>55</v>
      </c>
      <c r="D22" s="167" t="s">
        <v>56</v>
      </c>
      <c r="E22" s="167" t="s">
        <v>57</v>
      </c>
      <c r="F22" s="145" t="n">
        <v>92018.45</v>
      </c>
      <c r="G22" s="145" t="n">
        <v>596.73</v>
      </c>
      <c r="H22" s="145" t="n">
        <v>0</v>
      </c>
      <c r="I22" s="162" t="n">
        <f aca="false">IFERROR(H22/$H$19,"")</f>
        <v>0</v>
      </c>
      <c r="J22" s="162" t="n">
        <f aca="false">IFERROR(H22/G22-1,"")</f>
        <v>-1</v>
      </c>
      <c r="K22" s="145" t="n">
        <f aca="false">H22-G22</f>
        <v>-596.73</v>
      </c>
      <c r="M22" s="145" t="n">
        <f aca="false">VLOOKUP(C22,'תקציב  '!$B:$S,13,0)*1</f>
        <v>0</v>
      </c>
      <c r="N22" s="162" t="str">
        <f aca="false">IFERROR(H22/M22-1,"")</f>
        <v/>
      </c>
      <c r="O22" s="145" t="n">
        <f aca="false">H22-M22</f>
        <v>0</v>
      </c>
      <c r="Q22" s="147" t="n">
        <v>0</v>
      </c>
      <c r="R22" s="162" t="str">
        <f aca="false">IFERROR(G22/Q22-1,"-")</f>
        <v>-</v>
      </c>
      <c r="S22" s="162" t="str">
        <f aca="false">IFERROR(G22/Q22,"-")</f>
        <v>-</v>
      </c>
      <c r="T22" s="147" t="n">
        <f aca="false">G22-Q22</f>
        <v>596.73</v>
      </c>
      <c r="V22" s="145"/>
      <c r="W22" s="5" t="n">
        <f aca="false">H22-V22</f>
        <v>0</v>
      </c>
      <c r="X22" s="163" t="str">
        <f aca="false">IFERROR((G22/V22)-1,"-")</f>
        <v>-</v>
      </c>
    </row>
    <row r="23" customFormat="false" ht="14.25" hidden="false" customHeight="true" outlineLevel="0" collapsed="false">
      <c r="A23" s="165" t="n">
        <v>22</v>
      </c>
      <c r="B23" s="167" t="s">
        <v>146</v>
      </c>
      <c r="C23" s="167" t="s">
        <v>58</v>
      </c>
      <c r="D23" s="167" t="s">
        <v>59</v>
      </c>
      <c r="E23" s="167" t="s">
        <v>60</v>
      </c>
      <c r="F23" s="145" t="n">
        <v>86858.25</v>
      </c>
      <c r="G23" s="145" t="n">
        <v>0</v>
      </c>
      <c r="H23" s="145" t="n">
        <v>0</v>
      </c>
      <c r="I23" s="162" t="n">
        <f aca="false">IFERROR(H23/$H$19,"")</f>
        <v>0</v>
      </c>
      <c r="J23" s="162" t="str">
        <f aca="false">IFERROR(H23/G23-1,"")</f>
        <v/>
      </c>
      <c r="K23" s="145" t="n">
        <f aca="false">H23-G23</f>
        <v>0</v>
      </c>
      <c r="M23" s="145" t="n">
        <f aca="false">VLOOKUP(C23,'תקציב  '!$B:$S,13,0)*1</f>
        <v>0</v>
      </c>
      <c r="N23" s="162" t="str">
        <f aca="false">IFERROR(H23/M23-1,"")</f>
        <v/>
      </c>
      <c r="O23" s="145" t="n">
        <f aca="false">H23-M23</f>
        <v>0</v>
      </c>
      <c r="Q23" s="147" t="n">
        <v>0</v>
      </c>
      <c r="R23" s="162" t="str">
        <f aca="false">IFERROR(G23/Q23-1,"-")</f>
        <v>-</v>
      </c>
      <c r="S23" s="162" t="str">
        <f aca="false">IFERROR(G23/Q23,"-")</f>
        <v>-</v>
      </c>
      <c r="T23" s="147" t="n">
        <f aca="false">G23-Q23</f>
        <v>0</v>
      </c>
      <c r="V23" s="145"/>
      <c r="W23" s="5" t="n">
        <f aca="false">H23-V23</f>
        <v>0</v>
      </c>
      <c r="X23" s="163" t="str">
        <f aca="false">IFERROR((G23/V23)-1,"-")</f>
        <v>-</v>
      </c>
    </row>
    <row r="24" customFormat="false" ht="14.25" hidden="false" customHeight="true" outlineLevel="0" collapsed="false">
      <c r="A24" s="165" t="n">
        <v>23</v>
      </c>
      <c r="B24" s="167" t="s">
        <v>147</v>
      </c>
      <c r="C24" s="167" t="s">
        <v>61</v>
      </c>
      <c r="D24" s="167" t="s">
        <v>62</v>
      </c>
      <c r="E24" s="167" t="s">
        <v>63</v>
      </c>
      <c r="F24" s="145" t="n">
        <v>0</v>
      </c>
      <c r="G24" s="145" t="n">
        <v>15474.02</v>
      </c>
      <c r="H24" s="145" t="n">
        <v>0</v>
      </c>
      <c r="I24" s="162" t="n">
        <f aca="false">IFERROR(H24/$H$19,"")</f>
        <v>0</v>
      </c>
      <c r="J24" s="162" t="n">
        <f aca="false">IFERROR(H24/G24-1,"")</f>
        <v>-1</v>
      </c>
      <c r="K24" s="145" t="n">
        <f aca="false">H24-G24</f>
        <v>-15474.02</v>
      </c>
      <c r="M24" s="145" t="n">
        <f aca="false">VLOOKUP(C24,'תקציב  '!$B:$S,13,0)*1</f>
        <v>9225</v>
      </c>
      <c r="N24" s="162" t="n">
        <f aca="false">IFERROR(H24/M24-1,"")</f>
        <v>-1</v>
      </c>
      <c r="O24" s="145" t="n">
        <f aca="false">H24-M24</f>
        <v>-9225</v>
      </c>
      <c r="Q24" s="147" t="n">
        <v>0</v>
      </c>
      <c r="R24" s="162" t="str">
        <f aca="false">IFERROR(G24/Q24-1,"-")</f>
        <v>-</v>
      </c>
      <c r="S24" s="162" t="str">
        <f aca="false">IFERROR(G24/Q24,"-")</f>
        <v>-</v>
      </c>
      <c r="T24" s="147" t="n">
        <f aca="false">G24-Q24</f>
        <v>15474.02</v>
      </c>
      <c r="V24" s="145"/>
      <c r="W24" s="5" t="n">
        <f aca="false">H24-V24</f>
        <v>0</v>
      </c>
      <c r="X24" s="163" t="str">
        <f aca="false">IFERROR((G24/V24)-1,"-")</f>
        <v>-</v>
      </c>
    </row>
    <row r="25" customFormat="false" ht="14.25" hidden="false" customHeight="true" outlineLevel="0" collapsed="false">
      <c r="A25" s="165" t="n">
        <v>24</v>
      </c>
      <c r="B25" s="167" t="s">
        <v>148</v>
      </c>
      <c r="C25" s="167" t="s">
        <v>64</v>
      </c>
      <c r="D25" s="167" t="s">
        <v>65</v>
      </c>
      <c r="E25" s="167" t="s">
        <v>66</v>
      </c>
      <c r="F25" s="145" t="n">
        <v>0</v>
      </c>
      <c r="G25" s="145" t="n">
        <v>0</v>
      </c>
      <c r="H25" s="145" t="n">
        <v>0</v>
      </c>
      <c r="I25" s="162" t="n">
        <f aca="false">IFERROR(H25/$H$19,"")</f>
        <v>0</v>
      </c>
      <c r="J25" s="162" t="str">
        <f aca="false">IFERROR(H25/G25-1,"")</f>
        <v/>
      </c>
      <c r="K25" s="145" t="n">
        <f aca="false">H25-G25</f>
        <v>0</v>
      </c>
      <c r="M25" s="145" t="n">
        <f aca="false">VLOOKUP(C25,'תקציב  '!$B:$S,13,0)*1</f>
        <v>5000</v>
      </c>
      <c r="N25" s="162" t="n">
        <f aca="false">IFERROR(H25/M25-1,"")</f>
        <v>-1</v>
      </c>
      <c r="O25" s="145" t="n">
        <f aca="false">H25-M25</f>
        <v>-5000</v>
      </c>
      <c r="Q25" s="147" t="n">
        <v>0</v>
      </c>
      <c r="R25" s="162" t="str">
        <f aca="false">IFERROR(G25/Q25-1,"-")</f>
        <v>-</v>
      </c>
      <c r="S25" s="162" t="str">
        <f aca="false">IFERROR(G25/Q25,"-")</f>
        <v>-</v>
      </c>
      <c r="T25" s="147" t="n">
        <f aca="false">G25-Q25</f>
        <v>0</v>
      </c>
      <c r="V25" s="145"/>
      <c r="W25" s="5" t="n">
        <f aca="false">H25-V25</f>
        <v>0</v>
      </c>
      <c r="X25" s="163" t="str">
        <f aca="false">IFERROR((G25/V25)-1,"-")</f>
        <v>-</v>
      </c>
    </row>
    <row r="26" customFormat="false" ht="13.5" hidden="false" customHeight="true" outlineLevel="0" collapsed="false">
      <c r="A26" s="165" t="n">
        <v>25</v>
      </c>
      <c r="B26" s="167" t="s">
        <v>149</v>
      </c>
      <c r="C26" s="167" t="s">
        <v>67</v>
      </c>
      <c r="D26" s="167" t="s">
        <v>68</v>
      </c>
      <c r="E26" s="167" t="s">
        <v>69</v>
      </c>
      <c r="F26" s="145" t="n">
        <v>0</v>
      </c>
      <c r="G26" s="145" t="n">
        <v>0</v>
      </c>
      <c r="H26" s="145" t="n">
        <v>0</v>
      </c>
      <c r="I26" s="162" t="n">
        <f aca="false">IFERROR(H26/$H$19,"")</f>
        <v>0</v>
      </c>
      <c r="J26" s="162" t="str">
        <f aca="false">IFERROR(H26/G26-1,"")</f>
        <v/>
      </c>
      <c r="K26" s="145" t="n">
        <f aca="false">H26-G26</f>
        <v>0</v>
      </c>
      <c r="M26" s="145" t="n">
        <f aca="false">VLOOKUP(C26,'תקציב  '!$B:$S,13,0)*1</f>
        <v>0</v>
      </c>
      <c r="N26" s="162" t="str">
        <f aca="false">IFERROR(H26/M26-1,"")</f>
        <v/>
      </c>
      <c r="O26" s="145" t="n">
        <f aca="false">H26-M26</f>
        <v>0</v>
      </c>
      <c r="Q26" s="147" t="n">
        <v>0</v>
      </c>
      <c r="R26" s="162" t="str">
        <f aca="false">IFERROR(G26/Q26-1,"-")</f>
        <v>-</v>
      </c>
      <c r="S26" s="162" t="str">
        <f aca="false">IFERROR(G26/Q26,"-")</f>
        <v>-</v>
      </c>
      <c r="T26" s="147" t="n">
        <f aca="false">G26-Q26</f>
        <v>0</v>
      </c>
      <c r="V26" s="145"/>
      <c r="W26" s="5" t="n">
        <f aca="false">H26-V26</f>
        <v>0</v>
      </c>
      <c r="X26" s="163" t="str">
        <f aca="false">IFERROR((G26/V26)-1,"-")</f>
        <v>-</v>
      </c>
    </row>
    <row r="27" customFormat="false" ht="14.25" hidden="false" customHeight="true" outlineLevel="0" collapsed="false">
      <c r="A27" s="165" t="n">
        <v>26</v>
      </c>
      <c r="B27" s="167" t="s">
        <v>150</v>
      </c>
      <c r="C27" s="167" t="s">
        <v>70</v>
      </c>
      <c r="D27" s="167" t="s">
        <v>71</v>
      </c>
      <c r="E27" s="167" t="s">
        <v>72</v>
      </c>
      <c r="F27" s="145" t="n">
        <v>20724.08</v>
      </c>
      <c r="G27" s="145" t="n">
        <v>20604.23</v>
      </c>
      <c r="H27" s="145" t="n">
        <v>23809.14</v>
      </c>
      <c r="I27" s="162" t="n">
        <f aca="false">IFERROR(H27/$H$19,"")</f>
        <v>0.0932724233398738</v>
      </c>
      <c r="J27" s="162" t="n">
        <f aca="false">IFERROR(H27/G27-1,"")</f>
        <v>0.155546215510116</v>
      </c>
      <c r="K27" s="145" t="n">
        <f aca="false">H27-G27</f>
        <v>3204.91</v>
      </c>
      <c r="M27" s="145" t="n">
        <f aca="false">VLOOKUP(C27,'תקציב  '!$B:$S,13,0)*1</f>
        <v>0</v>
      </c>
      <c r="N27" s="162" t="str">
        <f aca="false">IFERROR(H27/M27-1,"")</f>
        <v/>
      </c>
      <c r="O27" s="145" t="n">
        <f aca="false">H27-M27</f>
        <v>23809.14</v>
      </c>
      <c r="Q27" s="147" t="n">
        <v>0</v>
      </c>
      <c r="R27" s="162" t="str">
        <f aca="false">IFERROR(G27/Q27-1,"-")</f>
        <v>-</v>
      </c>
      <c r="S27" s="162" t="str">
        <f aca="false">IFERROR(G27/Q27,"-")</f>
        <v>-</v>
      </c>
      <c r="T27" s="147" t="n">
        <f aca="false">G27-Q27</f>
        <v>20604.23</v>
      </c>
      <c r="V27" s="145"/>
      <c r="W27" s="5" t="n">
        <f aca="false">H27-V27</f>
        <v>23809.14</v>
      </c>
      <c r="X27" s="163" t="str">
        <f aca="false">IFERROR((G27/V27)-1,"-")</f>
        <v>-</v>
      </c>
    </row>
    <row r="28" customFormat="false" ht="13.5" hidden="false" customHeight="true" outlineLevel="0" collapsed="false">
      <c r="A28" s="165" t="n">
        <v>27</v>
      </c>
      <c r="B28" s="167" t="s">
        <v>151</v>
      </c>
      <c r="C28" s="167" t="s">
        <v>73</v>
      </c>
      <c r="D28" s="167" t="s">
        <v>74</v>
      </c>
      <c r="E28" s="167" t="s">
        <v>75</v>
      </c>
      <c r="F28" s="145" t="n">
        <v>0</v>
      </c>
      <c r="G28" s="145" t="n">
        <v>0</v>
      </c>
      <c r="H28" s="145" t="n">
        <v>0</v>
      </c>
      <c r="I28" s="162" t="n">
        <f aca="false">IFERROR(H28/$H$19,"")</f>
        <v>0</v>
      </c>
      <c r="J28" s="162" t="str">
        <f aca="false">IFERROR(H28/G28-1,"")</f>
        <v/>
      </c>
      <c r="K28" s="145" t="n">
        <f aca="false">H28-G28</f>
        <v>0</v>
      </c>
      <c r="M28" s="145" t="n">
        <f aca="false">VLOOKUP(C28,'תקציב  '!$B:$S,13,0)*1</f>
        <v>0</v>
      </c>
      <c r="N28" s="162" t="str">
        <f aca="false">IFERROR(H28/M28-1,"")</f>
        <v/>
      </c>
      <c r="O28" s="145" t="n">
        <f aca="false">H28-M28</f>
        <v>0</v>
      </c>
      <c r="Q28" s="147" t="n">
        <v>100000</v>
      </c>
      <c r="R28" s="162" t="n">
        <f aca="false">IFERROR(G28/Q28-1,"-")</f>
        <v>-1</v>
      </c>
      <c r="S28" s="162" t="n">
        <f aca="false">IFERROR(G28/Q28,"-")</f>
        <v>0</v>
      </c>
      <c r="T28" s="147" t="n">
        <f aca="false">G28-Q28</f>
        <v>-100000</v>
      </c>
      <c r="V28" s="145"/>
      <c r="W28" s="5" t="n">
        <f aca="false">H28-V28</f>
        <v>0</v>
      </c>
      <c r="X28" s="163" t="str">
        <f aca="false">IFERROR((G28/V28)-1,"-")</f>
        <v>-</v>
      </c>
    </row>
    <row r="29" customFormat="false" ht="13.5" hidden="false" customHeight="true" outlineLevel="0" collapsed="false">
      <c r="A29" s="165" t="n">
        <v>28</v>
      </c>
      <c r="B29" s="167" t="s">
        <v>152</v>
      </c>
      <c r="C29" s="167" t="s">
        <v>76</v>
      </c>
      <c r="D29" s="167" t="s">
        <v>77</v>
      </c>
      <c r="E29" s="167" t="s">
        <v>78</v>
      </c>
      <c r="F29" s="145" t="n">
        <v>0</v>
      </c>
      <c r="G29" s="145" t="n">
        <v>36333.04</v>
      </c>
      <c r="H29" s="145" t="n">
        <v>0</v>
      </c>
      <c r="I29" s="162" t="n">
        <f aca="false">IFERROR(H29/$H$19,"")</f>
        <v>0</v>
      </c>
      <c r="J29" s="162" t="n">
        <f aca="false">IFERROR(H29/G29-1,"")</f>
        <v>-1</v>
      </c>
      <c r="K29" s="145" t="n">
        <f aca="false">H29-G29</f>
        <v>-36333.04</v>
      </c>
      <c r="M29" s="145" t="n">
        <f aca="false">VLOOKUP(C29,'תקציב  '!$B:$S,13,0)*1</f>
        <v>39765.076</v>
      </c>
      <c r="N29" s="162" t="n">
        <f aca="false">IFERROR(H29/M29-1,"")</f>
        <v>-1</v>
      </c>
      <c r="O29" s="145" t="n">
        <f aca="false">H29-M29</f>
        <v>-39765.076</v>
      </c>
      <c r="Q29" s="147" t="n">
        <v>20000</v>
      </c>
      <c r="R29" s="162" t="n">
        <f aca="false">IFERROR(G29/Q29-1,"-")</f>
        <v>0.816652</v>
      </c>
      <c r="S29" s="162" t="n">
        <f aca="false">IFERROR(G29/Q29,"-")</f>
        <v>1.816652</v>
      </c>
      <c r="T29" s="147" t="n">
        <f aca="false">G29-Q29</f>
        <v>16333.04</v>
      </c>
      <c r="V29" s="145"/>
      <c r="W29" s="5" t="n">
        <f aca="false">H29-V29</f>
        <v>0</v>
      </c>
      <c r="X29" s="163" t="str">
        <f aca="false">IFERROR((G29/V29)-1,"-")</f>
        <v>-</v>
      </c>
    </row>
    <row r="30" customFormat="false" ht="14.25" hidden="false" customHeight="true" outlineLevel="0" collapsed="false">
      <c r="A30" s="165" t="n">
        <v>29</v>
      </c>
      <c r="B30" s="167" t="s">
        <v>153</v>
      </c>
      <c r="C30" s="167" t="s">
        <v>79</v>
      </c>
      <c r="D30" s="167" t="s">
        <v>80</v>
      </c>
      <c r="E30" s="167" t="s">
        <v>81</v>
      </c>
      <c r="F30" s="145" t="n">
        <v>3920.16</v>
      </c>
      <c r="G30" s="145" t="n">
        <v>0</v>
      </c>
      <c r="H30" s="145" t="n">
        <v>0</v>
      </c>
      <c r="I30" s="162" t="n">
        <f aca="false">IFERROR(H30/$H$19,"")</f>
        <v>0</v>
      </c>
      <c r="J30" s="162" t="str">
        <f aca="false">IFERROR(H30/G30-1,"")</f>
        <v/>
      </c>
      <c r="K30" s="145" t="n">
        <f aca="false">H30-G30</f>
        <v>0</v>
      </c>
      <c r="M30" s="145" t="n">
        <f aca="false">VLOOKUP(C30,'תקציב  '!$B:$S,13,0)*1</f>
        <v>35000</v>
      </c>
      <c r="N30" s="162" t="n">
        <f aca="false">IFERROR(H30/M30-1,"")</f>
        <v>-1</v>
      </c>
      <c r="O30" s="145" t="n">
        <f aca="false">H30-M30</f>
        <v>-35000</v>
      </c>
      <c r="Q30" s="147" t="n">
        <v>30000</v>
      </c>
      <c r="R30" s="162" t="n">
        <f aca="false">IFERROR(G30/Q30-1,"-")</f>
        <v>-1</v>
      </c>
      <c r="S30" s="162" t="n">
        <f aca="false">IFERROR(G30/Q30,"-")</f>
        <v>0</v>
      </c>
      <c r="T30" s="147" t="n">
        <f aca="false">G30-Q30</f>
        <v>-30000</v>
      </c>
      <c r="V30" s="145"/>
      <c r="W30" s="5" t="n">
        <f aca="false">H30-V30</f>
        <v>0</v>
      </c>
      <c r="X30" s="163" t="str">
        <f aca="false">IFERROR((G30/V30)-1,"-")</f>
        <v>-</v>
      </c>
    </row>
    <row r="31" customFormat="false" ht="14.25" hidden="false" customHeight="true" outlineLevel="0" collapsed="false">
      <c r="A31" s="165" t="n">
        <v>30</v>
      </c>
      <c r="B31" s="167" t="s">
        <v>154</v>
      </c>
      <c r="C31" s="167" t="s">
        <v>82</v>
      </c>
      <c r="D31" s="167" t="s">
        <v>83</v>
      </c>
      <c r="E31" s="167" t="s">
        <v>81</v>
      </c>
      <c r="F31" s="145" t="n">
        <v>0</v>
      </c>
      <c r="G31" s="145" t="n">
        <v>22174.82</v>
      </c>
      <c r="H31" s="145" t="n">
        <v>0</v>
      </c>
      <c r="I31" s="162" t="n">
        <f aca="false">IFERROR(H31/$H$19,"")</f>
        <v>0</v>
      </c>
      <c r="J31" s="162" t="n">
        <f aca="false">IFERROR(H31/G31-1,"")</f>
        <v>-1</v>
      </c>
      <c r="K31" s="145" t="n">
        <f aca="false">H31-G31</f>
        <v>-22174.82</v>
      </c>
      <c r="M31" s="145" t="n">
        <f aca="false">VLOOKUP(C31,'תקציב  '!$B:$S,13,0)*1</f>
        <v>0</v>
      </c>
      <c r="N31" s="162" t="str">
        <f aca="false">IFERROR(H31/M31-1,"")</f>
        <v/>
      </c>
      <c r="O31" s="145" t="n">
        <f aca="false">H31-M31</f>
        <v>0</v>
      </c>
      <c r="Q31" s="147" t="n">
        <v>0</v>
      </c>
      <c r="R31" s="162" t="str">
        <f aca="false">IFERROR(G31/Q31-1,"-")</f>
        <v>-</v>
      </c>
      <c r="S31" s="162" t="str">
        <f aca="false">IFERROR(G31/Q31,"-")</f>
        <v>-</v>
      </c>
      <c r="T31" s="147" t="n">
        <f aca="false">G31-Q31</f>
        <v>22174.82</v>
      </c>
      <c r="V31" s="145"/>
      <c r="W31" s="5" t="n">
        <f aca="false">H31-V31</f>
        <v>0</v>
      </c>
      <c r="X31" s="163" t="str">
        <f aca="false">IFERROR((G31/V31)-1,"-")</f>
        <v>-</v>
      </c>
    </row>
    <row r="32" customFormat="false" ht="13.5" hidden="false" customHeight="true" outlineLevel="0" collapsed="false">
      <c r="A32" s="165" t="n">
        <v>31</v>
      </c>
      <c r="B32" s="167" t="s">
        <v>84</v>
      </c>
      <c r="C32" s="167" t="s">
        <v>84</v>
      </c>
      <c r="D32" s="167" t="s">
        <v>85</v>
      </c>
      <c r="E32" s="167" t="s">
        <v>86</v>
      </c>
      <c r="F32" s="145" t="n">
        <v>0</v>
      </c>
      <c r="G32" s="145" t="n">
        <v>0</v>
      </c>
      <c r="H32" s="145" t="n">
        <v>0</v>
      </c>
      <c r="I32" s="162" t="n">
        <f aca="false">IFERROR(H32/$H$19,"")</f>
        <v>0</v>
      </c>
      <c r="J32" s="162" t="str">
        <f aca="false">IFERROR(H32/G32-1,"")</f>
        <v/>
      </c>
      <c r="K32" s="145" t="n">
        <f aca="false">H32-G32</f>
        <v>0</v>
      </c>
      <c r="M32" s="145" t="n">
        <f aca="false">VLOOKUP(C32,'תקציב  '!$B:$S,13,0)*1</f>
        <v>0</v>
      </c>
      <c r="N32" s="162" t="str">
        <f aca="false">IFERROR(H32/M32-1,"")</f>
        <v/>
      </c>
      <c r="O32" s="145" t="n">
        <f aca="false">H32-M32</f>
        <v>0</v>
      </c>
      <c r="Q32" s="147" t="n">
        <v>0</v>
      </c>
      <c r="R32" s="162" t="str">
        <f aca="false">IFERROR(G32/Q32-1,"-")</f>
        <v>-</v>
      </c>
      <c r="S32" s="162" t="str">
        <f aca="false">IFERROR(G32/Q32,"-")</f>
        <v>-</v>
      </c>
      <c r="T32" s="147" t="n">
        <f aca="false">G32-Q32</f>
        <v>0</v>
      </c>
      <c r="V32" s="145"/>
      <c r="W32" s="5" t="n">
        <f aca="false">H32-V32</f>
        <v>0</v>
      </c>
      <c r="X32" s="163" t="str">
        <f aca="false">IFERROR((G32/V32)-1,"-")</f>
        <v>-</v>
      </c>
    </row>
    <row r="33" customFormat="false" ht="13.5" hidden="false" customHeight="true" outlineLevel="0" collapsed="false">
      <c r="A33" s="165"/>
      <c r="B33" s="167"/>
      <c r="C33" s="167"/>
      <c r="D33" s="167" t="s">
        <v>155</v>
      </c>
      <c r="E33" s="167" t="s">
        <v>156</v>
      </c>
      <c r="F33" s="145"/>
      <c r="G33" s="145"/>
      <c r="H33" s="145" t="n">
        <v>0</v>
      </c>
      <c r="I33" s="162" t="n">
        <f aca="false">IFERROR(H33/$H$19,"")</f>
        <v>0</v>
      </c>
      <c r="J33" s="162" t="str">
        <f aca="false">IFERROR(H33/G33-1,"")</f>
        <v/>
      </c>
      <c r="K33" s="145" t="n">
        <f aca="false">H33-G33</f>
        <v>0</v>
      </c>
      <c r="M33" s="145"/>
      <c r="N33" s="162" t="str">
        <f aca="false">IFERROR(H33/M33-1,"")</f>
        <v/>
      </c>
      <c r="O33" s="145" t="n">
        <f aca="false">H33-M33</f>
        <v>0</v>
      </c>
      <c r="Q33" s="147" t="n">
        <v>0</v>
      </c>
      <c r="R33" s="162" t="str">
        <f aca="false">IFERROR(G33/Q33-1,"-")</f>
        <v>-</v>
      </c>
      <c r="S33" s="162" t="str">
        <f aca="false">IFERROR(G33/Q33,"-")</f>
        <v>-</v>
      </c>
      <c r="T33" s="147" t="n">
        <f aca="false">G33-Q33</f>
        <v>0</v>
      </c>
      <c r="V33" s="145"/>
      <c r="W33" s="5" t="n">
        <f aca="false">H33-V33</f>
        <v>0</v>
      </c>
      <c r="X33" s="163" t="str">
        <f aca="false">IFERROR((G33/V33)-1,"-")</f>
        <v>-</v>
      </c>
    </row>
    <row r="34" customFormat="false" ht="13.5" hidden="false" customHeight="true" outlineLevel="0" collapsed="false">
      <c r="A34" s="165" t="n">
        <v>32</v>
      </c>
      <c r="B34" s="167" t="s">
        <v>157</v>
      </c>
      <c r="C34" s="167" t="s">
        <v>87</v>
      </c>
      <c r="D34" s="167" t="s">
        <v>88</v>
      </c>
      <c r="E34" s="167" t="s">
        <v>89</v>
      </c>
      <c r="F34" s="145" t="n">
        <v>0</v>
      </c>
      <c r="G34" s="145" t="n">
        <v>0</v>
      </c>
      <c r="H34" s="145" t="n">
        <v>0</v>
      </c>
      <c r="I34" s="162" t="n">
        <f aca="false">IFERROR(H34/$H$19,"")</f>
        <v>0</v>
      </c>
      <c r="J34" s="162" t="str">
        <f aca="false">IFERROR(H34/G34-1,"")</f>
        <v/>
      </c>
      <c r="K34" s="145" t="n">
        <f aca="false">H34-G34</f>
        <v>0</v>
      </c>
      <c r="M34" s="145" t="n">
        <f aca="false">VLOOKUP(C34,'תקציב  '!$B:$S,13,0)*1</f>
        <v>0</v>
      </c>
      <c r="N34" s="162" t="str">
        <f aca="false">IFERROR(H34/M34-1,"")</f>
        <v/>
      </c>
      <c r="O34" s="145" t="n">
        <f aca="false">H34-M34</f>
        <v>0</v>
      </c>
      <c r="Q34" s="147" t="n">
        <v>0</v>
      </c>
      <c r="R34" s="162" t="str">
        <f aca="false">IFERROR(G34/Q34-1,"-")</f>
        <v>-</v>
      </c>
      <c r="S34" s="162" t="str">
        <f aca="false">IFERROR(G34/Q34,"-")</f>
        <v>-</v>
      </c>
      <c r="T34" s="147" t="n">
        <f aca="false">G34-Q34</f>
        <v>0</v>
      </c>
      <c r="V34" s="145"/>
      <c r="W34" s="5" t="n">
        <f aca="false">H34-V34</f>
        <v>0</v>
      </c>
      <c r="X34" s="163" t="str">
        <f aca="false">IFERROR((G34/V34)-1,"-")</f>
        <v>-</v>
      </c>
    </row>
    <row r="35" customFormat="false" ht="13.5" hidden="false" customHeight="true" outlineLevel="0" collapsed="false">
      <c r="A35" s="165" t="n">
        <v>33</v>
      </c>
      <c r="B35" s="167" t="s">
        <v>158</v>
      </c>
      <c r="C35" s="167" t="s">
        <v>90</v>
      </c>
      <c r="D35" s="167" t="s">
        <v>91</v>
      </c>
      <c r="E35" s="167" t="s">
        <v>92</v>
      </c>
      <c r="F35" s="145" t="n">
        <v>0</v>
      </c>
      <c r="G35" s="145" t="n">
        <v>0</v>
      </c>
      <c r="H35" s="145" t="n">
        <v>0</v>
      </c>
      <c r="I35" s="162" t="n">
        <f aca="false">IFERROR(H35/$H$19,"")</f>
        <v>0</v>
      </c>
      <c r="J35" s="162" t="str">
        <f aca="false">IFERROR(H35/G35-1,"")</f>
        <v/>
      </c>
      <c r="K35" s="145" t="n">
        <f aca="false">H35-G35</f>
        <v>0</v>
      </c>
      <c r="M35" s="145" t="n">
        <f aca="false">VLOOKUP(C35,'תקציב  '!$B:$S,13,0)*1</f>
        <v>0</v>
      </c>
      <c r="N35" s="162" t="str">
        <f aca="false">IFERROR(H35/M35-1,"")</f>
        <v/>
      </c>
      <c r="O35" s="145" t="n">
        <f aca="false">H35-M35</f>
        <v>0</v>
      </c>
      <c r="Q35" s="147" t="n">
        <v>0</v>
      </c>
      <c r="R35" s="162" t="str">
        <f aca="false">IFERROR(G35/Q35-1,"-")</f>
        <v>-</v>
      </c>
      <c r="S35" s="162" t="str">
        <f aca="false">IFERROR(G35/Q35,"-")</f>
        <v>-</v>
      </c>
      <c r="T35" s="147" t="n">
        <f aca="false">G35-Q35</f>
        <v>0</v>
      </c>
      <c r="V35" s="145"/>
      <c r="W35" s="5" t="n">
        <f aca="false">H35-V35</f>
        <v>0</v>
      </c>
      <c r="X35" s="163" t="str">
        <f aca="false">IFERROR((G35/V35)-1,"-")</f>
        <v>-</v>
      </c>
    </row>
    <row r="36" customFormat="false" ht="14.25" hidden="false" customHeight="true" outlineLevel="0" collapsed="false">
      <c r="A36" s="165"/>
      <c r="B36" s="167" t="s">
        <v>159</v>
      </c>
      <c r="C36" s="167" t="s">
        <v>159</v>
      </c>
      <c r="D36" s="167" t="s">
        <v>160</v>
      </c>
      <c r="E36" s="167" t="s">
        <v>78</v>
      </c>
      <c r="F36" s="145" t="n">
        <v>0</v>
      </c>
      <c r="G36" s="145" t="n">
        <v>0</v>
      </c>
      <c r="H36" s="145" t="n">
        <v>0</v>
      </c>
      <c r="I36" s="162" t="n">
        <f aca="false">IFERROR(H36/$H$19,"")</f>
        <v>0</v>
      </c>
      <c r="J36" s="162" t="str">
        <f aca="false">IFERROR(H36/G36-1,"")</f>
        <v/>
      </c>
      <c r="K36" s="145" t="n">
        <f aca="false">H36-G36</f>
        <v>0</v>
      </c>
      <c r="M36" s="145"/>
      <c r="N36" s="162" t="str">
        <f aca="false">IFERROR(H36/M36-1,"")</f>
        <v/>
      </c>
      <c r="O36" s="145" t="n">
        <f aca="false">H36-M36</f>
        <v>0</v>
      </c>
      <c r="Q36" s="147" t="n">
        <v>0</v>
      </c>
      <c r="R36" s="162" t="str">
        <f aca="false">IFERROR(G36/Q36-1,"-")</f>
        <v>-</v>
      </c>
      <c r="S36" s="162" t="str">
        <f aca="false">IFERROR(G36/Q36,"-")</f>
        <v>-</v>
      </c>
      <c r="T36" s="147" t="n">
        <f aca="false">G36-Q36</f>
        <v>0</v>
      </c>
      <c r="V36" s="145"/>
      <c r="W36" s="5" t="n">
        <f aca="false">H36-V36</f>
        <v>0</v>
      </c>
      <c r="X36" s="163" t="str">
        <f aca="false">IFERROR((G36/V36)-1,"-")</f>
        <v>-</v>
      </c>
    </row>
    <row r="37" customFormat="false" ht="14.25" hidden="false" customHeight="true" outlineLevel="0" collapsed="false">
      <c r="A37" s="165" t="n">
        <v>34</v>
      </c>
      <c r="B37" s="167" t="s">
        <v>161</v>
      </c>
      <c r="C37" s="167" t="s">
        <v>161</v>
      </c>
      <c r="D37" s="167" t="s">
        <v>93</v>
      </c>
      <c r="E37" s="167" t="s">
        <v>162</v>
      </c>
      <c r="F37" s="145" t="n">
        <v>0</v>
      </c>
      <c r="G37" s="145" t="n">
        <v>0</v>
      </c>
      <c r="H37" s="145" t="n">
        <v>0</v>
      </c>
      <c r="I37" s="162" t="n">
        <f aca="false">IFERROR(H37/$H$19,"")</f>
        <v>0</v>
      </c>
      <c r="J37" s="162" t="str">
        <f aca="false">IFERROR(H37/G37-1,"")</f>
        <v/>
      </c>
      <c r="K37" s="145" t="n">
        <f aca="false">H37-G37</f>
        <v>0</v>
      </c>
      <c r="M37" s="145"/>
      <c r="N37" s="162" t="str">
        <f aca="false">IFERROR(H37/M37-1,"")</f>
        <v/>
      </c>
      <c r="O37" s="145" t="n">
        <f aca="false">H37-M37</f>
        <v>0</v>
      </c>
      <c r="Q37" s="147" t="n">
        <v>0</v>
      </c>
      <c r="R37" s="162" t="str">
        <f aca="false">IFERROR(G37/Q37-1,"-")</f>
        <v>-</v>
      </c>
      <c r="S37" s="162" t="str">
        <f aca="false">IFERROR(G37/Q37,"-")</f>
        <v>-</v>
      </c>
      <c r="T37" s="147" t="n">
        <f aca="false">G37-Q37</f>
        <v>0</v>
      </c>
      <c r="V37" s="145"/>
      <c r="W37" s="5" t="n">
        <f aca="false">H37-V37</f>
        <v>0</v>
      </c>
      <c r="X37" s="163" t="str">
        <f aca="false">IFERROR((G37/V37)-1,"-")</f>
        <v>-</v>
      </c>
    </row>
    <row r="38" customFormat="false" ht="13.5" hidden="false" customHeight="true" outlineLevel="0" collapsed="false">
      <c r="A38" s="165" t="n">
        <v>35</v>
      </c>
      <c r="B38" s="167" t="s">
        <v>94</v>
      </c>
      <c r="C38" s="167" t="s">
        <v>94</v>
      </c>
      <c r="D38" s="167" t="s">
        <v>95</v>
      </c>
      <c r="E38" s="167" t="s">
        <v>51</v>
      </c>
      <c r="F38" s="145" t="n">
        <v>0</v>
      </c>
      <c r="G38" s="145" t="n">
        <v>0</v>
      </c>
      <c r="H38" s="145" t="n">
        <v>0</v>
      </c>
      <c r="I38" s="162" t="n">
        <f aca="false">IFERROR(H38/$H$19,"")</f>
        <v>0</v>
      </c>
      <c r="J38" s="162" t="str">
        <f aca="false">IFERROR(H38/G38-1,"")</f>
        <v/>
      </c>
      <c r="K38" s="145" t="n">
        <f aca="false">H38-G38</f>
        <v>0</v>
      </c>
      <c r="M38" s="145" t="n">
        <f aca="false">VLOOKUP(C38,'תקציב  '!$B:$S,13,0)*1</f>
        <v>0</v>
      </c>
      <c r="N38" s="162" t="str">
        <f aca="false">IFERROR(H38/M38-1,"")</f>
        <v/>
      </c>
      <c r="O38" s="145" t="n">
        <f aca="false">H38-M38</f>
        <v>0</v>
      </c>
      <c r="Q38" s="147" t="n">
        <v>0</v>
      </c>
      <c r="R38" s="162" t="str">
        <f aca="false">IFERROR(G38/Q38-1,"-")</f>
        <v>-</v>
      </c>
      <c r="S38" s="162" t="str">
        <f aca="false">IFERROR(G38/Q38,"-")</f>
        <v>-</v>
      </c>
      <c r="T38" s="147" t="n">
        <f aca="false">G38-Q38</f>
        <v>0</v>
      </c>
      <c r="V38" s="145"/>
      <c r="W38" s="5" t="n">
        <f aca="false">H38-V38</f>
        <v>0</v>
      </c>
      <c r="X38" s="163" t="str">
        <f aca="false">IFERROR((G38/V38)-1,"-")</f>
        <v>-</v>
      </c>
    </row>
    <row r="39" customFormat="false" ht="13.5" hidden="false" customHeight="true" outlineLevel="0" collapsed="false">
      <c r="A39" s="196" t="n">
        <v>36</v>
      </c>
      <c r="B39" s="197"/>
      <c r="C39" s="197" t="s">
        <v>97</v>
      </c>
      <c r="D39" s="197" t="s">
        <v>97</v>
      </c>
      <c r="E39" s="197"/>
      <c r="F39" s="145"/>
      <c r="G39" s="145"/>
      <c r="H39" s="145" t="n">
        <v>0</v>
      </c>
      <c r="I39" s="199" t="n">
        <f aca="false">IFERROR(H39/$H$19,"")</f>
        <v>0</v>
      </c>
      <c r="J39" s="162" t="str">
        <f aca="false">IFERROR(H39/G39-1,"")</f>
        <v/>
      </c>
      <c r="K39" s="145" t="n">
        <f aca="false">H39-G39</f>
        <v>0</v>
      </c>
      <c r="M39" s="145" t="n">
        <f aca="false">VLOOKUP(C39,'תקציב  '!$B:$S,13,0)*1</f>
        <v>0</v>
      </c>
      <c r="N39" s="199" t="str">
        <f aca="false">IFERROR(H39/M39-1,"")</f>
        <v/>
      </c>
      <c r="O39" s="145" t="n">
        <f aca="false">H39-M39</f>
        <v>0</v>
      </c>
      <c r="Q39" s="147" t="n">
        <v>100000</v>
      </c>
      <c r="R39" s="162" t="n">
        <f aca="false">IFERROR(G39/Q39-1,"-")</f>
        <v>-1</v>
      </c>
      <c r="S39" s="162" t="n">
        <f aca="false">IFERROR(G39/Q39,"-")</f>
        <v>0</v>
      </c>
      <c r="T39" s="147" t="n">
        <f aca="false">G39-Q39</f>
        <v>-100000</v>
      </c>
      <c r="V39" s="145"/>
      <c r="W39" s="5" t="n">
        <f aca="false">H39-V39</f>
        <v>0</v>
      </c>
      <c r="X39" s="163" t="str">
        <f aca="false">IFERROR((G39/V39)-1,"-")</f>
        <v>-</v>
      </c>
    </row>
    <row r="40" customFormat="false" ht="15" hidden="false" customHeight="true" outlineLevel="0" collapsed="false">
      <c r="A40" s="165"/>
      <c r="B40" s="182"/>
      <c r="C40" s="182" t="s">
        <v>98</v>
      </c>
      <c r="D40" s="182" t="s">
        <v>98</v>
      </c>
      <c r="E40" s="182"/>
      <c r="F40" s="183" t="n">
        <f aca="false">SUM(F20:F39)+F51+F52</f>
        <v>438491.24</v>
      </c>
      <c r="G40" s="183" t="n">
        <f aca="false">SUM(G20:G39)+G51+G52</f>
        <v>458897.5</v>
      </c>
      <c r="H40" s="183" t="n">
        <f aca="false">SUM(H20:H39)+H51+H52</f>
        <v>69313.17</v>
      </c>
      <c r="I40" s="184" t="n">
        <f aca="false">IFERROR(H40/$H$19,"")</f>
        <v>0.271534685220409</v>
      </c>
      <c r="J40" s="184" t="n">
        <f aca="false">IFERROR(H40/G40-1,"")</f>
        <v>-0.848957185428119</v>
      </c>
      <c r="K40" s="183" t="n">
        <f aca="false">SUM(K20:K39)+K51+K52</f>
        <v>-389584.33</v>
      </c>
      <c r="M40" s="183" t="n">
        <f aca="false">SUM(M20:M39)+M51+M52</f>
        <v>689745.5968</v>
      </c>
      <c r="N40" s="184" t="n">
        <f aca="false">IFERROR(H40/M40-1,"")</f>
        <v>-0.899509079403231</v>
      </c>
      <c r="O40" s="183" t="n">
        <f aca="false">SUM(O20:O39)+O51+O52</f>
        <v>-620432.4268</v>
      </c>
      <c r="Q40" s="183" t="n">
        <f aca="false">SUM(Q20:Q39)+Q51+Q52</f>
        <v>871888.6</v>
      </c>
      <c r="R40" s="184" t="n">
        <f aca="false">IFERROR(G40/Q40-1,"-")</f>
        <v>-0.473674159749307</v>
      </c>
      <c r="S40" s="184" t="n">
        <f aca="false">IFERROR(G40/Q40,"-")</f>
        <v>0.526325840250693</v>
      </c>
      <c r="T40" s="183" t="n">
        <f aca="false">G40-Q40</f>
        <v>-412991.1</v>
      </c>
      <c r="U40" s="174"/>
      <c r="V40" s="183"/>
      <c r="W40" s="5" t="n">
        <f aca="false">H40-V40</f>
        <v>69313.17</v>
      </c>
      <c r="X40" s="176" t="str">
        <f aca="false">IFERROR((G40/V40)-1,"-")</f>
        <v>-</v>
      </c>
    </row>
    <row r="41" customFormat="false" ht="15" hidden="false" customHeight="true" outlineLevel="0" collapsed="false">
      <c r="A41" s="165"/>
      <c r="B41" s="185"/>
      <c r="C41" s="185" t="s">
        <v>163</v>
      </c>
      <c r="D41" s="185" t="s">
        <v>163</v>
      </c>
      <c r="E41" s="185"/>
      <c r="F41" s="186" t="n">
        <f aca="false">F40+F19</f>
        <v>1537249.795</v>
      </c>
      <c r="G41" s="186" t="n">
        <f aca="false">G40+G19</f>
        <v>1591826.88</v>
      </c>
      <c r="H41" s="186" t="n">
        <f aca="false">H40+H19</f>
        <v>324577.686</v>
      </c>
      <c r="I41" s="134" t="n">
        <f aca="false">IFERROR(H41/$H$19,"")</f>
        <v>1.27153468522041</v>
      </c>
      <c r="J41" s="134" t="n">
        <f aca="false">IFERROR(H41/G41-1,"")</f>
        <v>-0.796097370839724</v>
      </c>
      <c r="K41" s="186" t="n">
        <f aca="false">K40+K19</f>
        <v>-1267249.194</v>
      </c>
      <c r="M41" s="186" t="n">
        <f aca="false">M40+M19</f>
        <v>3737220.37824068</v>
      </c>
      <c r="N41" s="134" t="n">
        <f aca="false">IFERROR(H41/M41-1,"")</f>
        <v>-0.913149974272377</v>
      </c>
      <c r="O41" s="186" t="n">
        <f aca="false">O40+O19</f>
        <v>-3412642.69224068</v>
      </c>
      <c r="Q41" s="186" t="n">
        <f aca="false">Q40+Q19</f>
        <v>3681445.37966102</v>
      </c>
      <c r="R41" s="134" t="n">
        <f aca="false">IFERROR(G41/Q41-1,"-")</f>
        <v>-0.567608176724716</v>
      </c>
      <c r="S41" s="134" t="n">
        <f aca="false">IFERROR(G41/Q41,"-")</f>
        <v>0.432391823275284</v>
      </c>
      <c r="T41" s="186" t="n">
        <f aca="false">G41-Q41</f>
        <v>-2089618.49966102</v>
      </c>
      <c r="U41" s="174"/>
      <c r="V41" s="186"/>
      <c r="W41" s="175" t="n">
        <f aca="false">H41-V41</f>
        <v>324577.686</v>
      </c>
      <c r="X41" s="176" t="str">
        <f aca="false">IFERROR((G41/V41)-1,"-")</f>
        <v>-</v>
      </c>
    </row>
    <row r="42" customFormat="false" ht="15" hidden="false" customHeight="true" outlineLevel="0" collapsed="false">
      <c r="A42" s="200"/>
      <c r="B42" s="202"/>
      <c r="C42" s="202" t="s">
        <v>117</v>
      </c>
      <c r="D42" s="202" t="s">
        <v>117</v>
      </c>
      <c r="E42" s="202"/>
      <c r="F42" s="203" t="n">
        <f aca="false">F40/F41</f>
        <v>0.285243973637999</v>
      </c>
      <c r="G42" s="203" t="n">
        <f aca="false">G40/G41</f>
        <v>0.288283547517429</v>
      </c>
      <c r="H42" s="203" t="n">
        <f aca="false">H40/H41</f>
        <v>0.213548783510645</v>
      </c>
      <c r="I42" s="204" t="n">
        <f aca="false">IFERROR(H42/$H$19,"")</f>
        <v>8.36578412295443E-007</v>
      </c>
      <c r="J42" s="204" t="n">
        <f aca="false">IFERROR(H42/G42-1,"")</f>
        <v>-0.259240475741217</v>
      </c>
      <c r="K42" s="203"/>
      <c r="M42" s="203" t="n">
        <f aca="false">M41-'תקציב  '!N41*1</f>
        <v>0</v>
      </c>
      <c r="N42" s="204"/>
      <c r="O42" s="203"/>
      <c r="Q42" s="189"/>
      <c r="R42" s="189"/>
      <c r="S42" s="189"/>
      <c r="T42" s="189"/>
      <c r="V42" s="205" t="str">
        <f aca="false">IFERROR(V40/V41,"")</f>
        <v/>
      </c>
      <c r="W42" s="5" t="str">
        <f aca="false">IFERROR(H42-V42,"-")</f>
        <v>-</v>
      </c>
    </row>
    <row r="43" customFormat="false" ht="14.25" hidden="false" customHeight="true" outlineLevel="0" collapsed="false">
      <c r="F43" s="1" t="n">
        <v>0</v>
      </c>
    </row>
    <row r="50" customFormat="false" ht="14.25" hidden="false" customHeight="true" outlineLevel="0" collapsed="false">
      <c r="A50" s="159"/>
      <c r="B50" s="161"/>
      <c r="C50" s="161" t="s">
        <v>164</v>
      </c>
      <c r="D50" s="161" t="s">
        <v>164</v>
      </c>
      <c r="E50" s="161" t="s">
        <v>32</v>
      </c>
      <c r="F50" s="145"/>
      <c r="G50" s="145"/>
      <c r="H50" s="145" t="n">
        <v>0</v>
      </c>
      <c r="I50" s="162" t="n">
        <f aca="false">IFERROR(H50/$H$19,"")</f>
        <v>0</v>
      </c>
      <c r="J50" s="162" t="str">
        <f aca="false">IFERROR(H50/G50-1,"-")</f>
        <v>-</v>
      </c>
      <c r="K50" s="145" t="n">
        <f aca="false">H50-G50</f>
        <v>0</v>
      </c>
      <c r="M50" s="145"/>
      <c r="N50" s="162" t="str">
        <f aca="false">IFERROR(H50/M50-1,"-")</f>
        <v>-</v>
      </c>
      <c r="O50" s="145" t="n">
        <f aca="false">H50-M50</f>
        <v>0</v>
      </c>
    </row>
    <row r="51" customFormat="false" ht="14.25" hidden="false" customHeight="true" outlineLevel="0" collapsed="false">
      <c r="A51" s="165"/>
      <c r="B51" s="167"/>
      <c r="C51" s="167" t="s">
        <v>165</v>
      </c>
      <c r="D51" s="167" t="s">
        <v>165</v>
      </c>
      <c r="E51" s="167" t="s">
        <v>166</v>
      </c>
      <c r="F51" s="145"/>
      <c r="G51" s="145"/>
      <c r="H51" s="145" t="n">
        <v>0</v>
      </c>
      <c r="I51" s="162" t="n">
        <f aca="false">IFERROR(H51/$H$19,"")</f>
        <v>0</v>
      </c>
      <c r="J51" s="162" t="str">
        <f aca="false">IFERROR(H51/G51-1,"-")</f>
        <v>-</v>
      </c>
      <c r="K51" s="145" t="n">
        <f aca="false">H51-G51</f>
        <v>0</v>
      </c>
      <c r="M51" s="145"/>
      <c r="N51" s="162" t="str">
        <f aca="false">IFERROR(H51/M51-1,"-")</f>
        <v>-</v>
      </c>
      <c r="O51" s="145" t="n">
        <f aca="false">H51-M51</f>
        <v>0</v>
      </c>
    </row>
    <row r="52" customFormat="false" ht="14.25" hidden="false" customHeight="true" outlineLevel="0" collapsed="false">
      <c r="A52" s="165"/>
      <c r="B52" s="167"/>
      <c r="C52" s="167" t="s">
        <v>167</v>
      </c>
      <c r="D52" s="167" t="s">
        <v>167</v>
      </c>
      <c r="E52" s="167" t="s">
        <v>167</v>
      </c>
      <c r="F52" s="145"/>
      <c r="G52" s="145"/>
      <c r="H52" s="145" t="n">
        <v>0</v>
      </c>
      <c r="I52" s="162" t="n">
        <f aca="false">IFERROR(H52/$H$19,"")</f>
        <v>0</v>
      </c>
      <c r="J52" s="162" t="str">
        <f aca="false">IFERROR(H52/G52-1,"-")</f>
        <v>-</v>
      </c>
      <c r="K52" s="145" t="n">
        <f aca="false">H52-G52</f>
        <v>0</v>
      </c>
      <c r="M52" s="145"/>
      <c r="N52" s="162" t="str">
        <f aca="false">IFERROR(H52/M52-1,"-")</f>
        <v>-</v>
      </c>
      <c r="O52" s="145" t="n">
        <f aca="false">H52-M52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S46" activeCellId="0" sqref="S46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90" width="26"/>
    <col collapsed="false" customWidth="true" hidden="false" outlineLevel="0" max="4" min="4" style="90" width="26"/>
    <col collapsed="false" customWidth="true" hidden="false" outlineLevel="0" max="5" min="5" style="90" width="12.25"/>
    <col collapsed="false" customWidth="true" hidden="false" outlineLevel="0" max="8" min="6" style="1" width="9.87"/>
    <col collapsed="false" customWidth="true" hidden="false" outlineLevel="0" max="9" min="9" style="1" width="6.88"/>
    <col collapsed="false" customWidth="true" hidden="false" outlineLevel="0" max="11" min="10" style="1" width="11.88"/>
    <col collapsed="false" customWidth="true" hidden="false" outlineLevel="0" max="13" min="13" style="1" width="10.62"/>
    <col collapsed="false" customWidth="true" hidden="false" outlineLevel="0" max="14" min="14" style="1" width="11"/>
    <col collapsed="false" customWidth="true" hidden="false" outlineLevel="0" max="15" min="15" style="1" width="10.5"/>
    <col collapsed="false" customWidth="true" hidden="false" outlineLevel="0" max="17" min="17" style="1" width="9.87"/>
    <col collapsed="false" customWidth="true" hidden="false" outlineLevel="0" max="20" min="18" style="1" width="11.88"/>
    <col collapsed="false" customWidth="true" hidden="false" outlineLevel="0" max="22" min="22" style="1" width="9.87"/>
    <col collapsed="false" customWidth="true" hidden="false" outlineLevel="0" max="23" min="23" style="1" width="10.5"/>
    <col collapsed="false" customWidth="true" hidden="false" outlineLevel="0" max="24" min="24" style="148" width="9"/>
  </cols>
  <sheetData>
    <row r="1" customFormat="false" ht="15.75" hidden="false" customHeight="true" outlineLevel="0" collapsed="false">
      <c r="B1" s="149"/>
      <c r="C1" s="149" t="s">
        <v>182</v>
      </c>
      <c r="D1" s="149" t="s">
        <v>182</v>
      </c>
      <c r="E1" s="149"/>
      <c r="F1" s="7"/>
      <c r="G1" s="7"/>
      <c r="H1" s="7"/>
      <c r="I1" s="7"/>
      <c r="J1" s="7"/>
      <c r="K1" s="7"/>
      <c r="M1" s="7"/>
      <c r="N1" s="7"/>
      <c r="O1" s="7"/>
      <c r="Q1" s="7"/>
      <c r="R1" s="7"/>
      <c r="S1" s="7"/>
      <c r="T1" s="7"/>
      <c r="V1" s="7"/>
    </row>
    <row r="2" customFormat="false" ht="15" hidden="false" customHeight="true" outlineLevel="0" collapsed="false">
      <c r="A2" s="151" t="s">
        <v>2</v>
      </c>
      <c r="B2" s="38"/>
      <c r="C2" s="38"/>
      <c r="D2" s="38"/>
      <c r="E2" s="154" t="s">
        <v>3</v>
      </c>
      <c r="F2" s="154" t="n">
        <v>11.2024</v>
      </c>
      <c r="G2" s="154" t="n">
        <v>11.2025</v>
      </c>
      <c r="H2" s="154" t="n">
        <v>11.2026</v>
      </c>
      <c r="I2" s="155" t="s">
        <v>174</v>
      </c>
      <c r="J2" s="155" t="s">
        <v>128</v>
      </c>
      <c r="K2" s="154" t="s">
        <v>129</v>
      </c>
      <c r="M2" s="154" t="s">
        <v>130</v>
      </c>
      <c r="N2" s="155" t="s">
        <v>111</v>
      </c>
      <c r="O2" s="154" t="s">
        <v>112</v>
      </c>
      <c r="Q2" s="156" t="s">
        <v>1</v>
      </c>
      <c r="R2" s="155" t="s">
        <v>177</v>
      </c>
      <c r="S2" s="155" t="s">
        <v>175</v>
      </c>
      <c r="T2" s="154" t="s">
        <v>178</v>
      </c>
      <c r="U2" s="157"/>
      <c r="V2" s="158" t="n">
        <v>11.2026</v>
      </c>
      <c r="W2" s="157"/>
    </row>
    <row r="3" customFormat="false" ht="14.25" hidden="false" customHeight="true" outlineLevel="0" collapsed="false">
      <c r="A3" s="159" t="n">
        <v>5</v>
      </c>
      <c r="B3" s="161" t="s">
        <v>131</v>
      </c>
      <c r="C3" s="161" t="s">
        <v>31</v>
      </c>
      <c r="D3" s="161" t="s">
        <v>31</v>
      </c>
      <c r="E3" s="161" t="s">
        <v>32</v>
      </c>
      <c r="F3" s="145" t="n">
        <v>183470.34</v>
      </c>
      <c r="G3" s="145" t="n">
        <v>265660.9</v>
      </c>
      <c r="H3" s="145"/>
      <c r="I3" s="162" t="str">
        <f aca="false">IFERROR(H3/$H$19,"")</f>
        <v/>
      </c>
      <c r="J3" s="162" t="n">
        <f aca="false">IFERROR(H3/G3-1,"")</f>
        <v>-1</v>
      </c>
      <c r="K3" s="145" t="n">
        <f aca="false">H3-G3</f>
        <v>-265660.9</v>
      </c>
      <c r="M3" s="145" t="n">
        <f aca="false">VLOOKUP(C3,'תקציב  '!$B:$S,14,0)*1</f>
        <v>235079.365079365</v>
      </c>
      <c r="N3" s="162" t="n">
        <f aca="false">IFERROR(H3/M3-1,"")</f>
        <v>-1</v>
      </c>
      <c r="O3" s="145" t="n">
        <f aca="false">H3-M3</f>
        <v>-235079.365079365</v>
      </c>
      <c r="Q3" s="147" t="n">
        <v>200000</v>
      </c>
      <c r="R3" s="162" t="n">
        <f aca="false">IFERROR(H3/Q3-1,"-")</f>
        <v>-1</v>
      </c>
      <c r="S3" s="162" t="n">
        <f aca="false">IFERROR(H3/Q3,"-")</f>
        <v>0</v>
      </c>
      <c r="T3" s="145" t="n">
        <f aca="false">H3-Q3</f>
        <v>-200000</v>
      </c>
      <c r="V3" s="145"/>
      <c r="W3" s="5" t="n">
        <f aca="false">H3-V3</f>
        <v>0</v>
      </c>
      <c r="X3" s="163" t="str">
        <f aca="false">IFERROR((G3/V3)-1,"-")</f>
        <v>-</v>
      </c>
    </row>
    <row r="4" customFormat="false" ht="14.25" hidden="false" customHeight="true" outlineLevel="0" collapsed="false">
      <c r="A4" s="164" t="n">
        <v>1</v>
      </c>
      <c r="B4" s="161" t="s">
        <v>33</v>
      </c>
      <c r="C4" s="161" t="s">
        <v>33</v>
      </c>
      <c r="D4" s="161" t="s">
        <v>33</v>
      </c>
      <c r="E4" s="161" t="s">
        <v>32</v>
      </c>
      <c r="F4" s="145" t="n">
        <v>399305.088</v>
      </c>
      <c r="G4" s="145" t="n">
        <v>507426.01</v>
      </c>
      <c r="H4" s="145"/>
      <c r="I4" s="162" t="str">
        <f aca="false">IFERROR(H4/$H$19,"")</f>
        <v/>
      </c>
      <c r="J4" s="162" t="n">
        <f aca="false">IFERROR(H4/G4-1,"")</f>
        <v>-1</v>
      </c>
      <c r="K4" s="145" t="n">
        <f aca="false">H4-G4</f>
        <v>-507426.01</v>
      </c>
      <c r="M4" s="145" t="n">
        <f aca="false">VLOOKUP(C4,'תקציב  '!$B:$S,14,0)*1</f>
        <v>574698.412698413</v>
      </c>
      <c r="N4" s="162" t="n">
        <f aca="false">IFERROR(H4/M4-1,"")</f>
        <v>-1</v>
      </c>
      <c r="O4" s="145" t="n">
        <f aca="false">H4-M4</f>
        <v>-574698.412698413</v>
      </c>
      <c r="Q4" s="147" t="n">
        <v>550000</v>
      </c>
      <c r="R4" s="162" t="n">
        <f aca="false">IFERROR(H4/Q4-1,"-")</f>
        <v>-1</v>
      </c>
      <c r="S4" s="162" t="n">
        <f aca="false">IFERROR(H4/Q4,"-")</f>
        <v>0</v>
      </c>
      <c r="T4" s="145" t="n">
        <f aca="false">H4-Q4</f>
        <v>-550000</v>
      </c>
      <c r="V4" s="145"/>
      <c r="W4" s="5" t="n">
        <f aca="false">H4-V4</f>
        <v>0</v>
      </c>
      <c r="X4" s="163" t="str">
        <f aca="false">IFERROR((G4/V4)-1,"-")</f>
        <v>-</v>
      </c>
    </row>
    <row r="5" customFormat="false" ht="14.25" hidden="false" customHeight="true" outlineLevel="0" collapsed="false">
      <c r="A5" s="164" t="n">
        <v>7</v>
      </c>
      <c r="B5" s="161" t="s">
        <v>34</v>
      </c>
      <c r="C5" s="161" t="s">
        <v>34</v>
      </c>
      <c r="D5" s="161" t="s">
        <v>34</v>
      </c>
      <c r="E5" s="161" t="s">
        <v>32</v>
      </c>
      <c r="F5" s="145" t="n">
        <v>78931.671</v>
      </c>
      <c r="G5" s="145" t="n">
        <v>85930.39</v>
      </c>
      <c r="H5" s="145"/>
      <c r="I5" s="162" t="str">
        <f aca="false">IFERROR(H5/$H$19,"")</f>
        <v/>
      </c>
      <c r="J5" s="162" t="n">
        <f aca="false">IFERROR(H5/G5-1,"")</f>
        <v>-1</v>
      </c>
      <c r="K5" s="145" t="n">
        <f aca="false">H5-G5</f>
        <v>-85930.39</v>
      </c>
      <c r="M5" s="145" t="n">
        <f aca="false">VLOOKUP(C5,'תקציב  '!$B:$S,14,0)*1</f>
        <v>78571.4285714286</v>
      </c>
      <c r="N5" s="162" t="n">
        <f aca="false">IFERROR(H5/M5-1,"")</f>
        <v>-1</v>
      </c>
      <c r="O5" s="145" t="n">
        <f aca="false">H5-M5</f>
        <v>-78571.4285714286</v>
      </c>
      <c r="Q5" s="147" t="n">
        <v>100000</v>
      </c>
      <c r="R5" s="162" t="n">
        <f aca="false">IFERROR(H5/Q5-1,"-")</f>
        <v>-1</v>
      </c>
      <c r="S5" s="162" t="n">
        <f aca="false">IFERROR(H5/Q5,"-")</f>
        <v>0</v>
      </c>
      <c r="T5" s="145" t="n">
        <f aca="false">H5-Q5</f>
        <v>-100000</v>
      </c>
      <c r="V5" s="145"/>
      <c r="W5" s="5" t="n">
        <f aca="false">H5-V5</f>
        <v>0</v>
      </c>
      <c r="X5" s="163" t="str">
        <f aca="false">IFERROR((G5/V5)-1,"-")</f>
        <v>-</v>
      </c>
    </row>
    <row r="6" customFormat="false" ht="14.25" hidden="false" customHeight="true" outlineLevel="0" collapsed="false">
      <c r="A6" s="164" t="n">
        <v>4</v>
      </c>
      <c r="B6" s="161" t="s">
        <v>35</v>
      </c>
      <c r="C6" s="161" t="s">
        <v>35</v>
      </c>
      <c r="D6" s="161" t="s">
        <v>35</v>
      </c>
      <c r="E6" s="161" t="s">
        <v>32</v>
      </c>
      <c r="F6" s="145" t="n">
        <v>144720.944</v>
      </c>
      <c r="G6" s="145" t="n">
        <v>167763.05</v>
      </c>
      <c r="H6" s="145"/>
      <c r="I6" s="162" t="str">
        <f aca="false">IFERROR(H6/$H$19,"")</f>
        <v/>
      </c>
      <c r="J6" s="162" t="n">
        <f aca="false">IFERROR(H6/G6-1,"")</f>
        <v>-1</v>
      </c>
      <c r="K6" s="145" t="n">
        <f aca="false">H6-G6</f>
        <v>-167763.05</v>
      </c>
      <c r="M6" s="145" t="n">
        <f aca="false">VLOOKUP(B6,'תקציב  '!$B:$S,14,0)*1</f>
        <v>170873.015873016</v>
      </c>
      <c r="N6" s="162" t="n">
        <f aca="false">IFERROR(H6/M6-1,"")</f>
        <v>-1</v>
      </c>
      <c r="O6" s="145" t="n">
        <f aca="false">H6-M6</f>
        <v>-170873.015873016</v>
      </c>
      <c r="Q6" s="147" t="n">
        <v>200000</v>
      </c>
      <c r="R6" s="162" t="n">
        <f aca="false">IFERROR(H6/Q6-1,"-")</f>
        <v>-1</v>
      </c>
      <c r="S6" s="162" t="n">
        <f aca="false">IFERROR(H6/Q6,"-")</f>
        <v>0</v>
      </c>
      <c r="T6" s="145" t="n">
        <f aca="false">H6-Q6</f>
        <v>-200000</v>
      </c>
      <c r="V6" s="145"/>
      <c r="W6" s="5" t="n">
        <f aca="false">H6-V6</f>
        <v>0</v>
      </c>
      <c r="X6" s="163" t="str">
        <f aca="false">IFERROR((G6/V6)-1,"-")</f>
        <v>-</v>
      </c>
    </row>
    <row r="7" customFormat="false" ht="14.25" hidden="false" customHeight="true" outlineLevel="0" collapsed="false">
      <c r="A7" s="164" t="n">
        <v>3</v>
      </c>
      <c r="B7" s="161" t="s">
        <v>132</v>
      </c>
      <c r="C7" s="161" t="s">
        <v>36</v>
      </c>
      <c r="D7" s="161" t="s">
        <v>36</v>
      </c>
      <c r="E7" s="161" t="s">
        <v>32</v>
      </c>
      <c r="F7" s="145" t="n">
        <v>319604.5</v>
      </c>
      <c r="G7" s="145" t="n">
        <v>308121.37</v>
      </c>
      <c r="H7" s="145"/>
      <c r="I7" s="162" t="str">
        <f aca="false">IFERROR(H7/$H$19,"")</f>
        <v/>
      </c>
      <c r="J7" s="162" t="n">
        <f aca="false">IFERROR(H7/G7-1,"")</f>
        <v>-1</v>
      </c>
      <c r="K7" s="145" t="n">
        <f aca="false">H7-G7</f>
        <v>-308121.37</v>
      </c>
      <c r="M7" s="145" t="n">
        <f aca="false">VLOOKUP(C7,'תקציב  '!$B:$S,14,0)*1</f>
        <v>365000</v>
      </c>
      <c r="N7" s="162" t="n">
        <f aca="false">IFERROR(H7/M7-1,"")</f>
        <v>-1</v>
      </c>
      <c r="O7" s="145" t="n">
        <f aca="false">H7-M7</f>
        <v>-365000</v>
      </c>
      <c r="Q7" s="147" t="n">
        <v>330000</v>
      </c>
      <c r="R7" s="162" t="n">
        <f aca="false">IFERROR(H7/Q7-1,"-")</f>
        <v>-1</v>
      </c>
      <c r="S7" s="162" t="n">
        <f aca="false">IFERROR(H7/Q7,"-")</f>
        <v>0</v>
      </c>
      <c r="T7" s="145" t="n">
        <f aca="false">H7-Q7</f>
        <v>-330000</v>
      </c>
      <c r="V7" s="145"/>
      <c r="W7" s="5" t="n">
        <f aca="false">H7-V7</f>
        <v>0</v>
      </c>
      <c r="X7" s="163" t="str">
        <f aca="false">IFERROR((G7/V7)-1,"-")</f>
        <v>-</v>
      </c>
    </row>
    <row r="8" customFormat="false" ht="14.25" hidden="false" customHeight="true" outlineLevel="0" collapsed="false">
      <c r="A8" s="164" t="n">
        <v>8</v>
      </c>
      <c r="B8" s="161" t="s">
        <v>133</v>
      </c>
      <c r="C8" s="161" t="s">
        <v>37</v>
      </c>
      <c r="D8" s="161" t="s">
        <v>37</v>
      </c>
      <c r="E8" s="161" t="s">
        <v>32</v>
      </c>
      <c r="F8" s="145" t="n">
        <v>57000.57</v>
      </c>
      <c r="G8" s="145" t="n">
        <v>68004.57</v>
      </c>
      <c r="H8" s="145"/>
      <c r="I8" s="162" t="str">
        <f aca="false">IFERROR(H8/$H$19,"")</f>
        <v/>
      </c>
      <c r="J8" s="162" t="n">
        <f aca="false">IFERROR(H8/G8-1,"")</f>
        <v>-1</v>
      </c>
      <c r="K8" s="145" t="n">
        <f aca="false">H8-G8</f>
        <v>-68004.57</v>
      </c>
      <c r="M8" s="145" t="n">
        <f aca="false">VLOOKUP(C8,'תקציב  '!$B:$S,14,0)*1</f>
        <v>107301.587301587</v>
      </c>
      <c r="N8" s="162" t="n">
        <f aca="false">IFERROR(H8/M8-1,"")</f>
        <v>-1</v>
      </c>
      <c r="O8" s="145" t="n">
        <f aca="false">H8-M8</f>
        <v>-107301.587301587</v>
      </c>
      <c r="Q8" s="147" t="n">
        <v>100000</v>
      </c>
      <c r="R8" s="162" t="n">
        <f aca="false">IFERROR(H8/Q8-1,"-")</f>
        <v>-1</v>
      </c>
      <c r="S8" s="162" t="n">
        <f aca="false">IFERROR(H8/Q8,"-")</f>
        <v>0</v>
      </c>
      <c r="T8" s="145" t="n">
        <f aca="false">H8-Q8</f>
        <v>-100000</v>
      </c>
      <c r="V8" s="145"/>
      <c r="W8" s="5" t="n">
        <f aca="false">H8-V8</f>
        <v>0</v>
      </c>
      <c r="X8" s="163" t="str">
        <f aca="false">IFERROR((G8/V8)-1,"-")</f>
        <v>-</v>
      </c>
    </row>
    <row r="9" customFormat="false" ht="14.25" hidden="false" customHeight="true" outlineLevel="0" collapsed="false">
      <c r="A9" s="164" t="n">
        <v>6</v>
      </c>
      <c r="B9" s="161" t="s">
        <v>134</v>
      </c>
      <c r="C9" s="161" t="s">
        <v>38</v>
      </c>
      <c r="D9" s="161" t="s">
        <v>38</v>
      </c>
      <c r="E9" s="161" t="s">
        <v>32</v>
      </c>
      <c r="F9" s="145" t="n">
        <v>62213.38</v>
      </c>
      <c r="G9" s="145" t="n">
        <v>96453.83</v>
      </c>
      <c r="H9" s="145"/>
      <c r="I9" s="162" t="str">
        <f aca="false">IFERROR(H9/$H$19,"")</f>
        <v/>
      </c>
      <c r="J9" s="162" t="n">
        <f aca="false">IFERROR(H9/G9-1,"")</f>
        <v>-1</v>
      </c>
      <c r="K9" s="145" t="n">
        <f aca="false">H9-G9</f>
        <v>-96453.83</v>
      </c>
      <c r="M9" s="145" t="n">
        <f aca="false">VLOOKUP(C9,'תקציב  '!$B:$S,14,0)*1</f>
        <v>177087.301587302</v>
      </c>
      <c r="N9" s="162" t="n">
        <f aca="false">IFERROR(H9/M9-1,"")</f>
        <v>-1</v>
      </c>
      <c r="O9" s="145" t="n">
        <f aca="false">H9-M9</f>
        <v>-177087.301587302</v>
      </c>
      <c r="Q9" s="147" t="n">
        <v>100000</v>
      </c>
      <c r="R9" s="162" t="n">
        <f aca="false">IFERROR(H9/Q9-1,"-")</f>
        <v>-1</v>
      </c>
      <c r="S9" s="162" t="n">
        <f aca="false">IFERROR(H9/Q9,"-")</f>
        <v>0</v>
      </c>
      <c r="T9" s="145" t="n">
        <f aca="false">H9-Q9</f>
        <v>-100000</v>
      </c>
      <c r="V9" s="145"/>
      <c r="W9" s="5" t="n">
        <f aca="false">H9-V9</f>
        <v>0</v>
      </c>
      <c r="X9" s="163" t="str">
        <f aca="false">IFERROR((G9/V9)-1,"-")</f>
        <v>-</v>
      </c>
    </row>
    <row r="10" customFormat="false" ht="14.25" hidden="false" customHeight="true" outlineLevel="0" collapsed="false">
      <c r="A10" s="165" t="n">
        <v>10</v>
      </c>
      <c r="B10" s="167" t="s">
        <v>135</v>
      </c>
      <c r="C10" s="167" t="s">
        <v>39</v>
      </c>
      <c r="D10" s="167" t="s">
        <v>39</v>
      </c>
      <c r="E10" s="167" t="s">
        <v>32</v>
      </c>
      <c r="F10" s="145" t="n">
        <v>10956.17</v>
      </c>
      <c r="G10" s="145" t="n">
        <v>28016.53</v>
      </c>
      <c r="H10" s="145"/>
      <c r="I10" s="162" t="str">
        <f aca="false">IFERROR(H10/$H$19,"")</f>
        <v/>
      </c>
      <c r="J10" s="162" t="n">
        <f aca="false">IFERROR(H10/G10-1,"")</f>
        <v>-1</v>
      </c>
      <c r="K10" s="145" t="n">
        <f aca="false">H10-G10</f>
        <v>-28016.53</v>
      </c>
      <c r="M10" s="145" t="n">
        <f aca="false">VLOOKUP(C10,'תקציב  '!$B:$S,14,0)*1</f>
        <v>16587.3015873016</v>
      </c>
      <c r="N10" s="162" t="n">
        <f aca="false">IFERROR(H10/M10-1,"")</f>
        <v>-1</v>
      </c>
      <c r="O10" s="145" t="n">
        <f aca="false">H10-M10</f>
        <v>-16587.3015873016</v>
      </c>
      <c r="Q10" s="147" t="n">
        <v>15000</v>
      </c>
      <c r="R10" s="162" t="n">
        <f aca="false">IFERROR(H10/Q10-1,"-")</f>
        <v>-1</v>
      </c>
      <c r="S10" s="162" t="n">
        <f aca="false">IFERROR(H10/Q10,"-")</f>
        <v>0</v>
      </c>
      <c r="T10" s="145" t="n">
        <f aca="false">H10-Q10</f>
        <v>-15000</v>
      </c>
      <c r="V10" s="145"/>
      <c r="W10" s="5" t="n">
        <f aca="false">H10-V10</f>
        <v>0</v>
      </c>
      <c r="X10" s="163" t="str">
        <f aca="false">IFERROR((G10/V10)-1,"-")</f>
        <v>-</v>
      </c>
    </row>
    <row r="11" customFormat="false" ht="14.25" hidden="false" customHeight="true" outlineLevel="0" collapsed="false">
      <c r="A11" s="164" t="n">
        <v>11</v>
      </c>
      <c r="B11" s="161" t="s">
        <v>136</v>
      </c>
      <c r="C11" s="161" t="s">
        <v>40</v>
      </c>
      <c r="D11" s="161" t="s">
        <v>40</v>
      </c>
      <c r="E11" s="161" t="s">
        <v>32</v>
      </c>
      <c r="F11" s="145" t="n">
        <v>30231.73</v>
      </c>
      <c r="G11" s="145" t="n">
        <v>1902.07</v>
      </c>
      <c r="H11" s="145"/>
      <c r="I11" s="162" t="str">
        <f aca="false">IFERROR(H11/$H$19,"")</f>
        <v/>
      </c>
      <c r="J11" s="162" t="n">
        <f aca="false">IFERROR(H11/G11-1,"")</f>
        <v>-1</v>
      </c>
      <c r="K11" s="145" t="n">
        <f aca="false">H11-G11</f>
        <v>-1902.07</v>
      </c>
      <c r="M11" s="145" t="n">
        <f aca="false">VLOOKUP(C11,'תקציב  '!$B:$S,14,0)*1</f>
        <v>8730.15873015873</v>
      </c>
      <c r="N11" s="162" t="n">
        <f aca="false">IFERROR(H11/M11-1,"")</f>
        <v>-1</v>
      </c>
      <c r="O11" s="145" t="n">
        <f aca="false">H11-M11</f>
        <v>-8730.15873015873</v>
      </c>
      <c r="Q11" s="147" t="n">
        <v>10000</v>
      </c>
      <c r="R11" s="162" t="n">
        <f aca="false">IFERROR(H11/Q11-1,"-")</f>
        <v>-1</v>
      </c>
      <c r="S11" s="162" t="n">
        <f aca="false">IFERROR(H11/Q11,"-")</f>
        <v>0</v>
      </c>
      <c r="T11" s="145" t="n">
        <f aca="false">H11-Q11</f>
        <v>-10000</v>
      </c>
      <c r="V11" s="145"/>
      <c r="W11" s="5" t="n">
        <f aca="false">H11-V11</f>
        <v>0</v>
      </c>
      <c r="X11" s="163" t="str">
        <f aca="false">IFERROR((G11/V11)-1,"-")</f>
        <v>-</v>
      </c>
    </row>
    <row r="12" customFormat="false" ht="14.25" hidden="false" customHeight="true" outlineLevel="0" collapsed="false">
      <c r="A12" s="164" t="n">
        <v>14</v>
      </c>
      <c r="B12" s="161" t="s">
        <v>137</v>
      </c>
      <c r="C12" s="161" t="s">
        <v>41</v>
      </c>
      <c r="D12" s="161" t="s">
        <v>41</v>
      </c>
      <c r="E12" s="161" t="s">
        <v>32</v>
      </c>
      <c r="F12" s="145" t="n">
        <v>0</v>
      </c>
      <c r="G12" s="145" t="n">
        <v>498.8</v>
      </c>
      <c r="H12" s="145"/>
      <c r="I12" s="162" t="str">
        <f aca="false">IFERROR(H12/$H$19,"")</f>
        <v/>
      </c>
      <c r="J12" s="162" t="n">
        <f aca="false">IFERROR(H12/G12-1,"")</f>
        <v>-1</v>
      </c>
      <c r="K12" s="145" t="n">
        <f aca="false">H12-G12</f>
        <v>-498.8</v>
      </c>
      <c r="M12" s="145" t="n">
        <f aca="false">VLOOKUP(C12,'תקציב  '!$B:$S,14,0)*1</f>
        <v>0</v>
      </c>
      <c r="N12" s="162" t="str">
        <f aca="false">IFERROR(H12/M12-1,"")</f>
        <v/>
      </c>
      <c r="O12" s="145" t="n">
        <f aca="false">H12-M12</f>
        <v>0</v>
      </c>
      <c r="Q12" s="147" t="n">
        <v>5000</v>
      </c>
      <c r="R12" s="162" t="n">
        <f aca="false">IFERROR(H12/Q12-1,"-")</f>
        <v>-1</v>
      </c>
      <c r="S12" s="162" t="n">
        <f aca="false">IFERROR(H12/Q12,"-")</f>
        <v>0</v>
      </c>
      <c r="T12" s="145" t="n">
        <f aca="false">H12-Q12</f>
        <v>-5000</v>
      </c>
      <c r="V12" s="145"/>
      <c r="W12" s="5" t="n">
        <f aca="false">H12-V12</f>
        <v>0</v>
      </c>
      <c r="X12" s="163" t="str">
        <f aca="false">IFERROR((G12/V12)-1,"-")</f>
        <v>-</v>
      </c>
    </row>
    <row r="13" customFormat="false" ht="14.25" hidden="false" customHeight="true" outlineLevel="0" collapsed="false">
      <c r="A13" s="164" t="n">
        <v>15</v>
      </c>
      <c r="B13" s="161" t="s">
        <v>138</v>
      </c>
      <c r="C13" s="161" t="s">
        <v>47</v>
      </c>
      <c r="D13" s="161" t="s">
        <v>47</v>
      </c>
      <c r="E13" s="161" t="s">
        <v>32</v>
      </c>
      <c r="F13" s="145" t="n">
        <v>0</v>
      </c>
      <c r="G13" s="145" t="n">
        <v>0</v>
      </c>
      <c r="H13" s="145"/>
      <c r="I13" s="162" t="str">
        <f aca="false">IFERROR(H13/$H$19,"")</f>
        <v/>
      </c>
      <c r="J13" s="162" t="str">
        <f aca="false">IFERROR(H13/G13-1,"")</f>
        <v/>
      </c>
      <c r="K13" s="145" t="n">
        <f aca="false">H13-G13</f>
        <v>0</v>
      </c>
      <c r="M13" s="145" t="n">
        <f aca="false">VLOOKUP(C13,'תקציב  '!$B:$S,14,0)*1</f>
        <v>12500</v>
      </c>
      <c r="N13" s="162" t="n">
        <f aca="false">IFERROR(H13/M13-1,"")</f>
        <v>-1</v>
      </c>
      <c r="O13" s="145" t="n">
        <f aca="false">H13-M13</f>
        <v>-12500</v>
      </c>
      <c r="Q13" s="147" t="n">
        <v>5000</v>
      </c>
      <c r="R13" s="162" t="n">
        <f aca="false">IFERROR(H13/Q13-1,"-")</f>
        <v>-1</v>
      </c>
      <c r="S13" s="162" t="n">
        <f aca="false">IFERROR(H13/Q13,"-")</f>
        <v>0</v>
      </c>
      <c r="T13" s="145" t="n">
        <f aca="false">H13-Q13</f>
        <v>-5000</v>
      </c>
      <c r="V13" s="145"/>
      <c r="W13" s="5" t="n">
        <f aca="false">H13-V13</f>
        <v>0</v>
      </c>
      <c r="X13" s="163" t="str">
        <f aca="false">IFERROR((G13/V13)-1,"-")</f>
        <v>-</v>
      </c>
    </row>
    <row r="14" customFormat="false" ht="14.25" hidden="false" customHeight="true" outlineLevel="0" collapsed="false">
      <c r="A14" s="164" t="n">
        <v>13</v>
      </c>
      <c r="B14" s="161" t="s">
        <v>139</v>
      </c>
      <c r="C14" s="161" t="s">
        <v>43</v>
      </c>
      <c r="D14" s="161" t="s">
        <v>43</v>
      </c>
      <c r="E14" s="161" t="s">
        <v>32</v>
      </c>
      <c r="F14" s="145" t="n">
        <v>695.57</v>
      </c>
      <c r="G14" s="145" t="n">
        <v>0</v>
      </c>
      <c r="H14" s="145"/>
      <c r="I14" s="162" t="str">
        <f aca="false">IFERROR(H14/$H$19,"")</f>
        <v/>
      </c>
      <c r="J14" s="162" t="str">
        <f aca="false">IFERROR(H14/G14-1,"")</f>
        <v/>
      </c>
      <c r="K14" s="145" t="n">
        <f aca="false">H14-G14</f>
        <v>0</v>
      </c>
      <c r="M14" s="145" t="n">
        <f aca="false">VLOOKUP(C14,'תקציב  '!$B:$S,14,0)*1</f>
        <v>50000</v>
      </c>
      <c r="N14" s="162" t="n">
        <f aca="false">IFERROR(H14/M14-1,"")</f>
        <v>-1</v>
      </c>
      <c r="O14" s="145" t="n">
        <f aca="false">H14-M14</f>
        <v>-50000</v>
      </c>
      <c r="Q14" s="147" t="n">
        <v>5000</v>
      </c>
      <c r="R14" s="162" t="n">
        <f aca="false">IFERROR(H14/Q14-1,"-")</f>
        <v>-1</v>
      </c>
      <c r="S14" s="162" t="n">
        <f aca="false">IFERROR(H14/Q14,"-")</f>
        <v>0</v>
      </c>
      <c r="T14" s="145" t="n">
        <f aca="false">H14-Q14</f>
        <v>-5000</v>
      </c>
      <c r="V14" s="145"/>
      <c r="W14" s="5" t="n">
        <f aca="false">H14-V14</f>
        <v>0</v>
      </c>
      <c r="X14" s="163" t="str">
        <f aca="false">IFERROR((G14/V14)-1,"-")</f>
        <v>-</v>
      </c>
    </row>
    <row r="15" customFormat="false" ht="14.25" hidden="false" customHeight="true" outlineLevel="0" collapsed="false">
      <c r="A15" s="164" t="n">
        <v>9</v>
      </c>
      <c r="B15" s="161" t="s">
        <v>140</v>
      </c>
      <c r="C15" s="161" t="s">
        <v>44</v>
      </c>
      <c r="D15" s="161" t="s">
        <v>44</v>
      </c>
      <c r="E15" s="161" t="s">
        <v>32</v>
      </c>
      <c r="F15" s="145" t="n">
        <v>5017.43</v>
      </c>
      <c r="G15" s="145" t="n">
        <v>12930.62</v>
      </c>
      <c r="H15" s="145"/>
      <c r="I15" s="162" t="str">
        <f aca="false">IFERROR(H15/$H$19,"")</f>
        <v/>
      </c>
      <c r="J15" s="162" t="n">
        <f aca="false">IFERROR(H15/G15-1,"")</f>
        <v>-1</v>
      </c>
      <c r="K15" s="145" t="n">
        <f aca="false">H15-G15</f>
        <v>-12930.62</v>
      </c>
      <c r="M15" s="145" t="n">
        <f aca="false">VLOOKUP(C15,'תקציב  '!$B:$S,14,0)*1</f>
        <v>17460.3174603175</v>
      </c>
      <c r="N15" s="162" t="n">
        <f aca="false">IFERROR(H15/M15-1,"")</f>
        <v>-1</v>
      </c>
      <c r="O15" s="145" t="n">
        <f aca="false">H15-M15</f>
        <v>-17460.3174603175</v>
      </c>
      <c r="Q15" s="147" t="n">
        <v>25000</v>
      </c>
      <c r="R15" s="162" t="n">
        <f aca="false">IFERROR(H15/Q15-1,"-")</f>
        <v>-1</v>
      </c>
      <c r="S15" s="162" t="n">
        <f aca="false">IFERROR(H15/Q15,"-")</f>
        <v>0</v>
      </c>
      <c r="T15" s="145" t="n">
        <f aca="false">H15-Q15</f>
        <v>-25000</v>
      </c>
      <c r="V15" s="145"/>
      <c r="W15" s="5" t="n">
        <f aca="false">H15-V15</f>
        <v>0</v>
      </c>
      <c r="X15" s="163" t="str">
        <f aca="false">IFERROR((G15/V15)-1,"-")</f>
        <v>-</v>
      </c>
    </row>
    <row r="16" customFormat="false" ht="15" hidden="false" customHeight="true" outlineLevel="0" collapsed="false">
      <c r="A16" s="168"/>
      <c r="B16" s="170"/>
      <c r="C16" s="170" t="s">
        <v>115</v>
      </c>
      <c r="D16" s="170" t="s">
        <v>115</v>
      </c>
      <c r="E16" s="170"/>
      <c r="F16" s="172" t="n">
        <f aca="false">SUM(F3:F15)+F50</f>
        <v>1292147.393</v>
      </c>
      <c r="G16" s="172" t="n">
        <f aca="false">SUM(G3:G15)+G50</f>
        <v>1542708.14</v>
      </c>
      <c r="H16" s="172" t="n">
        <f aca="false">SUM(H3:H15)+H50</f>
        <v>0</v>
      </c>
      <c r="I16" s="173" t="str">
        <f aca="false">IFERROR(H16/$H$19,"")</f>
        <v/>
      </c>
      <c r="J16" s="173" t="n">
        <f aca="false">IFERROR(H16/G16-1,"")</f>
        <v>-1</v>
      </c>
      <c r="K16" s="172" t="n">
        <f aca="false">SUM(K3:K15)+K50</f>
        <v>-1542708.14</v>
      </c>
      <c r="M16" s="172" t="n">
        <f aca="false">SUM(M3:M15)+M50</f>
        <v>1813888.88888889</v>
      </c>
      <c r="N16" s="173" t="n">
        <f aca="false">IFERROR(H16/M16-1,"")</f>
        <v>-1</v>
      </c>
      <c r="O16" s="172" t="n">
        <f aca="false">SUM(O3:O15)+O50</f>
        <v>-1813888.88888889</v>
      </c>
      <c r="Q16" s="172" t="n">
        <f aca="false">SUM(Q3:Q15)+Q50</f>
        <v>1645000</v>
      </c>
      <c r="R16" s="173" t="n">
        <f aca="false">IFERROR(H16/Q16-1,"-")</f>
        <v>-1</v>
      </c>
      <c r="S16" s="173" t="n">
        <f aca="false">IFERROR(H16/Q16,"-")</f>
        <v>0</v>
      </c>
      <c r="T16" s="172" t="n">
        <f aca="false">H16-Q16</f>
        <v>-1645000</v>
      </c>
      <c r="U16" s="174"/>
      <c r="V16" s="172"/>
      <c r="W16" s="175" t="n">
        <f aca="false">H16-V16</f>
        <v>0</v>
      </c>
      <c r="X16" s="176" t="str">
        <f aca="false">IFERROR((G16/V16)-1,"-")</f>
        <v>-</v>
      </c>
    </row>
    <row r="17" customFormat="false" ht="14.25" hidden="false" customHeight="true" outlineLevel="0" collapsed="false">
      <c r="A17" s="164" t="n">
        <v>2</v>
      </c>
      <c r="B17" s="161" t="s">
        <v>141</v>
      </c>
      <c r="C17" s="161" t="s">
        <v>45</v>
      </c>
      <c r="D17" s="161" t="s">
        <v>45</v>
      </c>
      <c r="E17" s="161" t="s">
        <v>32</v>
      </c>
      <c r="F17" s="145" t="n">
        <v>87038.7499999997</v>
      </c>
      <c r="G17" s="145" t="n">
        <v>249690.080000002</v>
      </c>
      <c r="H17" s="145"/>
      <c r="I17" s="162" t="str">
        <f aca="false">IFERROR(H17/$H$19,"")</f>
        <v/>
      </c>
      <c r="J17" s="162" t="n">
        <f aca="false">IFERROR(H17/G17-1,"")</f>
        <v>-1</v>
      </c>
      <c r="K17" s="145" t="n">
        <f aca="false">H17-G17</f>
        <v>-249690.080000002</v>
      </c>
      <c r="M17" s="145" t="n">
        <f aca="false">VLOOKUP(C17,'תקציב  '!$B:$S,14,0)*1</f>
        <v>1684810.16949153</v>
      </c>
      <c r="N17" s="162" t="n">
        <f aca="false">IFERROR(H17/M17-1,"")</f>
        <v>-1</v>
      </c>
      <c r="O17" s="145" t="n">
        <f aca="false">H17-M17</f>
        <v>-1684810.16949153</v>
      </c>
      <c r="Q17" s="147" t="n">
        <v>1012800</v>
      </c>
      <c r="R17" s="162" t="n">
        <f aca="false">IFERROR(H17/Q17-1,"-")</f>
        <v>-1</v>
      </c>
      <c r="S17" s="162" t="n">
        <f aca="false">IFERROR(H17/Q17,"-")</f>
        <v>0</v>
      </c>
      <c r="T17" s="145" t="n">
        <f aca="false">H17-Q17</f>
        <v>-1012800</v>
      </c>
      <c r="V17" s="145"/>
      <c r="W17" s="5" t="n">
        <f aca="false">H17-V17</f>
        <v>0</v>
      </c>
      <c r="X17" s="163" t="str">
        <f aca="false">IFERROR((G17/V17)-1,"-")</f>
        <v>-</v>
      </c>
    </row>
    <row r="18" customFormat="false" ht="14.25" hidden="false" customHeight="true" outlineLevel="0" collapsed="false">
      <c r="A18" s="164" t="n">
        <v>12</v>
      </c>
      <c r="B18" s="161" t="s">
        <v>142</v>
      </c>
      <c r="C18" s="161" t="s">
        <v>46</v>
      </c>
      <c r="D18" s="161" t="s">
        <v>46</v>
      </c>
      <c r="E18" s="161" t="s">
        <v>32</v>
      </c>
      <c r="F18" s="145" t="n">
        <v>3533.44</v>
      </c>
      <c r="G18" s="145" t="n">
        <v>1058.88</v>
      </c>
      <c r="H18" s="145"/>
      <c r="I18" s="162" t="str">
        <f aca="false">IFERROR(H18/$H$19,"")</f>
        <v/>
      </c>
      <c r="J18" s="162" t="n">
        <f aca="false">IFERROR(H18/G18-1,"")</f>
        <v>-1</v>
      </c>
      <c r="K18" s="145" t="n">
        <f aca="false">H18-G18</f>
        <v>-1058.88</v>
      </c>
      <c r="M18" s="145" t="n">
        <f aca="false">VLOOKUP(C18,'תקציב  '!$B:$S,14,0)*1</f>
        <v>2536.92833333333</v>
      </c>
      <c r="N18" s="162" t="n">
        <f aca="false">IFERROR(H18/M18-1,"")</f>
        <v>-1</v>
      </c>
      <c r="O18" s="145" t="n">
        <f aca="false">H18-M18</f>
        <v>-2536.92833333333</v>
      </c>
      <c r="Q18" s="147" t="n">
        <v>5000</v>
      </c>
      <c r="R18" s="162" t="n">
        <f aca="false">IFERROR(H18/Q18-1,"-")</f>
        <v>-1</v>
      </c>
      <c r="S18" s="162" t="n">
        <f aca="false">IFERROR(H18/Q18,"-")</f>
        <v>0</v>
      </c>
      <c r="T18" s="145" t="n">
        <f aca="false">H18-Q18</f>
        <v>-5000</v>
      </c>
      <c r="V18" s="145"/>
      <c r="W18" s="5" t="n">
        <f aca="false">H18-V18</f>
        <v>0</v>
      </c>
      <c r="X18" s="163" t="str">
        <f aca="false">IFERROR((G18/V18)-1,"-")</f>
        <v>-</v>
      </c>
    </row>
    <row r="19" customFormat="false" ht="15" hidden="false" customHeight="true" outlineLevel="0" collapsed="false">
      <c r="A19" s="165"/>
      <c r="B19" s="178"/>
      <c r="C19" s="178" t="s">
        <v>48</v>
      </c>
      <c r="D19" s="178" t="s">
        <v>48</v>
      </c>
      <c r="E19" s="178"/>
      <c r="F19" s="172" t="n">
        <f aca="false">F16+F17+F18</f>
        <v>1382719.583</v>
      </c>
      <c r="G19" s="172" t="n">
        <f aca="false">G16+G17+G18</f>
        <v>1793457.1</v>
      </c>
      <c r="H19" s="172" t="n">
        <f aca="false">H16+H17+H18</f>
        <v>0</v>
      </c>
      <c r="I19" s="173" t="str">
        <f aca="false">IFERROR(H19/$H$19,"")</f>
        <v/>
      </c>
      <c r="J19" s="173" t="n">
        <f aca="false">IFERROR(H19/G19-1,"")</f>
        <v>-1</v>
      </c>
      <c r="K19" s="172" t="n">
        <f aca="false">K16+K17+K18</f>
        <v>-1793457.1</v>
      </c>
      <c r="M19" s="172" t="n">
        <f aca="false">M16+M17+M18</f>
        <v>3501235.98671375</v>
      </c>
      <c r="N19" s="173" t="n">
        <f aca="false">IFERROR(H19/M19-1,"")</f>
        <v>-1</v>
      </c>
      <c r="O19" s="172" t="n">
        <f aca="false">O16+O17+O18</f>
        <v>-3501235.98671375</v>
      </c>
      <c r="Q19" s="172" t="n">
        <f aca="false">Q16+Q17+Q18</f>
        <v>2662800</v>
      </c>
      <c r="R19" s="173" t="n">
        <f aca="false">IFERROR(H19/Q19-1,"-")</f>
        <v>-1</v>
      </c>
      <c r="S19" s="173" t="n">
        <f aca="false">IFERROR(H19/Q19,"-")</f>
        <v>0</v>
      </c>
      <c r="T19" s="172" t="n">
        <f aca="false">H19-Q19</f>
        <v>-2662800</v>
      </c>
      <c r="U19" s="174"/>
      <c r="V19" s="172"/>
      <c r="W19" s="175" t="n">
        <f aca="false">H19-V19</f>
        <v>0</v>
      </c>
      <c r="X19" s="176" t="str">
        <f aca="false">IFERROR((G19/V19)-1,"-")</f>
        <v>-</v>
      </c>
    </row>
    <row r="20" customFormat="false" ht="14.25" hidden="false" customHeight="true" outlineLevel="0" collapsed="false">
      <c r="A20" s="165" t="n">
        <v>50</v>
      </c>
      <c r="B20" s="167" t="s">
        <v>143</v>
      </c>
      <c r="C20" s="167" t="s">
        <v>49</v>
      </c>
      <c r="D20" s="167" t="s">
        <v>50</v>
      </c>
      <c r="E20" s="167" t="s">
        <v>51</v>
      </c>
      <c r="F20" s="145" t="n">
        <v>169336.07</v>
      </c>
      <c r="G20" s="145" t="n">
        <v>271266.06</v>
      </c>
      <c r="H20" s="145"/>
      <c r="I20" s="162" t="str">
        <f aca="false">IFERROR(H20/$H$19,"")</f>
        <v/>
      </c>
      <c r="J20" s="162" t="n">
        <f aca="false">IFERROR(H20/G20-1,"")</f>
        <v>-1</v>
      </c>
      <c r="K20" s="145" t="n">
        <f aca="false">H20-G20</f>
        <v>-271266.06</v>
      </c>
      <c r="M20" s="145" t="n">
        <f aca="false">VLOOKUP(C20,'תקציב  '!$B:$S,14,0)*1</f>
        <v>398561.0817375</v>
      </c>
      <c r="N20" s="162" t="n">
        <f aca="false">IFERROR(H20/M20-1,"")</f>
        <v>-1</v>
      </c>
      <c r="O20" s="145" t="n">
        <f aca="false">H20-M20</f>
        <v>-398561.0817375</v>
      </c>
      <c r="Q20" s="147" t="n">
        <v>326122.5</v>
      </c>
      <c r="R20" s="162" t="n">
        <f aca="false">IFERROR(H20/Q20-1,"-")</f>
        <v>-1</v>
      </c>
      <c r="S20" s="162" t="n">
        <f aca="false">IFERROR(H20/Q20,"-")</f>
        <v>0</v>
      </c>
      <c r="T20" s="145" t="n">
        <f aca="false">H20-Q20</f>
        <v>-326122.5</v>
      </c>
      <c r="V20" s="145"/>
      <c r="W20" s="5" t="n">
        <f aca="false">H20-V20</f>
        <v>0</v>
      </c>
      <c r="X20" s="163" t="str">
        <f aca="false">IFERROR((G20/V20)-1,"-")</f>
        <v>-</v>
      </c>
    </row>
    <row r="21" customFormat="false" ht="14.25" hidden="false" customHeight="true" outlineLevel="0" collapsed="false">
      <c r="A21" s="165" t="n">
        <v>20</v>
      </c>
      <c r="B21" s="167" t="s">
        <v>144</v>
      </c>
      <c r="C21" s="167" t="s">
        <v>52</v>
      </c>
      <c r="D21" s="167" t="s">
        <v>53</v>
      </c>
      <c r="E21" s="167" t="s">
        <v>54</v>
      </c>
      <c r="F21" s="145" t="n">
        <v>0</v>
      </c>
      <c r="G21" s="145" t="n">
        <v>0</v>
      </c>
      <c r="H21" s="145"/>
      <c r="I21" s="162" t="str">
        <f aca="false">IFERROR(H21/$H$19,"")</f>
        <v/>
      </c>
      <c r="J21" s="162" t="str">
        <f aca="false">IFERROR(H21/G21-1,"")</f>
        <v/>
      </c>
      <c r="K21" s="145" t="n">
        <f aca="false">H21-G21</f>
        <v>0</v>
      </c>
      <c r="M21" s="145" t="n">
        <f aca="false">VLOOKUP(C21,'תקציב  '!$B:$S,14,0)*1</f>
        <v>0</v>
      </c>
      <c r="N21" s="162" t="str">
        <f aca="false">IFERROR(H21/M21-1,"")</f>
        <v/>
      </c>
      <c r="O21" s="145" t="n">
        <f aca="false">H21-M21</f>
        <v>0</v>
      </c>
      <c r="Q21" s="147" t="n">
        <v>0</v>
      </c>
      <c r="R21" s="162" t="str">
        <f aca="false">IFERROR(H21/Q21-1,"-")</f>
        <v>-</v>
      </c>
      <c r="S21" s="162" t="str">
        <f aca="false">IFERROR(H21/Q21,"-")</f>
        <v>-</v>
      </c>
      <c r="T21" s="145" t="n">
        <f aca="false">H21-Q21</f>
        <v>0</v>
      </c>
      <c r="V21" s="145"/>
      <c r="W21" s="5" t="n">
        <f aca="false">H21-V21</f>
        <v>0</v>
      </c>
      <c r="X21" s="163" t="str">
        <f aca="false">IFERROR((G21/V21)-1,"-")</f>
        <v>-</v>
      </c>
    </row>
    <row r="22" customFormat="false" ht="14.25" hidden="false" customHeight="true" outlineLevel="0" collapsed="false">
      <c r="A22" s="165" t="n">
        <v>21</v>
      </c>
      <c r="B22" s="167" t="s">
        <v>145</v>
      </c>
      <c r="C22" s="167" t="s">
        <v>55</v>
      </c>
      <c r="D22" s="167" t="s">
        <v>56</v>
      </c>
      <c r="E22" s="167" t="s">
        <v>57</v>
      </c>
      <c r="F22" s="145" t="n">
        <v>127411.06</v>
      </c>
      <c r="G22" s="145" t="n">
        <v>53932.22</v>
      </c>
      <c r="H22" s="145"/>
      <c r="I22" s="162" t="str">
        <f aca="false">IFERROR(H22/$H$19,"")</f>
        <v/>
      </c>
      <c r="J22" s="162" t="n">
        <f aca="false">IFERROR(H22/G22-1,"")</f>
        <v>-1</v>
      </c>
      <c r="K22" s="145" t="n">
        <f aca="false">H22-G22</f>
        <v>-53932.22</v>
      </c>
      <c r="M22" s="145" t="n">
        <f aca="false">VLOOKUP(C22,'תקציב  '!$B:$S,14,0)*1</f>
        <v>200000</v>
      </c>
      <c r="N22" s="162" t="n">
        <f aca="false">IFERROR(H22/M22-1,"")</f>
        <v>-1</v>
      </c>
      <c r="O22" s="145" t="n">
        <f aca="false">H22-M22</f>
        <v>-200000</v>
      </c>
      <c r="Q22" s="147" t="n">
        <v>220000</v>
      </c>
      <c r="R22" s="162" t="n">
        <f aca="false">IFERROR(H22/Q22-1,"-")</f>
        <v>-1</v>
      </c>
      <c r="S22" s="162" t="n">
        <f aca="false">IFERROR(H22/Q22,"-")</f>
        <v>0</v>
      </c>
      <c r="T22" s="145" t="n">
        <f aca="false">H22-Q22</f>
        <v>-220000</v>
      </c>
      <c r="V22" s="145"/>
      <c r="W22" s="5" t="n">
        <f aca="false">H22-V22</f>
        <v>0</v>
      </c>
      <c r="X22" s="163" t="str">
        <f aca="false">IFERROR((G22/V22)-1,"-")</f>
        <v>-</v>
      </c>
    </row>
    <row r="23" customFormat="false" ht="14.25" hidden="false" customHeight="true" outlineLevel="0" collapsed="false">
      <c r="A23" s="165" t="n">
        <v>22</v>
      </c>
      <c r="B23" s="167" t="s">
        <v>146</v>
      </c>
      <c r="C23" s="167" t="s">
        <v>58</v>
      </c>
      <c r="D23" s="167" t="s">
        <v>59</v>
      </c>
      <c r="E23" s="167" t="s">
        <v>60</v>
      </c>
      <c r="F23" s="145" t="n">
        <v>0</v>
      </c>
      <c r="G23" s="145" t="n">
        <v>83397.79</v>
      </c>
      <c r="H23" s="145"/>
      <c r="I23" s="162" t="str">
        <f aca="false">IFERROR(H23/$H$19,"")</f>
        <v/>
      </c>
      <c r="J23" s="162" t="n">
        <f aca="false">IFERROR(H23/G23-1,"")</f>
        <v>-1</v>
      </c>
      <c r="K23" s="145" t="n">
        <f aca="false">H23-G23</f>
        <v>-83397.79</v>
      </c>
      <c r="M23" s="145" t="n">
        <f aca="false">VLOOKUP(C23,'תקציב  '!$B:$S,14,0)*1</f>
        <v>82841</v>
      </c>
      <c r="N23" s="162" t="n">
        <f aca="false">IFERROR(H23/M23-1,"")</f>
        <v>-1</v>
      </c>
      <c r="O23" s="145" t="n">
        <f aca="false">H23-M23</f>
        <v>-82841</v>
      </c>
      <c r="Q23" s="147" t="n">
        <v>75000</v>
      </c>
      <c r="R23" s="162" t="n">
        <f aca="false">IFERROR(H23/Q23-1,"-")</f>
        <v>-1</v>
      </c>
      <c r="S23" s="162" t="n">
        <f aca="false">IFERROR(H23/Q23,"-")</f>
        <v>0</v>
      </c>
      <c r="T23" s="145" t="n">
        <f aca="false">H23-Q23</f>
        <v>-75000</v>
      </c>
      <c r="V23" s="145"/>
      <c r="W23" s="5" t="n">
        <f aca="false">H23-V23</f>
        <v>0</v>
      </c>
      <c r="X23" s="163" t="str">
        <f aca="false">IFERROR((G23/V23)-1,"-")</f>
        <v>-</v>
      </c>
    </row>
    <row r="24" customFormat="false" ht="14.25" hidden="false" customHeight="true" outlineLevel="0" collapsed="false">
      <c r="A24" s="165" t="n">
        <v>23</v>
      </c>
      <c r="B24" s="167" t="s">
        <v>147</v>
      </c>
      <c r="C24" s="167" t="s">
        <v>61</v>
      </c>
      <c r="D24" s="167" t="s">
        <v>62</v>
      </c>
      <c r="E24" s="167" t="s">
        <v>63</v>
      </c>
      <c r="F24" s="145" t="n">
        <v>17813.97</v>
      </c>
      <c r="G24" s="145" t="n">
        <v>15684.33</v>
      </c>
      <c r="H24" s="145"/>
      <c r="I24" s="162" t="str">
        <f aca="false">IFERROR(H24/$H$19,"")</f>
        <v/>
      </c>
      <c r="J24" s="162" t="n">
        <f aca="false">IFERROR(H24/G24-1,"")</f>
        <v>-1</v>
      </c>
      <c r="K24" s="145" t="n">
        <f aca="false">H24-G24</f>
        <v>-15684.33</v>
      </c>
      <c r="M24" s="145" t="n">
        <f aca="false">VLOOKUP(C24,'תקציב  '!$B:$S,14,0)*1</f>
        <v>17000</v>
      </c>
      <c r="N24" s="162" t="n">
        <f aca="false">IFERROR(H24/M24-1,"")</f>
        <v>-1</v>
      </c>
      <c r="O24" s="145" t="n">
        <f aca="false">H24-M24</f>
        <v>-17000</v>
      </c>
      <c r="Q24" s="147" t="n">
        <v>20000</v>
      </c>
      <c r="R24" s="162" t="n">
        <f aca="false">IFERROR(H24/Q24-1,"-")</f>
        <v>-1</v>
      </c>
      <c r="S24" s="162" t="n">
        <f aca="false">IFERROR(H24/Q24,"-")</f>
        <v>0</v>
      </c>
      <c r="T24" s="145" t="n">
        <f aca="false">H24-Q24</f>
        <v>-20000</v>
      </c>
      <c r="V24" s="145"/>
      <c r="W24" s="5" t="n">
        <f aca="false">H24-V24</f>
        <v>0</v>
      </c>
      <c r="X24" s="163" t="str">
        <f aca="false">IFERROR((G24/V24)-1,"-")</f>
        <v>-</v>
      </c>
    </row>
    <row r="25" customFormat="false" ht="14.25" hidden="false" customHeight="true" outlineLevel="0" collapsed="false">
      <c r="A25" s="165" t="n">
        <v>24</v>
      </c>
      <c r="B25" s="167" t="s">
        <v>148</v>
      </c>
      <c r="C25" s="167" t="s">
        <v>64</v>
      </c>
      <c r="D25" s="167" t="s">
        <v>65</v>
      </c>
      <c r="E25" s="167" t="s">
        <v>66</v>
      </c>
      <c r="F25" s="145" t="n">
        <v>44572.45</v>
      </c>
      <c r="G25" s="145" t="n">
        <v>0</v>
      </c>
      <c r="H25" s="145"/>
      <c r="I25" s="162" t="str">
        <f aca="false">IFERROR(H25/$H$19,"")</f>
        <v/>
      </c>
      <c r="J25" s="162" t="str">
        <f aca="false">IFERROR(H25/G25-1,"")</f>
        <v/>
      </c>
      <c r="K25" s="145" t="n">
        <f aca="false">H25-G25</f>
        <v>0</v>
      </c>
      <c r="M25" s="145" t="n">
        <f aca="false">VLOOKUP(C25,'תקציב  '!$B:$S,14,0)*1</f>
        <v>5000</v>
      </c>
      <c r="N25" s="162" t="n">
        <f aca="false">IFERROR(H25/M25-1,"")</f>
        <v>-1</v>
      </c>
      <c r="O25" s="145" t="n">
        <f aca="false">H25-M25</f>
        <v>-5000</v>
      </c>
      <c r="Q25" s="147" t="n">
        <v>0</v>
      </c>
      <c r="R25" s="162" t="str">
        <f aca="false">IFERROR(H25/Q25-1,"-")</f>
        <v>-</v>
      </c>
      <c r="S25" s="162" t="str">
        <f aca="false">IFERROR(H25/Q25,"-")</f>
        <v>-</v>
      </c>
      <c r="T25" s="145" t="n">
        <f aca="false">H25-Q25</f>
        <v>0</v>
      </c>
      <c r="V25" s="145"/>
      <c r="W25" s="5" t="n">
        <f aca="false">H25-V25</f>
        <v>0</v>
      </c>
      <c r="X25" s="163" t="str">
        <f aca="false">IFERROR((G25/V25)-1,"-")</f>
        <v>-</v>
      </c>
    </row>
    <row r="26" customFormat="false" ht="13.5" hidden="false" customHeight="true" outlineLevel="0" collapsed="false">
      <c r="A26" s="165" t="n">
        <v>25</v>
      </c>
      <c r="B26" s="167" t="s">
        <v>149</v>
      </c>
      <c r="C26" s="167" t="s">
        <v>67</v>
      </c>
      <c r="D26" s="167" t="s">
        <v>68</v>
      </c>
      <c r="E26" s="167" t="s">
        <v>69</v>
      </c>
      <c r="F26" s="145" t="n">
        <v>0</v>
      </c>
      <c r="G26" s="145" t="n">
        <v>0</v>
      </c>
      <c r="H26" s="145"/>
      <c r="I26" s="162" t="str">
        <f aca="false">IFERROR(H26/$H$19,"")</f>
        <v/>
      </c>
      <c r="J26" s="162" t="str">
        <f aca="false">IFERROR(H26/G26-1,"")</f>
        <v/>
      </c>
      <c r="K26" s="145" t="n">
        <f aca="false">H26-G26</f>
        <v>0</v>
      </c>
      <c r="M26" s="145" t="n">
        <f aca="false">VLOOKUP(C26,'תקציב  '!$B:$S,14,0)*1</f>
        <v>150000</v>
      </c>
      <c r="N26" s="162" t="n">
        <f aca="false">IFERROR(H26/M26-1,"")</f>
        <v>-1</v>
      </c>
      <c r="O26" s="145" t="n">
        <f aca="false">H26-M26</f>
        <v>-150000</v>
      </c>
      <c r="Q26" s="147" t="n">
        <v>70000</v>
      </c>
      <c r="R26" s="162" t="n">
        <f aca="false">IFERROR(H26/Q26-1,"-")</f>
        <v>-1</v>
      </c>
      <c r="S26" s="162" t="n">
        <f aca="false">IFERROR(H26/Q26,"-")</f>
        <v>0</v>
      </c>
      <c r="T26" s="145" t="n">
        <f aca="false">H26-Q26</f>
        <v>-70000</v>
      </c>
      <c r="V26" s="145"/>
      <c r="W26" s="5" t="n">
        <f aca="false">H26-V26</f>
        <v>0</v>
      </c>
      <c r="X26" s="163" t="str">
        <f aca="false">IFERROR((G26/V26)-1,"-")</f>
        <v>-</v>
      </c>
    </row>
    <row r="27" customFormat="false" ht="14.25" hidden="false" customHeight="true" outlineLevel="0" collapsed="false">
      <c r="A27" s="165" t="n">
        <v>26</v>
      </c>
      <c r="B27" s="167" t="s">
        <v>150</v>
      </c>
      <c r="C27" s="167" t="s">
        <v>70</v>
      </c>
      <c r="D27" s="167" t="s">
        <v>71</v>
      </c>
      <c r="E27" s="167" t="s">
        <v>72</v>
      </c>
      <c r="F27" s="145" t="n">
        <v>0</v>
      </c>
      <c r="G27" s="145" t="n">
        <v>0</v>
      </c>
      <c r="H27" s="145"/>
      <c r="I27" s="162" t="str">
        <f aca="false">IFERROR(H27/$H$19,"")</f>
        <v/>
      </c>
      <c r="J27" s="162" t="str">
        <f aca="false">IFERROR(H27/G27-1,"")</f>
        <v/>
      </c>
      <c r="K27" s="145" t="n">
        <f aca="false">H27-G27</f>
        <v>0</v>
      </c>
      <c r="M27" s="145" t="n">
        <f aca="false">VLOOKUP(C27,'תקציב  '!$B:$S,14,0)*1</f>
        <v>40000</v>
      </c>
      <c r="N27" s="162" t="n">
        <f aca="false">IFERROR(H27/M27-1,"")</f>
        <v>-1</v>
      </c>
      <c r="O27" s="145" t="n">
        <f aca="false">H27-M27</f>
        <v>-40000</v>
      </c>
      <c r="Q27" s="147" t="n">
        <v>20000</v>
      </c>
      <c r="R27" s="162" t="n">
        <f aca="false">IFERROR(H27/Q27-1,"-")</f>
        <v>-1</v>
      </c>
      <c r="S27" s="162" t="n">
        <f aca="false">IFERROR(H27/Q27,"-")</f>
        <v>0</v>
      </c>
      <c r="T27" s="145" t="n">
        <f aca="false">H27-Q27</f>
        <v>-20000</v>
      </c>
      <c r="V27" s="145"/>
      <c r="W27" s="5" t="n">
        <f aca="false">H27-V27</f>
        <v>0</v>
      </c>
      <c r="X27" s="163" t="str">
        <f aca="false">IFERROR((G27/V27)-1,"-")</f>
        <v>-</v>
      </c>
    </row>
    <row r="28" customFormat="false" ht="13.5" hidden="false" customHeight="true" outlineLevel="0" collapsed="false">
      <c r="A28" s="165" t="n">
        <v>27</v>
      </c>
      <c r="B28" s="167" t="s">
        <v>151</v>
      </c>
      <c r="C28" s="167" t="s">
        <v>73</v>
      </c>
      <c r="D28" s="167" t="s">
        <v>74</v>
      </c>
      <c r="E28" s="167" t="s">
        <v>75</v>
      </c>
      <c r="F28" s="145" t="n">
        <v>115405.87</v>
      </c>
      <c r="G28" s="145" t="n">
        <v>256771.88</v>
      </c>
      <c r="H28" s="145"/>
      <c r="I28" s="162" t="str">
        <f aca="false">IFERROR(H28/$H$19,"")</f>
        <v/>
      </c>
      <c r="J28" s="162" t="n">
        <f aca="false">IFERROR(H28/G28-1,"")</f>
        <v>-1</v>
      </c>
      <c r="K28" s="145" t="n">
        <f aca="false">H28-G28</f>
        <v>-256771.88</v>
      </c>
      <c r="M28" s="145" t="n">
        <f aca="false">VLOOKUP(C28,'תקציב  '!$B:$S,14,0)*1</f>
        <v>0</v>
      </c>
      <c r="N28" s="162" t="str">
        <f aca="false">IFERROR(H28/M28-1,"")</f>
        <v/>
      </c>
      <c r="O28" s="145" t="n">
        <f aca="false">H28-M28</f>
        <v>0</v>
      </c>
      <c r="Q28" s="147" t="n">
        <v>0</v>
      </c>
      <c r="R28" s="162" t="str">
        <f aca="false">IFERROR(H28/Q28-1,"-")</f>
        <v>-</v>
      </c>
      <c r="S28" s="162" t="str">
        <f aca="false">IFERROR(H28/Q28,"-")</f>
        <v>-</v>
      </c>
      <c r="T28" s="145" t="n">
        <f aca="false">H28-Q28</f>
        <v>0</v>
      </c>
      <c r="V28" s="145"/>
      <c r="W28" s="5" t="n">
        <f aca="false">H28-V28</f>
        <v>0</v>
      </c>
      <c r="X28" s="163" t="str">
        <f aca="false">IFERROR((G28/V28)-1,"-")</f>
        <v>-</v>
      </c>
    </row>
    <row r="29" customFormat="false" ht="13.5" hidden="false" customHeight="true" outlineLevel="0" collapsed="false">
      <c r="A29" s="165" t="n">
        <v>28</v>
      </c>
      <c r="B29" s="167" t="s">
        <v>152</v>
      </c>
      <c r="C29" s="167" t="s">
        <v>76</v>
      </c>
      <c r="D29" s="167" t="s">
        <v>77</v>
      </c>
      <c r="E29" s="167" t="s">
        <v>78</v>
      </c>
      <c r="F29" s="145" t="n">
        <v>62633.86</v>
      </c>
      <c r="G29" s="145" t="n">
        <v>29107.59</v>
      </c>
      <c r="H29" s="145"/>
      <c r="I29" s="162" t="str">
        <f aca="false">IFERROR(H29/$H$19,"")</f>
        <v/>
      </c>
      <c r="J29" s="162" t="n">
        <f aca="false">IFERROR(H29/G29-1,"")</f>
        <v>-1</v>
      </c>
      <c r="K29" s="145" t="n">
        <f aca="false">H29-G29</f>
        <v>-29107.59</v>
      </c>
      <c r="M29" s="145" t="n">
        <f aca="false">VLOOKUP(C29,'תקציב  '!$B:$S,14,0)*1</f>
        <v>39765.076</v>
      </c>
      <c r="N29" s="162" t="n">
        <f aca="false">IFERROR(H29/M29-1,"")</f>
        <v>-1</v>
      </c>
      <c r="O29" s="145" t="n">
        <f aca="false">H29-M29</f>
        <v>-39765.076</v>
      </c>
      <c r="Q29" s="147" t="n">
        <v>40000</v>
      </c>
      <c r="R29" s="162" t="n">
        <f aca="false">IFERROR(H29/Q29-1,"-")</f>
        <v>-1</v>
      </c>
      <c r="S29" s="162" t="n">
        <f aca="false">IFERROR(H29/Q29,"-")</f>
        <v>0</v>
      </c>
      <c r="T29" s="145" t="n">
        <f aca="false">H29-Q29</f>
        <v>-40000</v>
      </c>
      <c r="V29" s="145"/>
      <c r="W29" s="5" t="n">
        <f aca="false">H29-V29</f>
        <v>0</v>
      </c>
      <c r="X29" s="163" t="str">
        <f aca="false">IFERROR((G29/V29)-1,"-")</f>
        <v>-</v>
      </c>
    </row>
    <row r="30" customFormat="false" ht="14.25" hidden="false" customHeight="true" outlineLevel="0" collapsed="false">
      <c r="A30" s="165" t="n">
        <v>29</v>
      </c>
      <c r="B30" s="167" t="s">
        <v>153</v>
      </c>
      <c r="C30" s="167" t="s">
        <v>79</v>
      </c>
      <c r="D30" s="167" t="s">
        <v>80</v>
      </c>
      <c r="E30" s="167" t="s">
        <v>81</v>
      </c>
      <c r="F30" s="145" t="n">
        <v>0</v>
      </c>
      <c r="G30" s="145" t="n">
        <v>32544.41</v>
      </c>
      <c r="H30" s="145"/>
      <c r="I30" s="162" t="str">
        <f aca="false">IFERROR(H30/$H$19,"")</f>
        <v/>
      </c>
      <c r="J30" s="162" t="n">
        <f aca="false">IFERROR(H30/G30-1,"")</f>
        <v>-1</v>
      </c>
      <c r="K30" s="145" t="n">
        <f aca="false">H30-G30</f>
        <v>-32544.41</v>
      </c>
      <c r="M30" s="145" t="n">
        <f aca="false">VLOOKUP(C30,'תקציב  '!$B:$S,14,0)*1</f>
        <v>0</v>
      </c>
      <c r="N30" s="162" t="str">
        <f aca="false">IFERROR(H30/M30-1,"")</f>
        <v/>
      </c>
      <c r="O30" s="145" t="n">
        <f aca="false">H30-M30</f>
        <v>0</v>
      </c>
      <c r="Q30" s="147" t="n">
        <v>0</v>
      </c>
      <c r="R30" s="162" t="str">
        <f aca="false">IFERROR(H30/Q30-1,"-")</f>
        <v>-</v>
      </c>
      <c r="S30" s="162" t="str">
        <f aca="false">IFERROR(H30/Q30,"-")</f>
        <v>-</v>
      </c>
      <c r="T30" s="145" t="n">
        <f aca="false">H30-Q30</f>
        <v>0</v>
      </c>
      <c r="V30" s="145"/>
      <c r="W30" s="5" t="n">
        <f aca="false">H30-V30</f>
        <v>0</v>
      </c>
      <c r="X30" s="163" t="str">
        <f aca="false">IFERROR((G30/V30)-1,"-")</f>
        <v>-</v>
      </c>
    </row>
    <row r="31" customFormat="false" ht="14.25" hidden="false" customHeight="true" outlineLevel="0" collapsed="false">
      <c r="A31" s="165" t="n">
        <v>30</v>
      </c>
      <c r="B31" s="167" t="s">
        <v>154</v>
      </c>
      <c r="C31" s="167" t="s">
        <v>82</v>
      </c>
      <c r="D31" s="167" t="s">
        <v>83</v>
      </c>
      <c r="E31" s="167" t="s">
        <v>81</v>
      </c>
      <c r="F31" s="145" t="n">
        <v>0</v>
      </c>
      <c r="G31" s="145" t="n">
        <v>0.08</v>
      </c>
      <c r="H31" s="145"/>
      <c r="I31" s="162" t="str">
        <f aca="false">IFERROR(H31/$H$19,"")</f>
        <v/>
      </c>
      <c r="J31" s="162" t="n">
        <f aca="false">IFERROR(H31/G31-1,"")</f>
        <v>-1</v>
      </c>
      <c r="K31" s="145" t="n">
        <f aca="false">H31-G31</f>
        <v>-0.08</v>
      </c>
      <c r="M31" s="145" t="n">
        <f aca="false">VLOOKUP(C31,'תקציב  '!$B:$S,14,0)*1</f>
        <v>19793</v>
      </c>
      <c r="N31" s="162" t="n">
        <f aca="false">IFERROR(H31/M31-1,"")</f>
        <v>-1</v>
      </c>
      <c r="O31" s="145" t="n">
        <f aca="false">H31-M31</f>
        <v>-19793</v>
      </c>
      <c r="Q31" s="147" t="n">
        <v>0</v>
      </c>
      <c r="R31" s="162" t="str">
        <f aca="false">IFERROR(H31/Q31-1,"-")</f>
        <v>-</v>
      </c>
      <c r="S31" s="162" t="str">
        <f aca="false">IFERROR(H31/Q31,"-")</f>
        <v>-</v>
      </c>
      <c r="T31" s="145" t="n">
        <f aca="false">H31-Q31</f>
        <v>0</v>
      </c>
      <c r="V31" s="145"/>
      <c r="W31" s="5" t="n">
        <f aca="false">H31-V31</f>
        <v>0</v>
      </c>
      <c r="X31" s="163" t="str">
        <f aca="false">IFERROR((G31/V31)-1,"-")</f>
        <v>-</v>
      </c>
    </row>
    <row r="32" customFormat="false" ht="13.5" hidden="false" customHeight="true" outlineLevel="0" collapsed="false">
      <c r="A32" s="165" t="n">
        <v>31</v>
      </c>
      <c r="B32" s="167" t="s">
        <v>84</v>
      </c>
      <c r="C32" s="167" t="s">
        <v>84</v>
      </c>
      <c r="D32" s="167" t="s">
        <v>85</v>
      </c>
      <c r="E32" s="167" t="s">
        <v>86</v>
      </c>
      <c r="F32" s="145" t="n">
        <v>0</v>
      </c>
      <c r="G32" s="145" t="n">
        <v>0</v>
      </c>
      <c r="H32" s="145"/>
      <c r="I32" s="162" t="str">
        <f aca="false">IFERROR(H32/$H$19,"")</f>
        <v/>
      </c>
      <c r="J32" s="162" t="str">
        <f aca="false">IFERROR(H32/G32-1,"")</f>
        <v/>
      </c>
      <c r="K32" s="145" t="n">
        <f aca="false">H32-G32</f>
        <v>0</v>
      </c>
      <c r="M32" s="145" t="n">
        <f aca="false">VLOOKUP(C32,'תקציב  '!$B:$S,14,0)*1</f>
        <v>0</v>
      </c>
      <c r="N32" s="162" t="str">
        <f aca="false">IFERROR(H32/M32-1,"")</f>
        <v/>
      </c>
      <c r="O32" s="145" t="n">
        <f aca="false">H32-M32</f>
        <v>0</v>
      </c>
      <c r="Q32" s="147" t="n">
        <v>0</v>
      </c>
      <c r="R32" s="162" t="str">
        <f aca="false">IFERROR(H32/Q32-1,"-")</f>
        <v>-</v>
      </c>
      <c r="S32" s="162" t="str">
        <f aca="false">IFERROR(H32/Q32,"-")</f>
        <v>-</v>
      </c>
      <c r="T32" s="145" t="n">
        <f aca="false">H32-Q32</f>
        <v>0</v>
      </c>
      <c r="V32" s="145"/>
      <c r="W32" s="5" t="n">
        <f aca="false">H32-V32</f>
        <v>0</v>
      </c>
      <c r="X32" s="163" t="str">
        <f aca="false">IFERROR((G32/V32)-1,"-")</f>
        <v>-</v>
      </c>
    </row>
    <row r="33" customFormat="false" ht="13.5" hidden="false" customHeight="true" outlineLevel="0" collapsed="false">
      <c r="A33" s="165"/>
      <c r="B33" s="167"/>
      <c r="C33" s="167"/>
      <c r="D33" s="167" t="s">
        <v>155</v>
      </c>
      <c r="E33" s="167" t="s">
        <v>156</v>
      </c>
      <c r="F33" s="145"/>
      <c r="G33" s="145"/>
      <c r="H33" s="145"/>
      <c r="I33" s="162" t="str">
        <f aca="false">IFERROR(H33/$H$19,"")</f>
        <v/>
      </c>
      <c r="J33" s="162" t="str">
        <f aca="false">IFERROR(H33/G33-1,"")</f>
        <v/>
      </c>
      <c r="K33" s="145" t="n">
        <f aca="false">H33-G33</f>
        <v>0</v>
      </c>
      <c r="M33" s="145"/>
      <c r="N33" s="162" t="str">
        <f aca="false">IFERROR(H33/M33-1,"")</f>
        <v/>
      </c>
      <c r="O33" s="145" t="n">
        <f aca="false">H33-M33</f>
        <v>0</v>
      </c>
      <c r="Q33" s="147" t="n">
        <v>0</v>
      </c>
      <c r="R33" s="162" t="str">
        <f aca="false">IFERROR(H33/Q33-1,"-")</f>
        <v>-</v>
      </c>
      <c r="S33" s="162" t="str">
        <f aca="false">IFERROR(H33/Q33,"-")</f>
        <v>-</v>
      </c>
      <c r="T33" s="145" t="n">
        <f aca="false">H33-Q33</f>
        <v>0</v>
      </c>
      <c r="V33" s="145"/>
      <c r="W33" s="5" t="n">
        <f aca="false">H33-V33</f>
        <v>0</v>
      </c>
      <c r="X33" s="163" t="str">
        <f aca="false">IFERROR((G33/V33)-1,"-")</f>
        <v>-</v>
      </c>
    </row>
    <row r="34" customFormat="false" ht="13.5" hidden="false" customHeight="true" outlineLevel="0" collapsed="false">
      <c r="A34" s="165" t="n">
        <v>32</v>
      </c>
      <c r="B34" s="167" t="s">
        <v>157</v>
      </c>
      <c r="C34" s="167" t="s">
        <v>87</v>
      </c>
      <c r="D34" s="167" t="s">
        <v>88</v>
      </c>
      <c r="E34" s="167" t="s">
        <v>89</v>
      </c>
      <c r="F34" s="145" t="n">
        <v>0</v>
      </c>
      <c r="G34" s="145" t="n">
        <v>0</v>
      </c>
      <c r="H34" s="145"/>
      <c r="I34" s="162" t="str">
        <f aca="false">IFERROR(H34/$H$19,"")</f>
        <v/>
      </c>
      <c r="J34" s="162" t="str">
        <f aca="false">IFERROR(H34/G34-1,"")</f>
        <v/>
      </c>
      <c r="K34" s="145" t="n">
        <f aca="false">H34-G34</f>
        <v>0</v>
      </c>
      <c r="M34" s="145" t="n">
        <f aca="false">VLOOKUP(C34,'תקציב  '!$B:$S,14,0)*1</f>
        <v>0</v>
      </c>
      <c r="N34" s="162" t="str">
        <f aca="false">IFERROR(H34/M34-1,"")</f>
        <v/>
      </c>
      <c r="O34" s="145" t="n">
        <f aca="false">H34-M34</f>
        <v>0</v>
      </c>
      <c r="Q34" s="147" t="n">
        <v>0</v>
      </c>
      <c r="R34" s="162" t="str">
        <f aca="false">IFERROR(H34/Q34-1,"-")</f>
        <v>-</v>
      </c>
      <c r="S34" s="162" t="str">
        <f aca="false">IFERROR(H34/Q34,"-")</f>
        <v>-</v>
      </c>
      <c r="T34" s="145" t="n">
        <f aca="false">H34-Q34</f>
        <v>0</v>
      </c>
      <c r="V34" s="145"/>
      <c r="W34" s="5" t="n">
        <f aca="false">H34-V34</f>
        <v>0</v>
      </c>
      <c r="X34" s="163" t="str">
        <f aca="false">IFERROR((G34/V34)-1,"-")</f>
        <v>-</v>
      </c>
    </row>
    <row r="35" customFormat="false" ht="13.5" hidden="false" customHeight="true" outlineLevel="0" collapsed="false">
      <c r="A35" s="165" t="n">
        <v>33</v>
      </c>
      <c r="B35" s="167" t="s">
        <v>158</v>
      </c>
      <c r="C35" s="167" t="s">
        <v>90</v>
      </c>
      <c r="D35" s="167" t="s">
        <v>91</v>
      </c>
      <c r="E35" s="167" t="s">
        <v>92</v>
      </c>
      <c r="F35" s="145" t="n">
        <v>0</v>
      </c>
      <c r="G35" s="145" t="n">
        <v>23331.65</v>
      </c>
      <c r="H35" s="145"/>
      <c r="I35" s="162" t="str">
        <f aca="false">IFERROR(H35/$H$19,"")</f>
        <v/>
      </c>
      <c r="J35" s="162" t="n">
        <f aca="false">IFERROR(H35/G35-1,"")</f>
        <v>-1</v>
      </c>
      <c r="K35" s="145" t="n">
        <f aca="false">H35-G35</f>
        <v>-23331.65</v>
      </c>
      <c r="M35" s="145" t="n">
        <f aca="false">VLOOKUP(C35,'תקציב  '!$B:$S,14,0)*1</f>
        <v>40000</v>
      </c>
      <c r="N35" s="162" t="n">
        <f aca="false">IFERROR(H35/M35-1,"")</f>
        <v>-1</v>
      </c>
      <c r="O35" s="145" t="n">
        <f aca="false">H35-M35</f>
        <v>-40000</v>
      </c>
      <c r="Q35" s="147" t="n">
        <v>0</v>
      </c>
      <c r="R35" s="162" t="str">
        <f aca="false">IFERROR(H35/Q35-1,"-")</f>
        <v>-</v>
      </c>
      <c r="S35" s="162" t="str">
        <f aca="false">IFERROR(H35/Q35,"-")</f>
        <v>-</v>
      </c>
      <c r="T35" s="145" t="n">
        <f aca="false">H35-Q35</f>
        <v>0</v>
      </c>
      <c r="V35" s="145"/>
      <c r="W35" s="5" t="n">
        <f aca="false">H35-V35</f>
        <v>0</v>
      </c>
      <c r="X35" s="163" t="str">
        <f aca="false">IFERROR((G35/V35)-1,"-")</f>
        <v>-</v>
      </c>
    </row>
    <row r="36" customFormat="false" ht="14.25" hidden="false" customHeight="true" outlineLevel="0" collapsed="false">
      <c r="A36" s="165"/>
      <c r="B36" s="167" t="s">
        <v>159</v>
      </c>
      <c r="C36" s="167" t="s">
        <v>159</v>
      </c>
      <c r="D36" s="167" t="s">
        <v>160</v>
      </c>
      <c r="E36" s="167" t="s">
        <v>78</v>
      </c>
      <c r="F36" s="145" t="n">
        <v>0</v>
      </c>
      <c r="G36" s="145" t="n">
        <v>0</v>
      </c>
      <c r="H36" s="145"/>
      <c r="I36" s="162" t="str">
        <f aca="false">IFERROR(H36/$H$19,"")</f>
        <v/>
      </c>
      <c r="J36" s="162" t="str">
        <f aca="false">IFERROR(H36/G36-1,"")</f>
        <v/>
      </c>
      <c r="K36" s="145" t="n">
        <f aca="false">H36-G36</f>
        <v>0</v>
      </c>
      <c r="M36" s="145"/>
      <c r="N36" s="162" t="str">
        <f aca="false">IFERROR(H36/M36-1,"")</f>
        <v/>
      </c>
      <c r="O36" s="145" t="n">
        <f aca="false">H36-M36</f>
        <v>0</v>
      </c>
      <c r="Q36" s="147" t="n">
        <v>0</v>
      </c>
      <c r="R36" s="162" t="str">
        <f aca="false">IFERROR(H36/Q36-1,"-")</f>
        <v>-</v>
      </c>
      <c r="S36" s="162" t="str">
        <f aca="false">IFERROR(H36/Q36,"-")</f>
        <v>-</v>
      </c>
      <c r="T36" s="145" t="n">
        <f aca="false">H36-Q36</f>
        <v>0</v>
      </c>
      <c r="V36" s="145"/>
      <c r="W36" s="5" t="n">
        <f aca="false">H36-V36</f>
        <v>0</v>
      </c>
      <c r="X36" s="163" t="str">
        <f aca="false">IFERROR((G36/V36)-1,"-")</f>
        <v>-</v>
      </c>
    </row>
    <row r="37" customFormat="false" ht="14.25" hidden="false" customHeight="true" outlineLevel="0" collapsed="false">
      <c r="A37" s="165" t="n">
        <v>34</v>
      </c>
      <c r="B37" s="167" t="s">
        <v>161</v>
      </c>
      <c r="C37" s="167" t="s">
        <v>161</v>
      </c>
      <c r="D37" s="167" t="s">
        <v>93</v>
      </c>
      <c r="E37" s="167" t="s">
        <v>162</v>
      </c>
      <c r="F37" s="145" t="n">
        <v>0</v>
      </c>
      <c r="G37" s="145" t="n">
        <v>0</v>
      </c>
      <c r="H37" s="145"/>
      <c r="I37" s="162" t="str">
        <f aca="false">IFERROR(H37/$H$19,"")</f>
        <v/>
      </c>
      <c r="J37" s="162" t="str">
        <f aca="false">IFERROR(H37/G37-1,"")</f>
        <v/>
      </c>
      <c r="K37" s="145" t="n">
        <f aca="false">H37-G37</f>
        <v>0</v>
      </c>
      <c r="M37" s="145"/>
      <c r="N37" s="162" t="str">
        <f aca="false">IFERROR(H37/M37-1,"")</f>
        <v/>
      </c>
      <c r="O37" s="145" t="n">
        <f aca="false">H37-M37</f>
        <v>0</v>
      </c>
      <c r="Q37" s="147" t="n">
        <v>0</v>
      </c>
      <c r="R37" s="162" t="str">
        <f aca="false">IFERROR(H37/Q37-1,"-")</f>
        <v>-</v>
      </c>
      <c r="S37" s="162" t="str">
        <f aca="false">IFERROR(H37/Q37,"-")</f>
        <v>-</v>
      </c>
      <c r="T37" s="145" t="n">
        <f aca="false">H37-Q37</f>
        <v>0</v>
      </c>
      <c r="V37" s="145"/>
      <c r="W37" s="5" t="n">
        <f aca="false">H37-V37</f>
        <v>0</v>
      </c>
      <c r="X37" s="163" t="str">
        <f aca="false">IFERROR((G37/V37)-1,"-")</f>
        <v>-</v>
      </c>
    </row>
    <row r="38" customFormat="false" ht="13.5" hidden="false" customHeight="true" outlineLevel="0" collapsed="false">
      <c r="A38" s="165" t="n">
        <v>35</v>
      </c>
      <c r="B38" s="167" t="s">
        <v>94</v>
      </c>
      <c r="C38" s="167" t="s">
        <v>94</v>
      </c>
      <c r="D38" s="167" t="s">
        <v>95</v>
      </c>
      <c r="E38" s="167" t="s">
        <v>51</v>
      </c>
      <c r="F38" s="145" t="n">
        <v>0</v>
      </c>
      <c r="G38" s="145" t="n">
        <v>0</v>
      </c>
      <c r="H38" s="145"/>
      <c r="I38" s="162" t="str">
        <f aca="false">IFERROR(H38/$H$19,"")</f>
        <v/>
      </c>
      <c r="J38" s="162" t="str">
        <f aca="false">IFERROR(H38/G38-1,"")</f>
        <v/>
      </c>
      <c r="K38" s="145" t="n">
        <f aca="false">H38-G38</f>
        <v>0</v>
      </c>
      <c r="M38" s="145" t="n">
        <f aca="false">VLOOKUP(C38,'תקציב  '!$B:$S,14,0)*1</f>
        <v>200000</v>
      </c>
      <c r="N38" s="162" t="n">
        <f aca="false">IFERROR(H38/M38-1,"")</f>
        <v>-1</v>
      </c>
      <c r="O38" s="145" t="n">
        <f aca="false">H38-M38</f>
        <v>-200000</v>
      </c>
      <c r="Q38" s="147" t="n">
        <v>0</v>
      </c>
      <c r="R38" s="162" t="str">
        <f aca="false">IFERROR(H38/Q38-1,"-")</f>
        <v>-</v>
      </c>
      <c r="S38" s="162" t="str">
        <f aca="false">IFERROR(H38/Q38,"-")</f>
        <v>-</v>
      </c>
      <c r="T38" s="145" t="n">
        <f aca="false">H38-Q38</f>
        <v>0</v>
      </c>
      <c r="V38" s="145"/>
      <c r="W38" s="5" t="n">
        <f aca="false">H38-V38</f>
        <v>0</v>
      </c>
      <c r="X38" s="163" t="str">
        <f aca="false">IFERROR((G38/V38)-1,"-")</f>
        <v>-</v>
      </c>
    </row>
    <row r="39" customFormat="false" ht="13.5" hidden="false" customHeight="true" outlineLevel="0" collapsed="false">
      <c r="A39" s="196" t="n">
        <v>36</v>
      </c>
      <c r="B39" s="197"/>
      <c r="C39" s="197" t="s">
        <v>97</v>
      </c>
      <c r="D39" s="197" t="s">
        <v>97</v>
      </c>
      <c r="E39" s="197"/>
      <c r="F39" s="145"/>
      <c r="G39" s="145"/>
      <c r="H39" s="145"/>
      <c r="I39" s="199" t="str">
        <f aca="false">IFERROR(H39/$H$19,"")</f>
        <v/>
      </c>
      <c r="J39" s="199" t="str">
        <f aca="false">IFERROR(H39/G39-1,"")</f>
        <v/>
      </c>
      <c r="K39" s="145" t="n">
        <f aca="false">H39-G39</f>
        <v>0</v>
      </c>
      <c r="M39" s="145" t="n">
        <f aca="false">VLOOKUP(C39,'תקציב  '!$B:$S,14,0)*1</f>
        <v>200000</v>
      </c>
      <c r="N39" s="199" t="n">
        <f aca="false">IFERROR(H39/M39-1,"")</f>
        <v>-1</v>
      </c>
      <c r="O39" s="145" t="n">
        <f aca="false">H39-M39</f>
        <v>-200000</v>
      </c>
      <c r="Q39" s="147" t="n">
        <v>0</v>
      </c>
      <c r="R39" s="199" t="str">
        <f aca="false">IFERROR(H39/Q39-1,"-")</f>
        <v>-</v>
      </c>
      <c r="S39" s="199" t="str">
        <f aca="false">IFERROR(H39/Q39,"-")</f>
        <v>-</v>
      </c>
      <c r="T39" s="145" t="n">
        <f aca="false">H39-Q39</f>
        <v>0</v>
      </c>
      <c r="V39" s="145"/>
      <c r="W39" s="5" t="n">
        <f aca="false">H39-V39</f>
        <v>0</v>
      </c>
      <c r="X39" s="163" t="str">
        <f aca="false">IFERROR((G39/V39)-1,"-")</f>
        <v>-</v>
      </c>
    </row>
    <row r="40" customFormat="false" ht="15" hidden="false" customHeight="true" outlineLevel="0" collapsed="false">
      <c r="A40" s="165"/>
      <c r="B40" s="182"/>
      <c r="C40" s="182" t="s">
        <v>98</v>
      </c>
      <c r="D40" s="182" t="s">
        <v>98</v>
      </c>
      <c r="E40" s="182"/>
      <c r="F40" s="183" t="n">
        <f aca="false">SUM(F20:F39)+F51+F52</f>
        <v>537173.28</v>
      </c>
      <c r="G40" s="183" t="n">
        <f aca="false">SUM(G20:G39)+G51+G52</f>
        <v>766036.01</v>
      </c>
      <c r="H40" s="183" t="n">
        <f aca="false">SUM(H20:H39)+H51+H52</f>
        <v>0</v>
      </c>
      <c r="I40" s="184" t="str">
        <f aca="false">IFERROR(H40/$H$19,"")</f>
        <v/>
      </c>
      <c r="J40" s="184" t="n">
        <f aca="false">IFERROR(H40/G40-1,"")</f>
        <v>-1</v>
      </c>
      <c r="K40" s="183" t="n">
        <f aca="false">SUM(K20:K39)+K51+K52</f>
        <v>-766036.01</v>
      </c>
      <c r="M40" s="183" t="n">
        <f aca="false">SUM(M20:M39)+M51+M52</f>
        <v>1392960.1577375</v>
      </c>
      <c r="N40" s="184" t="n">
        <f aca="false">IFERROR(H40/M40-1,"")</f>
        <v>-1</v>
      </c>
      <c r="O40" s="183" t="n">
        <f aca="false">SUM(O20:O39)+O51+O52</f>
        <v>-1392960.1577375</v>
      </c>
      <c r="Q40" s="183" t="n">
        <f aca="false">SUM(Q20:Q39)+Q51+Q52</f>
        <v>771122.5</v>
      </c>
      <c r="R40" s="184" t="n">
        <f aca="false">IFERROR(H40/Q40-1,"-")</f>
        <v>-1</v>
      </c>
      <c r="S40" s="184" t="n">
        <f aca="false">IFERROR(H40/Q40,"-")</f>
        <v>0</v>
      </c>
      <c r="T40" s="183" t="n">
        <f aca="false">H40-Q40</f>
        <v>-771122.5</v>
      </c>
      <c r="U40" s="174"/>
      <c r="V40" s="183"/>
      <c r="W40" s="5" t="n">
        <f aca="false">H40-V40</f>
        <v>0</v>
      </c>
      <c r="X40" s="176" t="str">
        <f aca="false">IFERROR((G40/V40)-1,"-")</f>
        <v>-</v>
      </c>
    </row>
    <row r="41" customFormat="false" ht="15" hidden="false" customHeight="true" outlineLevel="0" collapsed="false">
      <c r="A41" s="165"/>
      <c r="B41" s="185"/>
      <c r="C41" s="185" t="s">
        <v>163</v>
      </c>
      <c r="D41" s="185" t="s">
        <v>163</v>
      </c>
      <c r="E41" s="185"/>
      <c r="F41" s="186" t="n">
        <f aca="false">F40+F19</f>
        <v>1919892.863</v>
      </c>
      <c r="G41" s="186" t="n">
        <f aca="false">G40+G19</f>
        <v>2559493.11</v>
      </c>
      <c r="H41" s="186" t="n">
        <f aca="false">H40+H19</f>
        <v>0</v>
      </c>
      <c r="I41" s="134" t="str">
        <f aca="false">IFERROR(H41/$H$19,"")</f>
        <v/>
      </c>
      <c r="J41" s="134" t="n">
        <f aca="false">IFERROR(H41/G41-1,"")</f>
        <v>-1</v>
      </c>
      <c r="K41" s="186" t="n">
        <f aca="false">K40+K19</f>
        <v>-2559493.11</v>
      </c>
      <c r="M41" s="186" t="n">
        <f aca="false">M40+M19</f>
        <v>4894196.14445125</v>
      </c>
      <c r="N41" s="134" t="n">
        <f aca="false">IFERROR(H41/M41-1,"")</f>
        <v>-1</v>
      </c>
      <c r="O41" s="186" t="n">
        <f aca="false">O40+O19</f>
        <v>-4894196.14445125</v>
      </c>
      <c r="Q41" s="186" t="n">
        <f aca="false">Q40+Q19</f>
        <v>3433922.5</v>
      </c>
      <c r="R41" s="134" t="n">
        <f aca="false">IFERROR(H41/Q41-1,"-")</f>
        <v>-1</v>
      </c>
      <c r="S41" s="134" t="n">
        <f aca="false">IFERROR(H41/Q41,"-")</f>
        <v>0</v>
      </c>
      <c r="T41" s="186" t="n">
        <f aca="false">H41-Q41</f>
        <v>-3433922.5</v>
      </c>
      <c r="U41" s="174"/>
      <c r="V41" s="186"/>
      <c r="W41" s="175" t="n">
        <f aca="false">H41-V41</f>
        <v>0</v>
      </c>
      <c r="X41" s="176" t="str">
        <f aca="false">IFERROR((G41/V41)-1,"-")</f>
        <v>-</v>
      </c>
    </row>
    <row r="42" customFormat="false" ht="15" hidden="false" customHeight="true" outlineLevel="0" collapsed="false">
      <c r="A42" s="200"/>
      <c r="B42" s="202"/>
      <c r="C42" s="202" t="s">
        <v>117</v>
      </c>
      <c r="D42" s="202" t="s">
        <v>117</v>
      </c>
      <c r="E42" s="202"/>
      <c r="F42" s="203" t="n">
        <f aca="false">F40/F41</f>
        <v>0.27979336261536</v>
      </c>
      <c r="G42" s="203" t="n">
        <f aca="false">G40/G41</f>
        <v>0.299292077406686</v>
      </c>
      <c r="H42" s="203" t="str">
        <f aca="false">IFERROR(H40/H41,"")</f>
        <v/>
      </c>
      <c r="I42" s="204" t="str">
        <f aca="false">IFERROR(H42/$H$19,"")</f>
        <v/>
      </c>
      <c r="J42" s="204" t="str">
        <f aca="false">IFERROR(H42/G42-1,"")</f>
        <v/>
      </c>
      <c r="K42" s="203"/>
      <c r="M42" s="206" t="n">
        <f aca="false">M41-'תקציב  '!O41*1</f>
        <v>-20000</v>
      </c>
      <c r="N42" s="204" t="str">
        <f aca="false">IFERROR(H42/M42-1,"")</f>
        <v/>
      </c>
      <c r="O42" s="203"/>
      <c r="Q42" s="204"/>
      <c r="R42" s="204"/>
      <c r="S42" s="204"/>
      <c r="T42" s="203"/>
      <c r="V42" s="204" t="str">
        <f aca="false">IFERROR(V40/V41,"")</f>
        <v/>
      </c>
      <c r="W42" s="5" t="str">
        <f aca="false">IFERROR(H42-V42,"-")</f>
        <v>-</v>
      </c>
    </row>
    <row r="43" customFormat="false" ht="14.25" hidden="false" customHeight="true" outlineLevel="0" collapsed="false">
      <c r="F43" s="1" t="n">
        <v>0</v>
      </c>
    </row>
    <row r="50" customFormat="false" ht="14.25" hidden="false" customHeight="true" outlineLevel="0" collapsed="false">
      <c r="A50" s="159"/>
      <c r="B50" s="161"/>
      <c r="C50" s="161" t="s">
        <v>164</v>
      </c>
      <c r="D50" s="161" t="s">
        <v>164</v>
      </c>
      <c r="E50" s="161" t="s">
        <v>32</v>
      </c>
      <c r="F50" s="145"/>
      <c r="G50" s="145"/>
      <c r="H50" s="145" t="n">
        <v>0</v>
      </c>
      <c r="I50" s="162" t="str">
        <f aca="false">IFERROR(H50/$H$19,"")</f>
        <v/>
      </c>
      <c r="J50" s="162" t="str">
        <f aca="false">IFERROR(H50/G50-1,"-")</f>
        <v>-</v>
      </c>
      <c r="K50" s="145" t="n">
        <f aca="false">H50-G50</f>
        <v>0</v>
      </c>
      <c r="M50" s="145"/>
      <c r="N50" s="162" t="str">
        <f aca="false">IFERROR(H50/M50-1,"-")</f>
        <v>-</v>
      </c>
      <c r="O50" s="145" t="n">
        <f aca="false">H50-M50</f>
        <v>0</v>
      </c>
    </row>
    <row r="51" customFormat="false" ht="14.25" hidden="false" customHeight="true" outlineLevel="0" collapsed="false">
      <c r="A51" s="165"/>
      <c r="B51" s="167"/>
      <c r="C51" s="167" t="s">
        <v>165</v>
      </c>
      <c r="D51" s="167" t="s">
        <v>165</v>
      </c>
      <c r="E51" s="167" t="s">
        <v>166</v>
      </c>
      <c r="F51" s="145"/>
      <c r="G51" s="145"/>
      <c r="H51" s="145" t="n">
        <v>0</v>
      </c>
      <c r="I51" s="162" t="str">
        <f aca="false">IFERROR(H51/$H$19,"")</f>
        <v/>
      </c>
      <c r="J51" s="162" t="str">
        <f aca="false">IFERROR(H51/G51-1,"-")</f>
        <v>-</v>
      </c>
      <c r="K51" s="145" t="n">
        <f aca="false">H51-G51</f>
        <v>0</v>
      </c>
      <c r="M51" s="145"/>
      <c r="N51" s="162" t="str">
        <f aca="false">IFERROR(H51/M51-1,"-")</f>
        <v>-</v>
      </c>
      <c r="O51" s="145" t="n">
        <f aca="false">H51-M51</f>
        <v>0</v>
      </c>
    </row>
    <row r="52" customFormat="false" ht="14.25" hidden="false" customHeight="true" outlineLevel="0" collapsed="false">
      <c r="A52" s="165"/>
      <c r="B52" s="167"/>
      <c r="C52" s="167" t="s">
        <v>167</v>
      </c>
      <c r="D52" s="167" t="s">
        <v>167</v>
      </c>
      <c r="E52" s="167" t="s">
        <v>167</v>
      </c>
      <c r="F52" s="145"/>
      <c r="G52" s="145"/>
      <c r="H52" s="145" t="n">
        <v>0</v>
      </c>
      <c r="I52" s="162" t="str">
        <f aca="false">IFERROR(H52/$H$19,"")</f>
        <v/>
      </c>
      <c r="J52" s="162" t="str">
        <f aca="false">IFERROR(H52/G52-1,"-")</f>
        <v>-</v>
      </c>
      <c r="K52" s="145" t="n">
        <f aca="false">H52-G52</f>
        <v>0</v>
      </c>
      <c r="M52" s="145"/>
      <c r="N52" s="162" t="str">
        <f aca="false">IFERROR(H52/M52-1,"-")</f>
        <v>-</v>
      </c>
      <c r="O52" s="145" t="n">
        <f aca="false">H52-M52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false" showRowColHeaders="true" showZeros="true" rightToLeft="true" tabSelected="false" showOutlineSymbols="true" defaultGridColor="true" view="normal" topLeftCell="A1" colorId="64" zoomScale="70" zoomScaleNormal="7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X55" activeCellId="0" sqref="X5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90" width="26"/>
    <col collapsed="false" customWidth="true" hidden="false" outlineLevel="0" max="4" min="4" style="90" width="26"/>
    <col collapsed="false" customWidth="true" hidden="false" outlineLevel="0" max="5" min="5" style="90" width="12.25"/>
    <col collapsed="false" customWidth="true" hidden="false" outlineLevel="0" max="8" min="6" style="1" width="9.87"/>
    <col collapsed="false" customWidth="true" hidden="false" outlineLevel="0" max="9" min="9" style="1" width="6.88"/>
    <col collapsed="false" customWidth="true" hidden="false" outlineLevel="0" max="11" min="10" style="1" width="11.88"/>
    <col collapsed="false" customWidth="true" hidden="false" outlineLevel="0" max="13" min="13" style="1" width="10.88"/>
    <col collapsed="false" customWidth="true" hidden="false" outlineLevel="0" max="14" min="14" style="1" width="11.88"/>
    <col collapsed="false" customWidth="true" hidden="false" outlineLevel="0" max="15" min="15" style="1" width="11.38"/>
    <col collapsed="false" customWidth="true" hidden="false" outlineLevel="0" max="17" min="17" style="1" width="10.88"/>
    <col collapsed="false" customWidth="true" hidden="false" outlineLevel="0" max="20" min="18" style="1" width="11.88"/>
    <col collapsed="false" customWidth="true" hidden="false" outlineLevel="0" max="22" min="22" style="1" width="9.87"/>
    <col collapsed="false" customWidth="true" hidden="false" outlineLevel="0" max="23" min="23" style="1" width="10.5"/>
    <col collapsed="false" customWidth="true" hidden="false" outlineLevel="0" max="24" min="24" style="148" width="9"/>
  </cols>
  <sheetData>
    <row r="1" customFormat="false" ht="15.75" hidden="false" customHeight="true" outlineLevel="0" collapsed="false">
      <c r="B1" s="149"/>
      <c r="C1" s="149" t="s">
        <v>183</v>
      </c>
      <c r="D1" s="149" t="s">
        <v>183</v>
      </c>
      <c r="E1" s="149"/>
      <c r="F1" s="7"/>
      <c r="G1" s="7"/>
      <c r="H1" s="7"/>
      <c r="I1" s="7"/>
      <c r="J1" s="7"/>
      <c r="K1" s="7"/>
      <c r="M1" s="7"/>
      <c r="N1" s="7"/>
      <c r="O1" s="7"/>
      <c r="Q1" s="7"/>
      <c r="R1" s="7"/>
      <c r="S1" s="7"/>
      <c r="T1" s="7"/>
      <c r="V1" s="7"/>
    </row>
    <row r="2" customFormat="false" ht="15" hidden="false" customHeight="true" outlineLevel="0" collapsed="false">
      <c r="A2" s="151" t="s">
        <v>2</v>
      </c>
      <c r="B2" s="38"/>
      <c r="C2" s="38"/>
      <c r="D2" s="38"/>
      <c r="E2" s="38" t="s">
        <v>3</v>
      </c>
      <c r="F2" s="154" t="n">
        <v>12.2024</v>
      </c>
      <c r="G2" s="154" t="n">
        <v>12.2025</v>
      </c>
      <c r="H2" s="154" t="n">
        <v>12.2026</v>
      </c>
      <c r="I2" s="155" t="s">
        <v>174</v>
      </c>
      <c r="J2" s="155" t="s">
        <v>128</v>
      </c>
      <c r="K2" s="154" t="s">
        <v>129</v>
      </c>
      <c r="M2" s="154" t="s">
        <v>130</v>
      </c>
      <c r="N2" s="155" t="s">
        <v>111</v>
      </c>
      <c r="O2" s="154" t="s">
        <v>112</v>
      </c>
      <c r="Q2" s="156" t="s">
        <v>1</v>
      </c>
      <c r="R2" s="155" t="s">
        <v>177</v>
      </c>
      <c r="S2" s="155" t="s">
        <v>175</v>
      </c>
      <c r="T2" s="154" t="s">
        <v>178</v>
      </c>
      <c r="U2" s="157"/>
      <c r="V2" s="158" t="n">
        <v>12.2026</v>
      </c>
      <c r="W2" s="157"/>
    </row>
    <row r="3" customFormat="false" ht="14.25" hidden="false" customHeight="true" outlineLevel="0" collapsed="false">
      <c r="A3" s="159" t="n">
        <v>5</v>
      </c>
      <c r="B3" s="161" t="s">
        <v>131</v>
      </c>
      <c r="C3" s="161" t="s">
        <v>31</v>
      </c>
      <c r="D3" s="161" t="s">
        <v>31</v>
      </c>
      <c r="E3" s="161" t="s">
        <v>32</v>
      </c>
      <c r="F3" s="145" t="n">
        <v>318421.6</v>
      </c>
      <c r="G3" s="145" t="n">
        <v>97619.06</v>
      </c>
      <c r="H3" s="145"/>
      <c r="I3" s="162" t="str">
        <f aca="false">IFERROR(H3/$H$19,"")</f>
        <v/>
      </c>
      <c r="J3" s="162" t="n">
        <f aca="false">IFERROR(H3/G3-1,"")</f>
        <v>-1</v>
      </c>
      <c r="K3" s="145" t="n">
        <f aca="false">H3-G3</f>
        <v>-97619.06</v>
      </c>
      <c r="M3" s="145" t="n">
        <f aca="false">VLOOKUP(C3,'תקציב  '!$B:$S,15,0)*1</f>
        <v>243492.063492064</v>
      </c>
      <c r="N3" s="162" t="n">
        <f aca="false">IFERROR(H3/M3-1,"")</f>
        <v>-1</v>
      </c>
      <c r="O3" s="145" t="n">
        <f aca="false">H3-M3</f>
        <v>-243492.063492064</v>
      </c>
      <c r="Q3" s="147" t="n">
        <v>200000</v>
      </c>
      <c r="R3" s="162" t="n">
        <f aca="false">IFERROR(H3/Q3-1,"-")</f>
        <v>-1</v>
      </c>
      <c r="S3" s="162" t="n">
        <f aca="false">IFERROR(H3/Q3,"-")</f>
        <v>0</v>
      </c>
      <c r="T3" s="145" t="n">
        <f aca="false">H3-Q3</f>
        <v>-200000</v>
      </c>
      <c r="V3" s="145"/>
      <c r="W3" s="5" t="n">
        <f aca="false">H3-V3</f>
        <v>0</v>
      </c>
      <c r="X3" s="163" t="str">
        <f aca="false">IFERROR((G3/V3)-1,"-")</f>
        <v>-</v>
      </c>
    </row>
    <row r="4" customFormat="false" ht="14.25" hidden="false" customHeight="true" outlineLevel="0" collapsed="false">
      <c r="A4" s="164" t="n">
        <v>1</v>
      </c>
      <c r="B4" s="161" t="s">
        <v>33</v>
      </c>
      <c r="C4" s="161" t="s">
        <v>33</v>
      </c>
      <c r="D4" s="161" t="s">
        <v>33</v>
      </c>
      <c r="E4" s="161" t="s">
        <v>32</v>
      </c>
      <c r="F4" s="145" t="n">
        <v>453775.686</v>
      </c>
      <c r="G4" s="145" t="n">
        <v>453051.69</v>
      </c>
      <c r="H4" s="145"/>
      <c r="I4" s="162" t="str">
        <f aca="false">IFERROR(H4/$H$19,"")</f>
        <v/>
      </c>
      <c r="J4" s="162" t="n">
        <f aca="false">IFERROR(H4/G4-1,"")</f>
        <v>-1</v>
      </c>
      <c r="K4" s="145" t="n">
        <f aca="false">H4-G4</f>
        <v>-453051.69</v>
      </c>
      <c r="M4" s="145" t="n">
        <f aca="false">VLOOKUP(C4,'תקציב  '!$B:$S,15,0)*1</f>
        <v>598730.158730159</v>
      </c>
      <c r="N4" s="162" t="n">
        <f aca="false">IFERROR(H4/M4-1,"")</f>
        <v>-1</v>
      </c>
      <c r="O4" s="145" t="n">
        <f aca="false">H4-M4</f>
        <v>-598730.158730159</v>
      </c>
      <c r="Q4" s="147" t="n">
        <v>550000</v>
      </c>
      <c r="R4" s="162" t="n">
        <f aca="false">IFERROR(H4/Q4-1,"-")</f>
        <v>-1</v>
      </c>
      <c r="S4" s="162" t="n">
        <f aca="false">IFERROR(H4/Q4,"-")</f>
        <v>0</v>
      </c>
      <c r="T4" s="145" t="n">
        <f aca="false">H4-Q4</f>
        <v>-550000</v>
      </c>
      <c r="V4" s="145"/>
      <c r="W4" s="5" t="n">
        <f aca="false">H4-V4</f>
        <v>0</v>
      </c>
      <c r="X4" s="163" t="str">
        <f aca="false">IFERROR((G4/V4)-1,"-")</f>
        <v>-</v>
      </c>
    </row>
    <row r="5" customFormat="false" ht="14.25" hidden="false" customHeight="true" outlineLevel="0" collapsed="false">
      <c r="A5" s="164" t="n">
        <v>7</v>
      </c>
      <c r="B5" s="161" t="s">
        <v>34</v>
      </c>
      <c r="C5" s="161" t="s">
        <v>34</v>
      </c>
      <c r="D5" s="161" t="s">
        <v>34</v>
      </c>
      <c r="E5" s="161" t="s">
        <v>32</v>
      </c>
      <c r="F5" s="145" t="n">
        <v>89875.877</v>
      </c>
      <c r="G5" s="145" t="n">
        <v>61250.28</v>
      </c>
      <c r="H5" s="145"/>
      <c r="I5" s="162" t="str">
        <f aca="false">IFERROR(H5/$H$19,"")</f>
        <v/>
      </c>
      <c r="J5" s="162" t="n">
        <f aca="false">IFERROR(H5/G5-1,"")</f>
        <v>-1</v>
      </c>
      <c r="K5" s="145" t="n">
        <f aca="false">H5-G5</f>
        <v>-61250.28</v>
      </c>
      <c r="M5" s="145" t="n">
        <f aca="false">VLOOKUP(C5,'תקציב  '!$B:$S,15,0)*1</f>
        <v>82142.8571428571</v>
      </c>
      <c r="N5" s="162" t="n">
        <f aca="false">IFERROR(H5/M5-1,"")</f>
        <v>-1</v>
      </c>
      <c r="O5" s="145" t="n">
        <f aca="false">H5-M5</f>
        <v>-82142.8571428571</v>
      </c>
      <c r="Q5" s="147" t="n">
        <v>100000</v>
      </c>
      <c r="R5" s="162" t="n">
        <f aca="false">IFERROR(H5/Q5-1,"-")</f>
        <v>-1</v>
      </c>
      <c r="S5" s="162" t="n">
        <f aca="false">IFERROR(H5/Q5,"-")</f>
        <v>0</v>
      </c>
      <c r="T5" s="145" t="n">
        <f aca="false">H5-Q5</f>
        <v>-100000</v>
      </c>
      <c r="V5" s="145"/>
      <c r="W5" s="5" t="n">
        <f aca="false">H5-V5</f>
        <v>0</v>
      </c>
      <c r="X5" s="163" t="str">
        <f aca="false">IFERROR((G5/V5)-1,"-")</f>
        <v>-</v>
      </c>
    </row>
    <row r="6" customFormat="false" ht="14.25" hidden="false" customHeight="true" outlineLevel="0" collapsed="false">
      <c r="A6" s="164" t="n">
        <v>4</v>
      </c>
      <c r="B6" s="161" t="s">
        <v>35</v>
      </c>
      <c r="C6" s="161" t="s">
        <v>35</v>
      </c>
      <c r="D6" s="161" t="s">
        <v>35</v>
      </c>
      <c r="E6" s="161" t="s">
        <v>32</v>
      </c>
      <c r="F6" s="145" t="n">
        <v>149421.213</v>
      </c>
      <c r="G6" s="145" t="n">
        <v>144058.52</v>
      </c>
      <c r="H6" s="145"/>
      <c r="I6" s="162" t="str">
        <f aca="false">IFERROR(H6/$H$19,"")</f>
        <v/>
      </c>
      <c r="J6" s="162" t="n">
        <f aca="false">IFERROR(H6/G6-1,"")</f>
        <v>-1</v>
      </c>
      <c r="K6" s="145" t="n">
        <f aca="false">H6-G6</f>
        <v>-144058.52</v>
      </c>
      <c r="M6" s="145" t="n">
        <f aca="false">VLOOKUP(B6,'תקציב  '!$B:$S,15,0)*1</f>
        <v>173412.698412698</v>
      </c>
      <c r="N6" s="162" t="n">
        <f aca="false">IFERROR(H6/M6-1,"")</f>
        <v>-1</v>
      </c>
      <c r="O6" s="145" t="n">
        <f aca="false">H6-M6</f>
        <v>-173412.698412698</v>
      </c>
      <c r="Q6" s="147" t="n">
        <v>200000</v>
      </c>
      <c r="R6" s="162" t="n">
        <f aca="false">IFERROR(H6/Q6-1,"-")</f>
        <v>-1</v>
      </c>
      <c r="S6" s="162" t="n">
        <f aca="false">IFERROR(H6/Q6,"-")</f>
        <v>0</v>
      </c>
      <c r="T6" s="145" t="n">
        <f aca="false">H6-Q6</f>
        <v>-200000</v>
      </c>
      <c r="V6" s="145"/>
      <c r="W6" s="5" t="n">
        <f aca="false">H6-V6</f>
        <v>0</v>
      </c>
      <c r="X6" s="163" t="str">
        <f aca="false">IFERROR((G6/V6)-1,"-")</f>
        <v>-</v>
      </c>
    </row>
    <row r="7" customFormat="false" ht="14.25" hidden="false" customHeight="true" outlineLevel="0" collapsed="false">
      <c r="A7" s="164" t="n">
        <v>3</v>
      </c>
      <c r="B7" s="161" t="s">
        <v>132</v>
      </c>
      <c r="C7" s="161" t="s">
        <v>36</v>
      </c>
      <c r="D7" s="161" t="s">
        <v>36</v>
      </c>
      <c r="E7" s="161" t="s">
        <v>32</v>
      </c>
      <c r="F7" s="145" t="n">
        <v>378149.8</v>
      </c>
      <c r="G7" s="145" t="n">
        <v>367699.5</v>
      </c>
      <c r="H7" s="145"/>
      <c r="I7" s="162" t="str">
        <f aca="false">IFERROR(H7/$H$19,"")</f>
        <v/>
      </c>
      <c r="J7" s="162" t="n">
        <f aca="false">IFERROR(H7/G7-1,"")</f>
        <v>-1</v>
      </c>
      <c r="K7" s="145" t="n">
        <f aca="false">H7-G7</f>
        <v>-367699.5</v>
      </c>
      <c r="M7" s="145" t="n">
        <f aca="false">VLOOKUP(C7,'תקציב  '!$B:$S,15,0)*1</f>
        <v>366000</v>
      </c>
      <c r="N7" s="162" t="n">
        <f aca="false">IFERROR(H7/M7-1,"")</f>
        <v>-1</v>
      </c>
      <c r="O7" s="145" t="n">
        <f aca="false">H7-M7</f>
        <v>-366000</v>
      </c>
      <c r="Q7" s="147" t="n">
        <v>330000</v>
      </c>
      <c r="R7" s="162" t="n">
        <f aca="false">IFERROR(H7/Q7-1,"-")</f>
        <v>-1</v>
      </c>
      <c r="S7" s="162" t="n">
        <f aca="false">IFERROR(H7/Q7,"-")</f>
        <v>0</v>
      </c>
      <c r="T7" s="145" t="n">
        <f aca="false">H7-Q7</f>
        <v>-330000</v>
      </c>
      <c r="V7" s="145"/>
      <c r="W7" s="5" t="n">
        <f aca="false">H7-V7</f>
        <v>0</v>
      </c>
      <c r="X7" s="163" t="str">
        <f aca="false">IFERROR((G7/V7)-1,"-")</f>
        <v>-</v>
      </c>
    </row>
    <row r="8" customFormat="false" ht="14.25" hidden="false" customHeight="true" outlineLevel="0" collapsed="false">
      <c r="A8" s="164" t="n">
        <v>8</v>
      </c>
      <c r="B8" s="161" t="s">
        <v>133</v>
      </c>
      <c r="C8" s="161" t="s">
        <v>37</v>
      </c>
      <c r="D8" s="161" t="s">
        <v>37</v>
      </c>
      <c r="E8" s="161" t="s">
        <v>32</v>
      </c>
      <c r="F8" s="145" t="n">
        <v>68517.25</v>
      </c>
      <c r="G8" s="145" t="n">
        <v>60034.25</v>
      </c>
      <c r="H8" s="145"/>
      <c r="I8" s="162" t="str">
        <f aca="false">IFERROR(H8/$H$19,"")</f>
        <v/>
      </c>
      <c r="J8" s="162" t="n">
        <f aca="false">IFERROR(H8/G8-1,"")</f>
        <v>-1</v>
      </c>
      <c r="K8" s="145" t="n">
        <f aca="false">H8-G8</f>
        <v>-60034.25</v>
      </c>
      <c r="M8" s="145" t="n">
        <f aca="false">VLOOKUP(C8,'תקציב  '!$B:$S,15,0)*1</f>
        <v>91269.8412698413</v>
      </c>
      <c r="N8" s="162" t="n">
        <f aca="false">IFERROR(H8/M8-1,"")</f>
        <v>-1</v>
      </c>
      <c r="O8" s="145" t="n">
        <f aca="false">H8-M8</f>
        <v>-91269.8412698413</v>
      </c>
      <c r="Q8" s="147" t="n">
        <v>100000</v>
      </c>
      <c r="R8" s="162" t="n">
        <f aca="false">IFERROR(H8/Q8-1,"-")</f>
        <v>-1</v>
      </c>
      <c r="S8" s="162" t="n">
        <f aca="false">IFERROR(H8/Q8,"-")</f>
        <v>0</v>
      </c>
      <c r="T8" s="145" t="n">
        <f aca="false">H8-Q8</f>
        <v>-100000</v>
      </c>
      <c r="V8" s="145"/>
      <c r="W8" s="5" t="n">
        <f aca="false">H8-V8</f>
        <v>0</v>
      </c>
      <c r="X8" s="163" t="str">
        <f aca="false">IFERROR((G8/V8)-1,"-")</f>
        <v>-</v>
      </c>
    </row>
    <row r="9" customFormat="false" ht="14.25" hidden="false" customHeight="true" outlineLevel="0" collapsed="false">
      <c r="A9" s="164" t="n">
        <v>6</v>
      </c>
      <c r="B9" s="161" t="s">
        <v>134</v>
      </c>
      <c r="C9" s="161" t="s">
        <v>38</v>
      </c>
      <c r="D9" s="161" t="s">
        <v>38</v>
      </c>
      <c r="E9" s="161" t="s">
        <v>32</v>
      </c>
      <c r="F9" s="145" t="n">
        <v>65670.46</v>
      </c>
      <c r="G9" s="145" t="n">
        <v>69362.57</v>
      </c>
      <c r="H9" s="145"/>
      <c r="I9" s="162" t="str">
        <f aca="false">IFERROR(H9/$H$19,"")</f>
        <v/>
      </c>
      <c r="J9" s="162" t="n">
        <f aca="false">IFERROR(H9/G9-1,"")</f>
        <v>-1</v>
      </c>
      <c r="K9" s="145" t="n">
        <f aca="false">H9-G9</f>
        <v>-69362.57</v>
      </c>
      <c r="M9" s="145" t="n">
        <f aca="false">VLOOKUP(C9,'תקציב  '!$B:$S,15,0)*1</f>
        <v>177591.26984127</v>
      </c>
      <c r="N9" s="162" t="n">
        <f aca="false">IFERROR(H9/M9-1,"")</f>
        <v>-1</v>
      </c>
      <c r="O9" s="145" t="n">
        <f aca="false">H9-M9</f>
        <v>-177591.26984127</v>
      </c>
      <c r="Q9" s="147" t="n">
        <v>100000</v>
      </c>
      <c r="R9" s="162" t="n">
        <f aca="false">IFERROR(H9/Q9-1,"-")</f>
        <v>-1</v>
      </c>
      <c r="S9" s="162" t="n">
        <f aca="false">IFERROR(H9/Q9,"-")</f>
        <v>0</v>
      </c>
      <c r="T9" s="145" t="n">
        <f aca="false">H9-Q9</f>
        <v>-100000</v>
      </c>
      <c r="V9" s="145"/>
      <c r="W9" s="5" t="n">
        <f aca="false">H9-V9</f>
        <v>0</v>
      </c>
      <c r="X9" s="163" t="str">
        <f aca="false">IFERROR((G9/V9)-1,"-")</f>
        <v>-</v>
      </c>
    </row>
    <row r="10" customFormat="false" ht="14.25" hidden="false" customHeight="true" outlineLevel="0" collapsed="false">
      <c r="A10" s="165" t="n">
        <v>10</v>
      </c>
      <c r="B10" s="167" t="s">
        <v>135</v>
      </c>
      <c r="C10" s="167" t="s">
        <v>39</v>
      </c>
      <c r="D10" s="167" t="s">
        <v>39</v>
      </c>
      <c r="E10" s="167" t="s">
        <v>32</v>
      </c>
      <c r="F10" s="145" t="n">
        <v>16400.06</v>
      </c>
      <c r="G10" s="145" t="n">
        <v>11214.5</v>
      </c>
      <c r="H10" s="145"/>
      <c r="I10" s="162" t="str">
        <f aca="false">IFERROR(H10/$H$19,"")</f>
        <v/>
      </c>
      <c r="J10" s="162" t="n">
        <f aca="false">IFERROR(H10/G10-1,"")</f>
        <v>-1</v>
      </c>
      <c r="K10" s="145" t="n">
        <f aca="false">H10-G10</f>
        <v>-11214.5</v>
      </c>
      <c r="M10" s="145" t="n">
        <f aca="false">VLOOKUP(C10,'תקציב  '!$B:$S,15,0)*1</f>
        <v>17341.2698412698</v>
      </c>
      <c r="N10" s="162" t="n">
        <f aca="false">IFERROR(H10/M10-1,"")</f>
        <v>-1</v>
      </c>
      <c r="O10" s="145" t="n">
        <f aca="false">H10-M10</f>
        <v>-17341.2698412698</v>
      </c>
      <c r="Q10" s="147" t="n">
        <v>15000</v>
      </c>
      <c r="R10" s="162" t="n">
        <f aca="false">IFERROR(H10/Q10-1,"-")</f>
        <v>-1</v>
      </c>
      <c r="S10" s="162" t="n">
        <f aca="false">IFERROR(H10/Q10,"-")</f>
        <v>0</v>
      </c>
      <c r="T10" s="145" t="n">
        <f aca="false">H10-Q10</f>
        <v>-15000</v>
      </c>
      <c r="V10" s="145"/>
      <c r="W10" s="5" t="n">
        <f aca="false">H10-V10</f>
        <v>0</v>
      </c>
      <c r="X10" s="163" t="str">
        <f aca="false">IFERROR((G10/V10)-1,"-")</f>
        <v>-</v>
      </c>
    </row>
    <row r="11" customFormat="false" ht="14.25" hidden="false" customHeight="true" outlineLevel="0" collapsed="false">
      <c r="A11" s="164" t="n">
        <v>11</v>
      </c>
      <c r="B11" s="161" t="s">
        <v>136</v>
      </c>
      <c r="C11" s="161" t="s">
        <v>40</v>
      </c>
      <c r="D11" s="161" t="s">
        <v>40</v>
      </c>
      <c r="E11" s="161" t="s">
        <v>32</v>
      </c>
      <c r="F11" s="145" t="n">
        <v>10713.92</v>
      </c>
      <c r="G11" s="145" t="n">
        <v>5866.58</v>
      </c>
      <c r="H11" s="145"/>
      <c r="I11" s="162" t="str">
        <f aca="false">IFERROR(H11/$H$19,"")</f>
        <v/>
      </c>
      <c r="J11" s="162" t="n">
        <f aca="false">IFERROR(H11/G11-1,"")</f>
        <v>-1</v>
      </c>
      <c r="K11" s="145" t="n">
        <f aca="false">H11-G11</f>
        <v>-5866.58</v>
      </c>
      <c r="M11" s="145" t="n">
        <f aca="false">VLOOKUP(C11,'תקציב  '!$B:$S,15,0)*1</f>
        <v>9126.98412698413</v>
      </c>
      <c r="N11" s="162" t="n">
        <f aca="false">IFERROR(H11/M11-1,"")</f>
        <v>-1</v>
      </c>
      <c r="O11" s="145" t="n">
        <f aca="false">H11-M11</f>
        <v>-9126.98412698413</v>
      </c>
      <c r="Q11" s="147" t="n">
        <v>10000</v>
      </c>
      <c r="R11" s="162" t="n">
        <f aca="false">IFERROR(H11/Q11-1,"-")</f>
        <v>-1</v>
      </c>
      <c r="S11" s="162" t="n">
        <f aca="false">IFERROR(H11/Q11,"-")</f>
        <v>0</v>
      </c>
      <c r="T11" s="145" t="n">
        <f aca="false">H11-Q11</f>
        <v>-10000</v>
      </c>
      <c r="V11" s="145"/>
      <c r="W11" s="5" t="n">
        <f aca="false">H11-V11</f>
        <v>0</v>
      </c>
      <c r="X11" s="163" t="str">
        <f aca="false">IFERROR((G11/V11)-1,"-")</f>
        <v>-</v>
      </c>
    </row>
    <row r="12" customFormat="false" ht="14.25" hidden="false" customHeight="true" outlineLevel="0" collapsed="false">
      <c r="A12" s="164" t="n">
        <v>14</v>
      </c>
      <c r="B12" s="161" t="s">
        <v>137</v>
      </c>
      <c r="C12" s="161" t="s">
        <v>41</v>
      </c>
      <c r="D12" s="161" t="s">
        <v>41</v>
      </c>
      <c r="E12" s="161" t="s">
        <v>32</v>
      </c>
      <c r="F12" s="145" t="n">
        <v>850.4</v>
      </c>
      <c r="G12" s="145" t="n">
        <v>0</v>
      </c>
      <c r="H12" s="145"/>
      <c r="I12" s="162" t="str">
        <f aca="false">IFERROR(H12/$H$19,"")</f>
        <v/>
      </c>
      <c r="J12" s="162" t="str">
        <f aca="false">IFERROR(H12/G12-1,"")</f>
        <v/>
      </c>
      <c r="K12" s="145" t="n">
        <f aca="false">H12-G12</f>
        <v>0</v>
      </c>
      <c r="M12" s="145" t="n">
        <f aca="false">VLOOKUP(C12,'תקציב  '!$B:$S,15,0)*1</f>
        <v>0</v>
      </c>
      <c r="N12" s="162" t="str">
        <f aca="false">IFERROR(H12/M12-1,"")</f>
        <v/>
      </c>
      <c r="O12" s="145" t="n">
        <f aca="false">H12-M12</f>
        <v>0</v>
      </c>
      <c r="Q12" s="147" t="n">
        <v>5000</v>
      </c>
      <c r="R12" s="162" t="n">
        <f aca="false">IFERROR(H12/Q12-1,"-")</f>
        <v>-1</v>
      </c>
      <c r="S12" s="162" t="n">
        <f aca="false">IFERROR(H12/Q12,"-")</f>
        <v>0</v>
      </c>
      <c r="T12" s="145" t="n">
        <f aca="false">H12-Q12</f>
        <v>-5000</v>
      </c>
      <c r="V12" s="145"/>
      <c r="W12" s="5" t="n">
        <f aca="false">H12-V12</f>
        <v>0</v>
      </c>
      <c r="X12" s="163" t="str">
        <f aca="false">IFERROR((G12/V12)-1,"-")</f>
        <v>-</v>
      </c>
    </row>
    <row r="13" customFormat="false" ht="14.25" hidden="false" customHeight="true" outlineLevel="0" collapsed="false">
      <c r="A13" s="164" t="n">
        <v>15</v>
      </c>
      <c r="B13" s="161" t="s">
        <v>138</v>
      </c>
      <c r="C13" s="161" t="s">
        <v>47</v>
      </c>
      <c r="D13" s="161" t="s">
        <v>47</v>
      </c>
      <c r="E13" s="161" t="s">
        <v>32</v>
      </c>
      <c r="F13" s="145" t="n">
        <v>-14.28</v>
      </c>
      <c r="G13" s="145" t="n">
        <v>0</v>
      </c>
      <c r="H13" s="145"/>
      <c r="I13" s="162" t="str">
        <f aca="false">IFERROR(H13/$H$19,"")</f>
        <v/>
      </c>
      <c r="J13" s="162" t="str">
        <f aca="false">IFERROR(H13/G13-1,"")</f>
        <v/>
      </c>
      <c r="K13" s="145" t="n">
        <f aca="false">H13-G13</f>
        <v>0</v>
      </c>
      <c r="M13" s="145" t="n">
        <f aca="false">VLOOKUP(C13,'תקציב  '!$B:$S,15,0)*1</f>
        <v>0</v>
      </c>
      <c r="N13" s="162" t="str">
        <f aca="false">IFERROR(H13/M13-1,"")</f>
        <v/>
      </c>
      <c r="O13" s="145" t="n">
        <f aca="false">H13-M13</f>
        <v>0</v>
      </c>
      <c r="Q13" s="147" t="n">
        <v>5000</v>
      </c>
      <c r="R13" s="162" t="n">
        <f aca="false">IFERROR(H13/Q13-1,"-")</f>
        <v>-1</v>
      </c>
      <c r="S13" s="162" t="n">
        <f aca="false">IFERROR(H13/Q13,"-")</f>
        <v>0</v>
      </c>
      <c r="T13" s="145" t="n">
        <f aca="false">H13-Q13</f>
        <v>-5000</v>
      </c>
      <c r="V13" s="145"/>
      <c r="W13" s="5" t="n">
        <f aca="false">H13-V13</f>
        <v>0</v>
      </c>
      <c r="X13" s="163" t="str">
        <f aca="false">IFERROR((G13/V13)-1,"-")</f>
        <v>-</v>
      </c>
    </row>
    <row r="14" customFormat="false" ht="14.25" hidden="false" customHeight="true" outlineLevel="0" collapsed="false">
      <c r="A14" s="164" t="n">
        <v>13</v>
      </c>
      <c r="B14" s="161" t="s">
        <v>139</v>
      </c>
      <c r="C14" s="161" t="s">
        <v>43</v>
      </c>
      <c r="D14" s="161" t="s">
        <v>43</v>
      </c>
      <c r="E14" s="161" t="s">
        <v>32</v>
      </c>
      <c r="F14" s="145" t="n">
        <v>2520</v>
      </c>
      <c r="G14" s="145" t="n">
        <v>1813.57</v>
      </c>
      <c r="H14" s="145"/>
      <c r="I14" s="162" t="str">
        <f aca="false">IFERROR(H14/$H$19,"")</f>
        <v/>
      </c>
      <c r="J14" s="162" t="n">
        <f aca="false">IFERROR(H14/G14-1,"")</f>
        <v>-1</v>
      </c>
      <c r="K14" s="145" t="n">
        <f aca="false">H14-G14</f>
        <v>-1813.57</v>
      </c>
      <c r="M14" s="145" t="n">
        <f aca="false">VLOOKUP(C14,'תקציב  '!$B:$S,15,0)*1</f>
        <v>0</v>
      </c>
      <c r="N14" s="162" t="str">
        <f aca="false">IFERROR(H14/M14-1,"")</f>
        <v/>
      </c>
      <c r="O14" s="145" t="n">
        <f aca="false">H14-M14</f>
        <v>0</v>
      </c>
      <c r="Q14" s="147" t="n">
        <v>5000</v>
      </c>
      <c r="R14" s="162" t="n">
        <f aca="false">IFERROR(H14/Q14-1,"-")</f>
        <v>-1</v>
      </c>
      <c r="S14" s="162" t="n">
        <f aca="false">IFERROR(H14/Q14,"-")</f>
        <v>0</v>
      </c>
      <c r="T14" s="145" t="n">
        <f aca="false">H14-Q14</f>
        <v>-5000</v>
      </c>
      <c r="V14" s="145"/>
      <c r="W14" s="5" t="n">
        <f aca="false">H14-V14</f>
        <v>0</v>
      </c>
      <c r="X14" s="163" t="str">
        <f aca="false">IFERROR((G14/V14)-1,"-")</f>
        <v>-</v>
      </c>
    </row>
    <row r="15" customFormat="false" ht="14.25" hidden="false" customHeight="true" outlineLevel="0" collapsed="false">
      <c r="A15" s="164" t="n">
        <v>9</v>
      </c>
      <c r="B15" s="161" t="s">
        <v>140</v>
      </c>
      <c r="C15" s="161" t="s">
        <v>44</v>
      </c>
      <c r="D15" s="161" t="s">
        <v>44</v>
      </c>
      <c r="E15" s="161" t="s">
        <v>32</v>
      </c>
      <c r="F15" s="145" t="n">
        <v>4549.9</v>
      </c>
      <c r="G15" s="145" t="n">
        <v>361.5</v>
      </c>
      <c r="H15" s="145"/>
      <c r="I15" s="162" t="str">
        <f aca="false">IFERROR(H15/$H$19,"")</f>
        <v/>
      </c>
      <c r="J15" s="162" t="n">
        <f aca="false">IFERROR(H15/G15-1,"")</f>
        <v>-1</v>
      </c>
      <c r="K15" s="145" t="n">
        <f aca="false">H15-G15</f>
        <v>-361.5</v>
      </c>
      <c r="M15" s="145" t="n">
        <f aca="false">VLOOKUP(C15,'תקציב  '!$B:$S,15,0)*1</f>
        <v>18253.9682539683</v>
      </c>
      <c r="N15" s="162" t="n">
        <f aca="false">IFERROR(H15/M15-1,"")</f>
        <v>-1</v>
      </c>
      <c r="O15" s="145" t="n">
        <f aca="false">H15-M15</f>
        <v>-18253.9682539683</v>
      </c>
      <c r="Q15" s="147" t="n">
        <v>25000</v>
      </c>
      <c r="R15" s="162" t="n">
        <f aca="false">IFERROR(H15/Q15-1,"-")</f>
        <v>-1</v>
      </c>
      <c r="S15" s="162" t="n">
        <f aca="false">IFERROR(H15/Q15,"-")</f>
        <v>0</v>
      </c>
      <c r="T15" s="145" t="n">
        <f aca="false">H15-Q15</f>
        <v>-25000</v>
      </c>
      <c r="V15" s="145"/>
      <c r="W15" s="5" t="n">
        <f aca="false">H15-V15</f>
        <v>0</v>
      </c>
      <c r="X15" s="163" t="str">
        <f aca="false">IFERROR((G15/V15)-1,"-")</f>
        <v>-</v>
      </c>
    </row>
    <row r="16" customFormat="false" ht="15" hidden="false" customHeight="true" outlineLevel="0" collapsed="false">
      <c r="A16" s="168"/>
      <c r="B16" s="170"/>
      <c r="C16" s="170" t="s">
        <v>115</v>
      </c>
      <c r="D16" s="170" t="s">
        <v>115</v>
      </c>
      <c r="E16" s="170"/>
      <c r="F16" s="172" t="n">
        <f aca="false">SUM(F3:F15)+F50</f>
        <v>1558851.886</v>
      </c>
      <c r="G16" s="172" t="n">
        <f aca="false">SUM(G3:G15)+G50</f>
        <v>1272332.02</v>
      </c>
      <c r="H16" s="172" t="n">
        <f aca="false">SUM(H3:H15)+H50</f>
        <v>0</v>
      </c>
      <c r="I16" s="173" t="str">
        <f aca="false">IFERROR(H16/$H$19,"")</f>
        <v/>
      </c>
      <c r="J16" s="173" t="n">
        <f aca="false">IFERROR(H16/G16-1,"")</f>
        <v>-1</v>
      </c>
      <c r="K16" s="172" t="n">
        <f aca="false">SUM(K3:K15)+K50</f>
        <v>-1272332.02</v>
      </c>
      <c r="M16" s="172" t="n">
        <f aca="false">SUM(M3:M15)+M50</f>
        <v>1777361.11111111</v>
      </c>
      <c r="N16" s="173" t="n">
        <f aca="false">IFERROR(H16/M16-1,"")</f>
        <v>-1</v>
      </c>
      <c r="O16" s="172" t="n">
        <f aca="false">SUM(O3:O15)+O50</f>
        <v>-1777361.11111111</v>
      </c>
      <c r="Q16" s="172" t="n">
        <f aca="false">SUM(Q3:Q15)+Q50</f>
        <v>1645000</v>
      </c>
      <c r="R16" s="173" t="n">
        <f aca="false">IFERROR(H16/Q16-1,"-")</f>
        <v>-1</v>
      </c>
      <c r="S16" s="173" t="n">
        <f aca="false">IFERROR(H16/Q16,"-")</f>
        <v>0</v>
      </c>
      <c r="T16" s="172" t="n">
        <f aca="false">H16-Q16</f>
        <v>-1645000</v>
      </c>
      <c r="U16" s="174"/>
      <c r="V16" s="172"/>
      <c r="W16" s="175" t="n">
        <f aca="false">H16-V16</f>
        <v>0</v>
      </c>
      <c r="X16" s="176" t="str">
        <f aca="false">IFERROR((G16/V16)-1,"-")</f>
        <v>-</v>
      </c>
    </row>
    <row r="17" customFormat="false" ht="14.25" hidden="false" customHeight="true" outlineLevel="0" collapsed="false">
      <c r="A17" s="164" t="n">
        <v>2</v>
      </c>
      <c r="B17" s="161" t="s">
        <v>141</v>
      </c>
      <c r="C17" s="161" t="s">
        <v>45</v>
      </c>
      <c r="D17" s="161" t="s">
        <v>45</v>
      </c>
      <c r="E17" s="161" t="s">
        <v>32</v>
      </c>
      <c r="F17" s="145" t="n">
        <v>95223.2699999995</v>
      </c>
      <c r="G17" s="145" t="n">
        <v>213224.459999998</v>
      </c>
      <c r="H17" s="145"/>
      <c r="I17" s="162" t="str">
        <f aca="false">IFERROR(H17/$H$19,"")</f>
        <v/>
      </c>
      <c r="J17" s="162" t="n">
        <f aca="false">IFERROR(H17/G17-1,"")</f>
        <v>-1</v>
      </c>
      <c r="K17" s="145" t="n">
        <f aca="false">H17-G17</f>
        <v>-213224.459999998</v>
      </c>
      <c r="M17" s="145" t="n">
        <f aca="false">VLOOKUP(C17,'תקציב  '!$B:$S,15,0)*1</f>
        <v>1488884.74576271</v>
      </c>
      <c r="N17" s="162" t="n">
        <f aca="false">IFERROR(H17/M17-1,"")</f>
        <v>-1</v>
      </c>
      <c r="O17" s="145" t="n">
        <f aca="false">H17-M17</f>
        <v>-1488884.74576271</v>
      </c>
      <c r="Q17" s="147" t="n">
        <v>1300521.18644068</v>
      </c>
      <c r="R17" s="162" t="n">
        <f aca="false">IFERROR(H17/Q17-1,"-")</f>
        <v>-1</v>
      </c>
      <c r="S17" s="162" t="n">
        <f aca="false">IFERROR(H17/Q17,"-")</f>
        <v>0</v>
      </c>
      <c r="T17" s="145" t="n">
        <f aca="false">H17-Q17</f>
        <v>-1300521.18644068</v>
      </c>
      <c r="V17" s="145"/>
      <c r="W17" s="5" t="n">
        <f aca="false">H17-V17</f>
        <v>0</v>
      </c>
      <c r="X17" s="163" t="str">
        <f aca="false">IFERROR((G17/V17)-1,"-")</f>
        <v>-</v>
      </c>
    </row>
    <row r="18" customFormat="false" ht="14.25" hidden="false" customHeight="true" outlineLevel="0" collapsed="false">
      <c r="A18" s="164" t="n">
        <v>12</v>
      </c>
      <c r="B18" s="161" t="s">
        <v>142</v>
      </c>
      <c r="C18" s="161" t="s">
        <v>46</v>
      </c>
      <c r="D18" s="161" t="s">
        <v>46</v>
      </c>
      <c r="E18" s="161" t="s">
        <v>32</v>
      </c>
      <c r="F18" s="145" t="n">
        <v>3126.19</v>
      </c>
      <c r="G18" s="145" t="n">
        <v>1561.46</v>
      </c>
      <c r="H18" s="145"/>
      <c r="I18" s="162" t="str">
        <f aca="false">IFERROR(H18/$H$19,"")</f>
        <v/>
      </c>
      <c r="J18" s="162" t="n">
        <f aca="false">IFERROR(H18/G18-1,"")</f>
        <v>-1</v>
      </c>
      <c r="K18" s="145" t="n">
        <f aca="false">H18-G18</f>
        <v>-1561.46</v>
      </c>
      <c r="M18" s="145" t="n">
        <f aca="false">VLOOKUP(C18,'תקציב  '!$B:$S,15,0)*1</f>
        <v>2536.92833333333</v>
      </c>
      <c r="N18" s="162" t="n">
        <f aca="false">IFERROR(H18/M18-1,"")</f>
        <v>-1</v>
      </c>
      <c r="O18" s="145" t="n">
        <f aca="false">H18-M18</f>
        <v>-2536.92833333333</v>
      </c>
      <c r="Q18" s="147" t="n">
        <v>5000</v>
      </c>
      <c r="R18" s="162" t="n">
        <f aca="false">IFERROR(H18/Q18-1,"-")</f>
        <v>-1</v>
      </c>
      <c r="S18" s="162" t="n">
        <f aca="false">IFERROR(H18/Q18,"-")</f>
        <v>0</v>
      </c>
      <c r="T18" s="145" t="n">
        <f aca="false">H18-Q18</f>
        <v>-5000</v>
      </c>
      <c r="V18" s="145"/>
      <c r="W18" s="5" t="n">
        <f aca="false">H18-V18</f>
        <v>0</v>
      </c>
      <c r="X18" s="163" t="str">
        <f aca="false">IFERROR((G18/V18)-1,"-")</f>
        <v>-</v>
      </c>
    </row>
    <row r="19" customFormat="false" ht="15" hidden="false" customHeight="true" outlineLevel="0" collapsed="false">
      <c r="A19" s="165"/>
      <c r="B19" s="178"/>
      <c r="C19" s="178" t="s">
        <v>48</v>
      </c>
      <c r="D19" s="178" t="s">
        <v>48</v>
      </c>
      <c r="E19" s="178"/>
      <c r="F19" s="172" t="n">
        <f aca="false">F16+F17+F18</f>
        <v>1657201.346</v>
      </c>
      <c r="G19" s="172" t="n">
        <f aca="false">G16+G17+G18</f>
        <v>1487117.94</v>
      </c>
      <c r="H19" s="172" t="n">
        <f aca="false">H16+H17+H18</f>
        <v>0</v>
      </c>
      <c r="I19" s="173" t="str">
        <f aca="false">IFERROR(H19/$H$19,"")</f>
        <v/>
      </c>
      <c r="J19" s="173" t="n">
        <f aca="false">IFERROR(H19/G19-1,"")</f>
        <v>-1</v>
      </c>
      <c r="K19" s="172" t="n">
        <f aca="false">K16+K17+K18</f>
        <v>-1487117.94</v>
      </c>
      <c r="M19" s="172" t="n">
        <f aca="false">M16+M17+M18</f>
        <v>3268782.78520715</v>
      </c>
      <c r="N19" s="173" t="n">
        <f aca="false">IFERROR(H19/M19-1,"")</f>
        <v>-1</v>
      </c>
      <c r="O19" s="172" t="n">
        <f aca="false">O16+O17+O18</f>
        <v>-3268782.78520715</v>
      </c>
      <c r="Q19" s="172" t="n">
        <f aca="false">Q16+Q17+Q18</f>
        <v>2950521.18644068</v>
      </c>
      <c r="R19" s="173" t="n">
        <f aca="false">IFERROR(H19/Q19-1,"-")</f>
        <v>-1</v>
      </c>
      <c r="S19" s="173" t="n">
        <f aca="false">IFERROR(H19/Q19,"-")</f>
        <v>0</v>
      </c>
      <c r="T19" s="172" t="n">
        <f aca="false">H19-Q19</f>
        <v>-2950521.18644068</v>
      </c>
      <c r="U19" s="174"/>
      <c r="V19" s="172"/>
      <c r="W19" s="175" t="n">
        <f aca="false">H19-V19</f>
        <v>0</v>
      </c>
      <c r="X19" s="176" t="str">
        <f aca="false">IFERROR((G19/V19)-1,"-")</f>
        <v>-</v>
      </c>
    </row>
    <row r="20" customFormat="false" ht="14.25" hidden="false" customHeight="true" outlineLevel="0" collapsed="false">
      <c r="A20" s="165" t="n">
        <v>50</v>
      </c>
      <c r="B20" s="167" t="s">
        <v>143</v>
      </c>
      <c r="C20" s="167" t="s">
        <v>49</v>
      </c>
      <c r="D20" s="167" t="s">
        <v>50</v>
      </c>
      <c r="E20" s="167" t="s">
        <v>51</v>
      </c>
      <c r="F20" s="145" t="n">
        <v>190607.48</v>
      </c>
      <c r="G20" s="145" t="n">
        <v>182118.44</v>
      </c>
      <c r="H20" s="145"/>
      <c r="I20" s="162" t="str">
        <f aca="false">IFERROR(H20/$H$19,"")</f>
        <v/>
      </c>
      <c r="J20" s="162" t="n">
        <f aca="false">IFERROR(H20/G20-1,"")</f>
        <v>-1</v>
      </c>
      <c r="K20" s="145" t="n">
        <f aca="false">H20-G20</f>
        <v>-182118.44</v>
      </c>
      <c r="M20" s="145" t="n">
        <f aca="false">VLOOKUP(C20,'תקציב  '!$B:$S,15,0)*1</f>
        <v>402156.5266125</v>
      </c>
      <c r="N20" s="162" t="n">
        <f aca="false">IFERROR(H20/M20-1,"")</f>
        <v>-1</v>
      </c>
      <c r="O20" s="145" t="n">
        <f aca="false">H20-M20</f>
        <v>-402156.5266125</v>
      </c>
      <c r="Q20" s="147" t="n">
        <v>297561</v>
      </c>
      <c r="R20" s="162" t="n">
        <f aca="false">IFERROR(H20/Q20-1,"-")</f>
        <v>-1</v>
      </c>
      <c r="S20" s="162" t="n">
        <f aca="false">IFERROR(H20/Q20,"-")</f>
        <v>0</v>
      </c>
      <c r="T20" s="145" t="n">
        <f aca="false">H20-Q20</f>
        <v>-297561</v>
      </c>
      <c r="V20" s="145"/>
      <c r="W20" s="5" t="n">
        <f aca="false">H20-V20</f>
        <v>0</v>
      </c>
      <c r="X20" s="163" t="str">
        <f aca="false">IFERROR((G20/V20)-1,"-")</f>
        <v>-</v>
      </c>
    </row>
    <row r="21" customFormat="false" ht="14.25" hidden="false" customHeight="true" outlineLevel="0" collapsed="false">
      <c r="A21" s="165" t="n">
        <v>20</v>
      </c>
      <c r="B21" s="167" t="s">
        <v>144</v>
      </c>
      <c r="C21" s="167" t="s">
        <v>52</v>
      </c>
      <c r="D21" s="167" t="s">
        <v>53</v>
      </c>
      <c r="E21" s="167" t="s">
        <v>54</v>
      </c>
      <c r="F21" s="145" t="n">
        <v>137974.18</v>
      </c>
      <c r="G21" s="145" t="n">
        <v>144741.73</v>
      </c>
      <c r="H21" s="145"/>
      <c r="I21" s="162" t="str">
        <f aca="false">IFERROR(H21/$H$19,"")</f>
        <v/>
      </c>
      <c r="J21" s="162" t="n">
        <f aca="false">IFERROR(H21/G21-1,"")</f>
        <v>-1</v>
      </c>
      <c r="K21" s="145" t="n">
        <f aca="false">H21-G21</f>
        <v>-144741.73</v>
      </c>
      <c r="M21" s="145" t="n">
        <f aca="false">VLOOKUP(C21,'תקציב  '!$B:$S,15,0)*1</f>
        <v>147000</v>
      </c>
      <c r="N21" s="162" t="n">
        <f aca="false">IFERROR(H21/M21-1,"")</f>
        <v>-1</v>
      </c>
      <c r="O21" s="145" t="n">
        <f aca="false">H21-M21</f>
        <v>-147000</v>
      </c>
      <c r="Q21" s="147" t="n">
        <v>150000</v>
      </c>
      <c r="R21" s="162" t="n">
        <f aca="false">IFERROR(H21/Q21-1,"-")</f>
        <v>-1</v>
      </c>
      <c r="S21" s="162" t="n">
        <f aca="false">IFERROR(H21/Q21,"-")</f>
        <v>0</v>
      </c>
      <c r="T21" s="145" t="n">
        <f aca="false">H21-Q21</f>
        <v>-150000</v>
      </c>
      <c r="V21" s="145"/>
      <c r="W21" s="5" t="n">
        <f aca="false">H21-V21</f>
        <v>0</v>
      </c>
      <c r="X21" s="163" t="str">
        <f aca="false">IFERROR((G21/V21)-1,"-")</f>
        <v>-</v>
      </c>
    </row>
    <row r="22" customFormat="false" ht="14.25" hidden="false" customHeight="true" outlineLevel="0" collapsed="false">
      <c r="A22" s="165" t="n">
        <v>21</v>
      </c>
      <c r="B22" s="167" t="s">
        <v>145</v>
      </c>
      <c r="C22" s="167" t="s">
        <v>55</v>
      </c>
      <c r="D22" s="167" t="s">
        <v>56</v>
      </c>
      <c r="E22" s="167" t="s">
        <v>57</v>
      </c>
      <c r="F22" s="145" t="n">
        <v>1400.99</v>
      </c>
      <c r="G22" s="145" t="n">
        <v>121.12</v>
      </c>
      <c r="H22" s="145"/>
      <c r="I22" s="162" t="str">
        <f aca="false">IFERROR(H22/$H$19,"")</f>
        <v/>
      </c>
      <c r="J22" s="162" t="n">
        <f aca="false">IFERROR(H22/G22-1,"")</f>
        <v>-1</v>
      </c>
      <c r="K22" s="145" t="n">
        <f aca="false">H22-G22</f>
        <v>-121.12</v>
      </c>
      <c r="M22" s="145" t="n">
        <f aca="false">VLOOKUP(C22,'תקציב  '!$B:$S,15,0)*1</f>
        <v>0</v>
      </c>
      <c r="N22" s="162" t="str">
        <f aca="false">IFERROR(H22/M22-1,"")</f>
        <v/>
      </c>
      <c r="O22" s="145" t="n">
        <f aca="false">H22-M22</f>
        <v>0</v>
      </c>
      <c r="Q22" s="147" t="n">
        <v>0</v>
      </c>
      <c r="R22" s="162" t="str">
        <f aca="false">IFERROR(H22/Q22-1,"-")</f>
        <v>-</v>
      </c>
      <c r="S22" s="162" t="str">
        <f aca="false">IFERROR(H22/Q22,"-")</f>
        <v>-</v>
      </c>
      <c r="T22" s="145" t="n">
        <f aca="false">H22-Q22</f>
        <v>0</v>
      </c>
      <c r="V22" s="145"/>
      <c r="W22" s="5" t="n">
        <f aca="false">H22-V22</f>
        <v>0</v>
      </c>
      <c r="X22" s="163" t="str">
        <f aca="false">IFERROR((G22/V22)-1,"-")</f>
        <v>-</v>
      </c>
    </row>
    <row r="23" customFormat="false" ht="14.25" hidden="false" customHeight="true" outlineLevel="0" collapsed="false">
      <c r="A23" s="165" t="n">
        <v>22</v>
      </c>
      <c r="B23" s="167" t="s">
        <v>146</v>
      </c>
      <c r="C23" s="167" t="s">
        <v>58</v>
      </c>
      <c r="D23" s="167" t="s">
        <v>59</v>
      </c>
      <c r="E23" s="167" t="s">
        <v>60</v>
      </c>
      <c r="F23" s="145" t="n">
        <v>80366.28</v>
      </c>
      <c r="G23" s="145" t="n">
        <v>0</v>
      </c>
      <c r="H23" s="145"/>
      <c r="I23" s="162" t="str">
        <f aca="false">IFERROR(H23/$H$19,"")</f>
        <v/>
      </c>
      <c r="J23" s="162" t="str">
        <f aca="false">IFERROR(H23/G23-1,"")</f>
        <v/>
      </c>
      <c r="K23" s="145" t="n">
        <f aca="false">H23-G23</f>
        <v>0</v>
      </c>
      <c r="M23" s="145" t="n">
        <f aca="false">VLOOKUP(C23,'תקציב  '!$B:$S,15,0)*1</f>
        <v>0</v>
      </c>
      <c r="N23" s="162" t="str">
        <f aca="false">IFERROR(H23/M23-1,"")</f>
        <v/>
      </c>
      <c r="O23" s="145" t="n">
        <f aca="false">H23-M23</f>
        <v>0</v>
      </c>
      <c r="Q23" s="147" t="n">
        <v>0</v>
      </c>
      <c r="R23" s="162" t="str">
        <f aca="false">IFERROR(H23/Q23-1,"-")</f>
        <v>-</v>
      </c>
      <c r="S23" s="162" t="str">
        <f aca="false">IFERROR(H23/Q23,"-")</f>
        <v>-</v>
      </c>
      <c r="T23" s="145" t="n">
        <f aca="false">H23-Q23</f>
        <v>0</v>
      </c>
      <c r="V23" s="145"/>
      <c r="W23" s="5" t="n">
        <f aca="false">H23-V23</f>
        <v>0</v>
      </c>
      <c r="X23" s="163" t="str">
        <f aca="false">IFERROR((G23/V23)-1,"-")</f>
        <v>-</v>
      </c>
    </row>
    <row r="24" customFormat="false" ht="14.25" hidden="false" customHeight="true" outlineLevel="0" collapsed="false">
      <c r="A24" s="165" t="n">
        <v>23</v>
      </c>
      <c r="B24" s="167" t="s">
        <v>147</v>
      </c>
      <c r="C24" s="167" t="s">
        <v>61</v>
      </c>
      <c r="D24" s="167" t="s">
        <v>62</v>
      </c>
      <c r="E24" s="167" t="s">
        <v>63</v>
      </c>
      <c r="F24" s="145" t="n">
        <v>0</v>
      </c>
      <c r="G24" s="145" t="n">
        <v>0</v>
      </c>
      <c r="H24" s="145"/>
      <c r="I24" s="162" t="str">
        <f aca="false">IFERROR(H24/$H$19,"")</f>
        <v/>
      </c>
      <c r="J24" s="162" t="str">
        <f aca="false">IFERROR(H24/G24-1,"")</f>
        <v/>
      </c>
      <c r="K24" s="145" t="n">
        <f aca="false">H24-G24</f>
        <v>0</v>
      </c>
      <c r="M24" s="145" t="n">
        <f aca="false">VLOOKUP(C24,'תקציב  '!$B:$S,15,0)*1</f>
        <v>0</v>
      </c>
      <c r="N24" s="162" t="str">
        <f aca="false">IFERROR(H24/M24-1,"")</f>
        <v/>
      </c>
      <c r="O24" s="145" t="n">
        <f aca="false">H24-M24</f>
        <v>0</v>
      </c>
      <c r="Q24" s="147" t="n">
        <v>0</v>
      </c>
      <c r="R24" s="162" t="str">
        <f aca="false">IFERROR(H24/Q24-1,"-")</f>
        <v>-</v>
      </c>
      <c r="S24" s="162" t="str">
        <f aca="false">IFERROR(H24/Q24,"-")</f>
        <v>-</v>
      </c>
      <c r="T24" s="145" t="n">
        <f aca="false">H24-Q24</f>
        <v>0</v>
      </c>
      <c r="V24" s="145"/>
      <c r="W24" s="5" t="n">
        <f aca="false">H24-V24</f>
        <v>0</v>
      </c>
      <c r="X24" s="163" t="str">
        <f aca="false">IFERROR((G24/V24)-1,"-")</f>
        <v>-</v>
      </c>
    </row>
    <row r="25" customFormat="false" ht="14.25" hidden="false" customHeight="true" outlineLevel="0" collapsed="false">
      <c r="A25" s="165" t="n">
        <v>24</v>
      </c>
      <c r="B25" s="167" t="s">
        <v>148</v>
      </c>
      <c r="C25" s="167" t="s">
        <v>64</v>
      </c>
      <c r="D25" s="167" t="s">
        <v>65</v>
      </c>
      <c r="E25" s="167" t="s">
        <v>66</v>
      </c>
      <c r="F25" s="145" t="n">
        <v>0</v>
      </c>
      <c r="G25" s="145" t="n">
        <v>0</v>
      </c>
      <c r="H25" s="145"/>
      <c r="I25" s="162" t="str">
        <f aca="false">IFERROR(H25/$H$19,"")</f>
        <v/>
      </c>
      <c r="J25" s="162" t="str">
        <f aca="false">IFERROR(H25/G25-1,"")</f>
        <v/>
      </c>
      <c r="K25" s="145" t="n">
        <f aca="false">H25-G25</f>
        <v>0</v>
      </c>
      <c r="M25" s="145" t="n">
        <f aca="false">VLOOKUP(C25,'תקציב  '!$B:$S,15,0)*1</f>
        <v>5000</v>
      </c>
      <c r="N25" s="162" t="n">
        <f aca="false">IFERROR(H25/M25-1,"")</f>
        <v>-1</v>
      </c>
      <c r="O25" s="145" t="n">
        <f aca="false">H25-M25</f>
        <v>-5000</v>
      </c>
      <c r="Q25" s="147" t="n">
        <v>0</v>
      </c>
      <c r="R25" s="162" t="str">
        <f aca="false">IFERROR(H25/Q25-1,"-")</f>
        <v>-</v>
      </c>
      <c r="S25" s="162" t="str">
        <f aca="false">IFERROR(H25/Q25,"-")</f>
        <v>-</v>
      </c>
      <c r="T25" s="145" t="n">
        <f aca="false">H25-Q25</f>
        <v>0</v>
      </c>
      <c r="V25" s="145"/>
      <c r="W25" s="5" t="n">
        <f aca="false">H25-V25</f>
        <v>0</v>
      </c>
      <c r="X25" s="163" t="str">
        <f aca="false">IFERROR((G25/V25)-1,"-")</f>
        <v>-</v>
      </c>
    </row>
    <row r="26" customFormat="false" ht="13.5" hidden="false" customHeight="true" outlineLevel="0" collapsed="false">
      <c r="A26" s="165" t="n">
        <v>25</v>
      </c>
      <c r="B26" s="167" t="s">
        <v>149</v>
      </c>
      <c r="C26" s="167" t="s">
        <v>67</v>
      </c>
      <c r="D26" s="167" t="s">
        <v>68</v>
      </c>
      <c r="E26" s="167" t="s">
        <v>69</v>
      </c>
      <c r="F26" s="145" t="n">
        <v>222074.04</v>
      </c>
      <c r="G26" s="145" t="n">
        <v>146752.62</v>
      </c>
      <c r="H26" s="145"/>
      <c r="I26" s="162" t="str">
        <f aca="false">IFERROR(H26/$H$19,"")</f>
        <v/>
      </c>
      <c r="J26" s="162" t="n">
        <f aca="false">IFERROR(H26/G26-1,"")</f>
        <v>-1</v>
      </c>
      <c r="K26" s="145" t="n">
        <f aca="false">H26-G26</f>
        <v>-146752.62</v>
      </c>
      <c r="M26" s="145" t="n">
        <f aca="false">VLOOKUP(C26,'תקציב  '!$B:$S,15,0)*1</f>
        <v>0</v>
      </c>
      <c r="N26" s="162" t="str">
        <f aca="false">IFERROR(H26/M26-1,"")</f>
        <v/>
      </c>
      <c r="O26" s="145" t="n">
        <f aca="false">H26-M26</f>
        <v>0</v>
      </c>
      <c r="Q26" s="147" t="n">
        <v>0</v>
      </c>
      <c r="R26" s="162" t="str">
        <f aca="false">IFERROR(H26/Q26-1,"-")</f>
        <v>-</v>
      </c>
      <c r="S26" s="162" t="str">
        <f aca="false">IFERROR(H26/Q26,"-")</f>
        <v>-</v>
      </c>
      <c r="T26" s="145" t="n">
        <f aca="false">H26-Q26</f>
        <v>0</v>
      </c>
      <c r="V26" s="145"/>
      <c r="W26" s="5" t="n">
        <f aca="false">H26-V26</f>
        <v>0</v>
      </c>
      <c r="X26" s="163" t="str">
        <f aca="false">IFERROR((G26/V26)-1,"-")</f>
        <v>-</v>
      </c>
    </row>
    <row r="27" customFormat="false" ht="14.25" hidden="false" customHeight="true" outlineLevel="0" collapsed="false">
      <c r="A27" s="165" t="n">
        <v>26</v>
      </c>
      <c r="B27" s="167" t="s">
        <v>150</v>
      </c>
      <c r="C27" s="167" t="s">
        <v>70</v>
      </c>
      <c r="D27" s="167" t="s">
        <v>71</v>
      </c>
      <c r="E27" s="167" t="s">
        <v>72</v>
      </c>
      <c r="F27" s="145" t="n">
        <v>0</v>
      </c>
      <c r="G27" s="145" t="n">
        <v>0</v>
      </c>
      <c r="H27" s="145"/>
      <c r="I27" s="162" t="str">
        <f aca="false">IFERROR(H27/$H$19,"")</f>
        <v/>
      </c>
      <c r="J27" s="162" t="str">
        <f aca="false">IFERROR(H27/G27-1,"")</f>
        <v/>
      </c>
      <c r="K27" s="145" t="n">
        <f aca="false">H27-G27</f>
        <v>0</v>
      </c>
      <c r="M27" s="145" t="n">
        <f aca="false">VLOOKUP(C27,'תקציב  '!$B:$S,15,0)*1</f>
        <v>0</v>
      </c>
      <c r="N27" s="162" t="str">
        <f aca="false">IFERROR(H27/M27-1,"")</f>
        <v/>
      </c>
      <c r="O27" s="145" t="n">
        <f aca="false">H27-M27</f>
        <v>0</v>
      </c>
      <c r="Q27" s="147" t="n">
        <v>0</v>
      </c>
      <c r="R27" s="162" t="str">
        <f aca="false">IFERROR(H27/Q27-1,"-")</f>
        <v>-</v>
      </c>
      <c r="S27" s="162" t="str">
        <f aca="false">IFERROR(H27/Q27,"-")</f>
        <v>-</v>
      </c>
      <c r="T27" s="145" t="n">
        <f aca="false">H27-Q27</f>
        <v>0</v>
      </c>
      <c r="V27" s="145"/>
      <c r="W27" s="5" t="n">
        <f aca="false">H27-V27</f>
        <v>0</v>
      </c>
      <c r="X27" s="163" t="str">
        <f aca="false">IFERROR((G27/V27)-1,"-")</f>
        <v>-</v>
      </c>
    </row>
    <row r="28" customFormat="false" ht="13.5" hidden="false" customHeight="true" outlineLevel="0" collapsed="false">
      <c r="A28" s="165" t="n">
        <v>27</v>
      </c>
      <c r="B28" s="167" t="s">
        <v>151</v>
      </c>
      <c r="C28" s="167" t="s">
        <v>73</v>
      </c>
      <c r="D28" s="167" t="s">
        <v>74</v>
      </c>
      <c r="E28" s="167" t="s">
        <v>75</v>
      </c>
      <c r="F28" s="145" t="n">
        <v>83394.96</v>
      </c>
      <c r="G28" s="145" t="n">
        <v>0</v>
      </c>
      <c r="H28" s="145"/>
      <c r="I28" s="162" t="str">
        <f aca="false">IFERROR(H28/$H$19,"")</f>
        <v/>
      </c>
      <c r="J28" s="162" t="str">
        <f aca="false">IFERROR(H28/G28-1,"")</f>
        <v/>
      </c>
      <c r="K28" s="145" t="n">
        <f aca="false">H28-G28</f>
        <v>0</v>
      </c>
      <c r="M28" s="145" t="n">
        <f aca="false">VLOOKUP(C28,'תקציב  '!$B:$S,15,0)*1</f>
        <v>0</v>
      </c>
      <c r="N28" s="162" t="str">
        <f aca="false">IFERROR(H28/M28-1,"")</f>
        <v/>
      </c>
      <c r="O28" s="145" t="n">
        <f aca="false">H28-M28</f>
        <v>0</v>
      </c>
      <c r="Q28" s="147" t="n">
        <v>0</v>
      </c>
      <c r="R28" s="162" t="str">
        <f aca="false">IFERROR(H28/Q28-1,"-")</f>
        <v>-</v>
      </c>
      <c r="S28" s="162" t="str">
        <f aca="false">IFERROR(H28/Q28,"-")</f>
        <v>-</v>
      </c>
      <c r="T28" s="145" t="n">
        <f aca="false">H28-Q28</f>
        <v>0</v>
      </c>
      <c r="V28" s="145"/>
      <c r="W28" s="5" t="n">
        <f aca="false">H28-V28</f>
        <v>0</v>
      </c>
      <c r="X28" s="163" t="str">
        <f aca="false">IFERROR((G28/V28)-1,"-")</f>
        <v>-</v>
      </c>
    </row>
    <row r="29" customFormat="false" ht="13.5" hidden="false" customHeight="true" outlineLevel="0" collapsed="false">
      <c r="A29" s="165" t="n">
        <v>28</v>
      </c>
      <c r="B29" s="167" t="s">
        <v>152</v>
      </c>
      <c r="C29" s="167" t="s">
        <v>76</v>
      </c>
      <c r="D29" s="167" t="s">
        <v>77</v>
      </c>
      <c r="E29" s="167" t="s">
        <v>78</v>
      </c>
      <c r="F29" s="145" t="n">
        <v>0</v>
      </c>
      <c r="G29" s="145" t="n">
        <v>41441.91</v>
      </c>
      <c r="H29" s="145"/>
      <c r="I29" s="162" t="str">
        <f aca="false">IFERROR(H29/$H$19,"")</f>
        <v/>
      </c>
      <c r="J29" s="162" t="n">
        <f aca="false">IFERROR(H29/G29-1,"")</f>
        <v>-1</v>
      </c>
      <c r="K29" s="145" t="n">
        <f aca="false">H29-G29</f>
        <v>-41441.91</v>
      </c>
      <c r="M29" s="145" t="n">
        <f aca="false">VLOOKUP(C29,'תקציב  '!$B:$S,15,0)*1</f>
        <v>39765.076</v>
      </c>
      <c r="N29" s="162" t="n">
        <f aca="false">IFERROR(H29/M29-1,"")</f>
        <v>-1</v>
      </c>
      <c r="O29" s="145" t="n">
        <f aca="false">H29-M29</f>
        <v>-39765.076</v>
      </c>
      <c r="Q29" s="147" t="n">
        <v>15000</v>
      </c>
      <c r="R29" s="162" t="n">
        <f aca="false">IFERROR(H29/Q29-1,"-")</f>
        <v>-1</v>
      </c>
      <c r="S29" s="162" t="n">
        <f aca="false">IFERROR(H29/Q29,"-")</f>
        <v>0</v>
      </c>
      <c r="T29" s="145" t="n">
        <f aca="false">H29-Q29</f>
        <v>-15000</v>
      </c>
      <c r="V29" s="145"/>
      <c r="W29" s="5" t="n">
        <f aca="false">H29-V29</f>
        <v>0</v>
      </c>
      <c r="X29" s="163" t="str">
        <f aca="false">IFERROR((G29/V29)-1,"-")</f>
        <v>-</v>
      </c>
    </row>
    <row r="30" customFormat="false" ht="14.25" hidden="false" customHeight="true" outlineLevel="0" collapsed="false">
      <c r="A30" s="165" t="n">
        <v>29</v>
      </c>
      <c r="B30" s="167" t="s">
        <v>153</v>
      </c>
      <c r="C30" s="167" t="s">
        <v>79</v>
      </c>
      <c r="D30" s="167" t="s">
        <v>80</v>
      </c>
      <c r="E30" s="167" t="s">
        <v>81</v>
      </c>
      <c r="F30" s="145" t="n">
        <v>0</v>
      </c>
      <c r="G30" s="145" t="n">
        <v>0</v>
      </c>
      <c r="H30" s="145"/>
      <c r="I30" s="162" t="str">
        <f aca="false">IFERROR(H30/$H$19,"")</f>
        <v/>
      </c>
      <c r="J30" s="162" t="str">
        <f aca="false">IFERROR(H30/G30-1,"")</f>
        <v/>
      </c>
      <c r="K30" s="145" t="n">
        <f aca="false">H30-G30</f>
        <v>0</v>
      </c>
      <c r="M30" s="145" t="n">
        <f aca="false">VLOOKUP(C30,'תקציב  '!$B:$S,15,0)*1</f>
        <v>0</v>
      </c>
      <c r="N30" s="162" t="str">
        <f aca="false">IFERROR(H30/M30-1,"")</f>
        <v/>
      </c>
      <c r="O30" s="145" t="n">
        <f aca="false">H30-M30</f>
        <v>0</v>
      </c>
      <c r="Q30" s="147" t="n">
        <v>0</v>
      </c>
      <c r="R30" s="162" t="str">
        <f aca="false">IFERROR(H30/Q30-1,"-")</f>
        <v>-</v>
      </c>
      <c r="S30" s="162" t="str">
        <f aca="false">IFERROR(H30/Q30,"-")</f>
        <v>-</v>
      </c>
      <c r="T30" s="145" t="n">
        <f aca="false">H30-Q30</f>
        <v>0</v>
      </c>
      <c r="V30" s="145"/>
      <c r="W30" s="5" t="n">
        <f aca="false">H30-V30</f>
        <v>0</v>
      </c>
      <c r="X30" s="163" t="str">
        <f aca="false">IFERROR((G30/V30)-1,"-")</f>
        <v>-</v>
      </c>
    </row>
    <row r="31" customFormat="false" ht="14.25" hidden="false" customHeight="true" outlineLevel="0" collapsed="false">
      <c r="A31" s="165" t="n">
        <v>30</v>
      </c>
      <c r="B31" s="167" t="s">
        <v>154</v>
      </c>
      <c r="C31" s="167" t="s">
        <v>82</v>
      </c>
      <c r="D31" s="167" t="s">
        <v>83</v>
      </c>
      <c r="E31" s="167" t="s">
        <v>81</v>
      </c>
      <c r="F31" s="145" t="n">
        <v>0</v>
      </c>
      <c r="G31" s="145" t="n">
        <v>0</v>
      </c>
      <c r="H31" s="145"/>
      <c r="I31" s="162" t="str">
        <f aca="false">IFERROR(H31/$H$19,"")</f>
        <v/>
      </c>
      <c r="J31" s="162" t="str">
        <f aca="false">IFERROR(H31/G31-1,"")</f>
        <v/>
      </c>
      <c r="K31" s="145" t="n">
        <f aca="false">H31-G31</f>
        <v>0</v>
      </c>
      <c r="M31" s="145" t="n">
        <f aca="false">VLOOKUP(C31,'תקציב  '!$B:$S,15,0)*1</f>
        <v>0</v>
      </c>
      <c r="N31" s="162" t="str">
        <f aca="false">IFERROR(H31/M31-1,"")</f>
        <v/>
      </c>
      <c r="O31" s="145" t="n">
        <f aca="false">H31-M31</f>
        <v>0</v>
      </c>
      <c r="Q31" s="147" t="n">
        <v>0</v>
      </c>
      <c r="R31" s="162" t="str">
        <f aca="false">IFERROR(H31/Q31-1,"-")</f>
        <v>-</v>
      </c>
      <c r="S31" s="162" t="str">
        <f aca="false">IFERROR(H31/Q31,"-")</f>
        <v>-</v>
      </c>
      <c r="T31" s="145" t="n">
        <f aca="false">H31-Q31</f>
        <v>0</v>
      </c>
      <c r="V31" s="145"/>
      <c r="W31" s="5" t="n">
        <f aca="false">H31-V31</f>
        <v>0</v>
      </c>
      <c r="X31" s="163" t="str">
        <f aca="false">IFERROR((G31/V31)-1,"-")</f>
        <v>-</v>
      </c>
    </row>
    <row r="32" customFormat="false" ht="13.5" hidden="false" customHeight="true" outlineLevel="0" collapsed="false">
      <c r="A32" s="165" t="n">
        <v>31</v>
      </c>
      <c r="B32" s="167" t="s">
        <v>84</v>
      </c>
      <c r="C32" s="167" t="s">
        <v>84</v>
      </c>
      <c r="D32" s="167" t="s">
        <v>85</v>
      </c>
      <c r="E32" s="167" t="s">
        <v>86</v>
      </c>
      <c r="F32" s="145" t="n">
        <v>0</v>
      </c>
      <c r="G32" s="145" t="n">
        <v>0</v>
      </c>
      <c r="H32" s="145"/>
      <c r="I32" s="162" t="str">
        <f aca="false">IFERROR(H32/$H$19,"")</f>
        <v/>
      </c>
      <c r="J32" s="162" t="str">
        <f aca="false">IFERROR(H32/G32-1,"")</f>
        <v/>
      </c>
      <c r="K32" s="145" t="n">
        <f aca="false">H32-G32</f>
        <v>0</v>
      </c>
      <c r="M32" s="145" t="n">
        <f aca="false">VLOOKUP(C32,'תקציב  '!$B:$S,15,0)*1</f>
        <v>0</v>
      </c>
      <c r="N32" s="162" t="str">
        <f aca="false">IFERROR(H32/M32-1,"")</f>
        <v/>
      </c>
      <c r="O32" s="145" t="n">
        <f aca="false">H32-M32</f>
        <v>0</v>
      </c>
      <c r="Q32" s="147" t="n">
        <v>0</v>
      </c>
      <c r="R32" s="162" t="str">
        <f aca="false">IFERROR(H32/Q32-1,"-")</f>
        <v>-</v>
      </c>
      <c r="S32" s="162" t="str">
        <f aca="false">IFERROR(H32/Q32,"-")</f>
        <v>-</v>
      </c>
      <c r="T32" s="145" t="n">
        <f aca="false">H32-Q32</f>
        <v>0</v>
      </c>
      <c r="V32" s="145"/>
      <c r="W32" s="5" t="n">
        <f aca="false">H32-V32</f>
        <v>0</v>
      </c>
      <c r="X32" s="163" t="str">
        <f aca="false">IFERROR((G32/V32)-1,"-")</f>
        <v>-</v>
      </c>
    </row>
    <row r="33" customFormat="false" ht="13.5" hidden="false" customHeight="true" outlineLevel="0" collapsed="false">
      <c r="A33" s="165"/>
      <c r="B33" s="167"/>
      <c r="C33" s="167"/>
      <c r="D33" s="167" t="s">
        <v>155</v>
      </c>
      <c r="E33" s="167" t="s">
        <v>156</v>
      </c>
      <c r="F33" s="145"/>
      <c r="G33" s="145"/>
      <c r="H33" s="145"/>
      <c r="I33" s="162" t="str">
        <f aca="false">IFERROR(H33/$H$19,"")</f>
        <v/>
      </c>
      <c r="J33" s="162" t="str">
        <f aca="false">IFERROR(H33/G33-1,"")</f>
        <v/>
      </c>
      <c r="K33" s="145" t="n">
        <f aca="false">H33-G33</f>
        <v>0</v>
      </c>
      <c r="M33" s="145"/>
      <c r="N33" s="162" t="str">
        <f aca="false">IFERROR(H33/M33-1,"")</f>
        <v/>
      </c>
      <c r="O33" s="145" t="n">
        <f aca="false">H33-M33</f>
        <v>0</v>
      </c>
      <c r="Q33" s="147" t="n">
        <v>0</v>
      </c>
      <c r="R33" s="162" t="str">
        <f aca="false">IFERROR(H33/Q33-1,"-")</f>
        <v>-</v>
      </c>
      <c r="S33" s="162" t="str">
        <f aca="false">IFERROR(H33/Q33,"-")</f>
        <v>-</v>
      </c>
      <c r="T33" s="145" t="n">
        <f aca="false">H33-Q33</f>
        <v>0</v>
      </c>
      <c r="V33" s="145"/>
      <c r="W33" s="5" t="n">
        <f aca="false">H33-V33</f>
        <v>0</v>
      </c>
      <c r="X33" s="163" t="str">
        <f aca="false">IFERROR((G33/V33)-1,"-")</f>
        <v>-</v>
      </c>
    </row>
    <row r="34" customFormat="false" ht="13.5" hidden="false" customHeight="true" outlineLevel="0" collapsed="false">
      <c r="A34" s="165" t="n">
        <v>32</v>
      </c>
      <c r="B34" s="167" t="s">
        <v>157</v>
      </c>
      <c r="C34" s="167" t="s">
        <v>87</v>
      </c>
      <c r="D34" s="167" t="s">
        <v>88</v>
      </c>
      <c r="E34" s="167" t="s">
        <v>89</v>
      </c>
      <c r="F34" s="145" t="n">
        <v>0</v>
      </c>
      <c r="G34" s="145" t="n">
        <v>0</v>
      </c>
      <c r="H34" s="145"/>
      <c r="I34" s="162" t="str">
        <f aca="false">IFERROR(H34/$H$19,"")</f>
        <v/>
      </c>
      <c r="J34" s="162" t="str">
        <f aca="false">IFERROR(H34/G34-1,"")</f>
        <v/>
      </c>
      <c r="K34" s="145" t="n">
        <f aca="false">H34-G34</f>
        <v>0</v>
      </c>
      <c r="M34" s="145" t="n">
        <f aca="false">VLOOKUP(C34,'תקציב  '!$B:$S,15,0)*1</f>
        <v>0</v>
      </c>
      <c r="N34" s="162" t="str">
        <f aca="false">IFERROR(H34/M34-1,"")</f>
        <v/>
      </c>
      <c r="O34" s="145" t="n">
        <f aca="false">H34-M34</f>
        <v>0</v>
      </c>
      <c r="Q34" s="147" t="n">
        <v>0</v>
      </c>
      <c r="R34" s="162" t="str">
        <f aca="false">IFERROR(H34/Q34-1,"-")</f>
        <v>-</v>
      </c>
      <c r="S34" s="162" t="str">
        <f aca="false">IFERROR(H34/Q34,"-")</f>
        <v>-</v>
      </c>
      <c r="T34" s="145" t="n">
        <f aca="false">H34-Q34</f>
        <v>0</v>
      </c>
      <c r="V34" s="145"/>
      <c r="W34" s="5" t="n">
        <f aca="false">H34-V34</f>
        <v>0</v>
      </c>
      <c r="X34" s="163" t="str">
        <f aca="false">IFERROR((G34/V34)-1,"-")</f>
        <v>-</v>
      </c>
    </row>
    <row r="35" customFormat="false" ht="13.5" hidden="false" customHeight="true" outlineLevel="0" collapsed="false">
      <c r="A35" s="165" t="n">
        <v>33</v>
      </c>
      <c r="B35" s="167" t="s">
        <v>158</v>
      </c>
      <c r="C35" s="167" t="s">
        <v>90</v>
      </c>
      <c r="D35" s="167" t="s">
        <v>91</v>
      </c>
      <c r="E35" s="167" t="s">
        <v>92</v>
      </c>
      <c r="F35" s="145" t="n">
        <v>0</v>
      </c>
      <c r="G35" s="145" t="n">
        <v>0</v>
      </c>
      <c r="H35" s="145"/>
      <c r="I35" s="162" t="str">
        <f aca="false">IFERROR(H35/$H$19,"")</f>
        <v/>
      </c>
      <c r="J35" s="162" t="str">
        <f aca="false">IFERROR(H35/G35-1,"")</f>
        <v/>
      </c>
      <c r="K35" s="145" t="n">
        <f aca="false">H35-G35</f>
        <v>0</v>
      </c>
      <c r="M35" s="145" t="n">
        <f aca="false">VLOOKUP(C35,'תקציב  '!$B:$S,15,0)*1</f>
        <v>0</v>
      </c>
      <c r="N35" s="162" t="str">
        <f aca="false">IFERROR(H35/M35-1,"")</f>
        <v/>
      </c>
      <c r="O35" s="145" t="n">
        <f aca="false">H35-M35</f>
        <v>0</v>
      </c>
      <c r="Q35" s="147" t="n">
        <v>25000</v>
      </c>
      <c r="R35" s="162" t="n">
        <f aca="false">IFERROR(H35/Q35-1,"-")</f>
        <v>-1</v>
      </c>
      <c r="S35" s="162" t="n">
        <f aca="false">IFERROR(H35/Q35,"-")</f>
        <v>0</v>
      </c>
      <c r="T35" s="145" t="n">
        <f aca="false">H35-Q35</f>
        <v>-25000</v>
      </c>
      <c r="V35" s="145"/>
      <c r="W35" s="5" t="n">
        <f aca="false">H35-V35</f>
        <v>0</v>
      </c>
      <c r="X35" s="163" t="str">
        <f aca="false">IFERROR((G35/V35)-1,"-")</f>
        <v>-</v>
      </c>
    </row>
    <row r="36" customFormat="false" ht="14.25" hidden="false" customHeight="true" outlineLevel="0" collapsed="false">
      <c r="A36" s="165"/>
      <c r="B36" s="167" t="s">
        <v>159</v>
      </c>
      <c r="C36" s="167" t="s">
        <v>159</v>
      </c>
      <c r="D36" s="167" t="s">
        <v>160</v>
      </c>
      <c r="E36" s="167" t="s">
        <v>78</v>
      </c>
      <c r="F36" s="145" t="n">
        <v>0</v>
      </c>
      <c r="G36" s="145" t="n">
        <v>0</v>
      </c>
      <c r="H36" s="145"/>
      <c r="I36" s="162" t="str">
        <f aca="false">IFERROR(H36/$H$19,"")</f>
        <v/>
      </c>
      <c r="J36" s="162" t="str">
        <f aca="false">IFERROR(H36/G36-1,"")</f>
        <v/>
      </c>
      <c r="K36" s="145" t="n">
        <f aca="false">H36-G36</f>
        <v>0</v>
      </c>
      <c r="M36" s="145"/>
      <c r="N36" s="162" t="str">
        <f aca="false">IFERROR(H36/M36-1,"")</f>
        <v/>
      </c>
      <c r="O36" s="145" t="n">
        <f aca="false">H36-M36</f>
        <v>0</v>
      </c>
      <c r="Q36" s="147" t="n">
        <v>0</v>
      </c>
      <c r="R36" s="162" t="str">
        <f aca="false">IFERROR(H36/Q36-1,"-")</f>
        <v>-</v>
      </c>
      <c r="S36" s="162" t="str">
        <f aca="false">IFERROR(H36/Q36,"-")</f>
        <v>-</v>
      </c>
      <c r="T36" s="145" t="n">
        <f aca="false">H36-Q36</f>
        <v>0</v>
      </c>
      <c r="V36" s="145"/>
      <c r="W36" s="5" t="n">
        <f aca="false">H36-V36</f>
        <v>0</v>
      </c>
      <c r="X36" s="163" t="str">
        <f aca="false">IFERROR((G36/V36)-1,"-")</f>
        <v>-</v>
      </c>
    </row>
    <row r="37" customFormat="false" ht="14.25" hidden="false" customHeight="true" outlineLevel="0" collapsed="false">
      <c r="A37" s="165" t="n">
        <v>34</v>
      </c>
      <c r="B37" s="167" t="s">
        <v>161</v>
      </c>
      <c r="C37" s="167" t="s">
        <v>161</v>
      </c>
      <c r="D37" s="167" t="s">
        <v>93</v>
      </c>
      <c r="E37" s="167" t="s">
        <v>162</v>
      </c>
      <c r="F37" s="145" t="n">
        <v>0</v>
      </c>
      <c r="G37" s="145" t="n">
        <v>0</v>
      </c>
      <c r="H37" s="145"/>
      <c r="I37" s="162" t="str">
        <f aca="false">IFERROR(H37/$H$19,"")</f>
        <v/>
      </c>
      <c r="J37" s="162" t="str">
        <f aca="false">IFERROR(H37/G37-1,"")</f>
        <v/>
      </c>
      <c r="K37" s="145" t="n">
        <f aca="false">H37-G37</f>
        <v>0</v>
      </c>
      <c r="M37" s="145"/>
      <c r="N37" s="162" t="str">
        <f aca="false">IFERROR(H37/M37-1,"")</f>
        <v/>
      </c>
      <c r="O37" s="145" t="n">
        <f aca="false">H37-M37</f>
        <v>0</v>
      </c>
      <c r="Q37" s="147" t="n">
        <v>0</v>
      </c>
      <c r="R37" s="162" t="str">
        <f aca="false">IFERROR(H37/Q37-1,"-")</f>
        <v>-</v>
      </c>
      <c r="S37" s="162" t="str">
        <f aca="false">IFERROR(H37/Q37,"-")</f>
        <v>-</v>
      </c>
      <c r="T37" s="145" t="n">
        <f aca="false">H37-Q37</f>
        <v>0</v>
      </c>
      <c r="V37" s="145"/>
      <c r="W37" s="5" t="n">
        <f aca="false">H37-V37</f>
        <v>0</v>
      </c>
      <c r="X37" s="163" t="str">
        <f aca="false">IFERROR((G37/V37)-1,"-")</f>
        <v>-</v>
      </c>
    </row>
    <row r="38" customFormat="false" ht="13.5" hidden="false" customHeight="true" outlineLevel="0" collapsed="false">
      <c r="A38" s="165" t="n">
        <v>35</v>
      </c>
      <c r="B38" s="167" t="s">
        <v>94</v>
      </c>
      <c r="C38" s="167" t="s">
        <v>94</v>
      </c>
      <c r="D38" s="167" t="s">
        <v>95</v>
      </c>
      <c r="E38" s="167" t="s">
        <v>51</v>
      </c>
      <c r="F38" s="145" t="n">
        <v>161576.19</v>
      </c>
      <c r="G38" s="145" t="n">
        <v>0</v>
      </c>
      <c r="H38" s="145"/>
      <c r="I38" s="162" t="str">
        <f aca="false">IFERROR(H38/$H$19,"")</f>
        <v/>
      </c>
      <c r="J38" s="162" t="str">
        <f aca="false">IFERROR(H38/G38-1,"")</f>
        <v/>
      </c>
      <c r="K38" s="145" t="n">
        <f aca="false">H38-G38</f>
        <v>0</v>
      </c>
      <c r="M38" s="145" t="n">
        <f aca="false">VLOOKUP(C38,'תקציב  '!$B:$S,15,0)*1</f>
        <v>0</v>
      </c>
      <c r="N38" s="162" t="str">
        <f aca="false">IFERROR(H38/M38-1,"")</f>
        <v/>
      </c>
      <c r="O38" s="145" t="n">
        <f aca="false">H38-M38</f>
        <v>0</v>
      </c>
      <c r="Q38" s="147" t="n">
        <v>0</v>
      </c>
      <c r="R38" s="162" t="str">
        <f aca="false">IFERROR(H38/Q38-1,"-")</f>
        <v>-</v>
      </c>
      <c r="S38" s="162" t="str">
        <f aca="false">IFERROR(H38/Q38,"-")</f>
        <v>-</v>
      </c>
      <c r="T38" s="145" t="n">
        <f aca="false">H38-Q38</f>
        <v>0</v>
      </c>
      <c r="V38" s="145"/>
      <c r="W38" s="5" t="n">
        <f aca="false">H38-V38</f>
        <v>0</v>
      </c>
      <c r="X38" s="163" t="str">
        <f aca="false">IFERROR((G38/V38)-1,"-")</f>
        <v>-</v>
      </c>
    </row>
    <row r="39" customFormat="false" ht="13.5" hidden="false" customHeight="true" outlineLevel="0" collapsed="false">
      <c r="A39" s="196" t="n">
        <v>36</v>
      </c>
      <c r="B39" s="197"/>
      <c r="C39" s="197" t="s">
        <v>97</v>
      </c>
      <c r="D39" s="197" t="s">
        <v>97</v>
      </c>
      <c r="E39" s="197"/>
      <c r="F39" s="145"/>
      <c r="G39" s="145"/>
      <c r="H39" s="145"/>
      <c r="I39" s="199" t="str">
        <f aca="false">IFERROR(H39/$H$19,"")</f>
        <v/>
      </c>
      <c r="J39" s="199" t="str">
        <f aca="false">IFERROR(H39/G39-1,"")</f>
        <v/>
      </c>
      <c r="K39" s="145" t="n">
        <f aca="false">H39-G39</f>
        <v>0</v>
      </c>
      <c r="M39" s="145" t="n">
        <f aca="false">VLOOKUP(C39,'תקציב  '!$B:$S,15,0)*1</f>
        <v>0</v>
      </c>
      <c r="N39" s="199" t="str">
        <f aca="false">IFERROR(H39/M39-1,"")</f>
        <v/>
      </c>
      <c r="O39" s="145" t="n">
        <f aca="false">H39-M39</f>
        <v>0</v>
      </c>
      <c r="Q39" s="147" t="n">
        <v>0</v>
      </c>
      <c r="R39" s="199" t="str">
        <f aca="false">IFERROR(H39/Q39-1,"-")</f>
        <v>-</v>
      </c>
      <c r="S39" s="199" t="str">
        <f aca="false">IFERROR(H39/Q39,"-")</f>
        <v>-</v>
      </c>
      <c r="T39" s="145" t="n">
        <f aca="false">H39-Q39</f>
        <v>0</v>
      </c>
      <c r="V39" s="145"/>
      <c r="W39" s="5" t="n">
        <f aca="false">H39-V39</f>
        <v>0</v>
      </c>
      <c r="X39" s="163" t="str">
        <f aca="false">IFERROR((G39/V39)-1,"-")</f>
        <v>-</v>
      </c>
    </row>
    <row r="40" customFormat="false" ht="15" hidden="false" customHeight="true" outlineLevel="0" collapsed="false">
      <c r="A40" s="165"/>
      <c r="B40" s="182"/>
      <c r="C40" s="182" t="s">
        <v>98</v>
      </c>
      <c r="D40" s="182" t="s">
        <v>98</v>
      </c>
      <c r="E40" s="182"/>
      <c r="F40" s="183" t="n">
        <f aca="false">SUM(F20:F39)+F51+F52</f>
        <v>877394.12</v>
      </c>
      <c r="G40" s="183" t="n">
        <f aca="false">SUM(G20:G39)+G51+G52</f>
        <v>515175.82</v>
      </c>
      <c r="H40" s="183" t="n">
        <f aca="false">SUM(H20:H39)+H51+H52</f>
        <v>0</v>
      </c>
      <c r="I40" s="184" t="str">
        <f aca="false">IFERROR(H40/$H$19,"")</f>
        <v/>
      </c>
      <c r="J40" s="184" t="n">
        <f aca="false">IFERROR(H40/G40-1,"")</f>
        <v>-1</v>
      </c>
      <c r="K40" s="183" t="n">
        <f aca="false">SUM(K20:K39)+K51+K52</f>
        <v>-515175.82</v>
      </c>
      <c r="M40" s="183" t="n">
        <f aca="false">SUM(M20:M39)+M51+M52</f>
        <v>593921.6026125</v>
      </c>
      <c r="N40" s="184" t="n">
        <f aca="false">IFERROR(H40/M40-1,"")</f>
        <v>-1</v>
      </c>
      <c r="O40" s="183" t="n">
        <f aca="false">SUM(O20:O39)+O51+O52</f>
        <v>-593921.6026125</v>
      </c>
      <c r="Q40" s="183" t="n">
        <f aca="false">SUM(Q20:Q39)+Q51+Q52</f>
        <v>487561</v>
      </c>
      <c r="R40" s="184" t="n">
        <f aca="false">IFERROR(H40/Q40-1,"-")</f>
        <v>-1</v>
      </c>
      <c r="S40" s="184" t="n">
        <f aca="false">IFERROR(H40/Q40,"-")</f>
        <v>0</v>
      </c>
      <c r="T40" s="183" t="n">
        <f aca="false">H40-Q40</f>
        <v>-487561</v>
      </c>
      <c r="U40" s="174"/>
      <c r="V40" s="183"/>
      <c r="W40" s="5" t="n">
        <f aca="false">H40-V40</f>
        <v>0</v>
      </c>
      <c r="X40" s="176" t="str">
        <f aca="false">IFERROR((G40/V40)-1,"-")</f>
        <v>-</v>
      </c>
    </row>
    <row r="41" customFormat="false" ht="15" hidden="false" customHeight="true" outlineLevel="0" collapsed="false">
      <c r="A41" s="165"/>
      <c r="B41" s="185"/>
      <c r="C41" s="185" t="s">
        <v>163</v>
      </c>
      <c r="D41" s="185" t="s">
        <v>163</v>
      </c>
      <c r="E41" s="185"/>
      <c r="F41" s="186" t="n">
        <f aca="false">F40+F19</f>
        <v>2534595.466</v>
      </c>
      <c r="G41" s="186" t="n">
        <f aca="false">G40+G19</f>
        <v>2002293.76</v>
      </c>
      <c r="H41" s="186" t="n">
        <f aca="false">H40+H19</f>
        <v>0</v>
      </c>
      <c r="I41" s="134" t="str">
        <f aca="false">IFERROR(H41/$H$19,"")</f>
        <v/>
      </c>
      <c r="J41" s="134" t="n">
        <f aca="false">IFERROR(H41/G41-1,"")</f>
        <v>-1</v>
      </c>
      <c r="K41" s="186" t="n">
        <f aca="false">K40+K19</f>
        <v>-2002293.76</v>
      </c>
      <c r="M41" s="186" t="n">
        <f aca="false">M40+M19</f>
        <v>3862704.38781966</v>
      </c>
      <c r="N41" s="134" t="n">
        <f aca="false">IFERROR(H41/M41-1,"")</f>
        <v>-1</v>
      </c>
      <c r="O41" s="186" t="n">
        <f aca="false">O40+O19</f>
        <v>-3862704.38781966</v>
      </c>
      <c r="Q41" s="186" t="n">
        <f aca="false">Q40+Q19</f>
        <v>3438082.18644068</v>
      </c>
      <c r="R41" s="134" t="n">
        <f aca="false">IFERROR(H41/Q41-1,"-")</f>
        <v>-1</v>
      </c>
      <c r="S41" s="134" t="n">
        <f aca="false">IFERROR(H41/Q41,"-")</f>
        <v>0</v>
      </c>
      <c r="T41" s="186" t="n">
        <f aca="false">H41-Q41</f>
        <v>-3438082.18644068</v>
      </c>
      <c r="U41" s="174"/>
      <c r="V41" s="186"/>
      <c r="W41" s="175" t="n">
        <f aca="false">H41-V41</f>
        <v>0</v>
      </c>
      <c r="X41" s="176" t="str">
        <f aca="false">IFERROR((G41/V41)-1,"-")</f>
        <v>-</v>
      </c>
    </row>
    <row r="42" customFormat="false" ht="15" hidden="false" customHeight="true" outlineLevel="0" collapsed="false">
      <c r="A42" s="200"/>
      <c r="B42" s="202"/>
      <c r="C42" s="202" t="s">
        <v>117</v>
      </c>
      <c r="D42" s="202" t="s">
        <v>117</v>
      </c>
      <c r="E42" s="202"/>
      <c r="F42" s="203" t="n">
        <f aca="false">F40/F41</f>
        <v>0.346167320098883</v>
      </c>
      <c r="G42" s="203" t="n">
        <f aca="false">G40/G41</f>
        <v>0.257292826003713</v>
      </c>
      <c r="H42" s="203"/>
      <c r="I42" s="204" t="str">
        <f aca="false">IFERROR(H42/$H$19,"")</f>
        <v/>
      </c>
      <c r="J42" s="204"/>
      <c r="K42" s="203"/>
      <c r="M42" s="203" t="n">
        <f aca="false">M41-'תקציב  '!P41*1</f>
        <v>0</v>
      </c>
      <c r="N42" s="204" t="str">
        <f aca="false">IFERROR(H42/M42-1,"")</f>
        <v/>
      </c>
      <c r="O42" s="203"/>
      <c r="Q42" s="204"/>
      <c r="R42" s="204"/>
      <c r="S42" s="204"/>
      <c r="T42" s="203"/>
      <c r="V42" s="204" t="str">
        <f aca="false">IFERROR(V40/V41,"")</f>
        <v/>
      </c>
      <c r="W42" s="5" t="str">
        <f aca="false">IFERROR(H42-V42,"-")</f>
        <v>-</v>
      </c>
    </row>
    <row r="43" customFormat="false" ht="14.25" hidden="false" customHeight="true" outlineLevel="0" collapsed="false">
      <c r="F43" s="1" t="n">
        <v>0</v>
      </c>
    </row>
    <row r="50" customFormat="false" ht="14.25" hidden="false" customHeight="true" outlineLevel="0" collapsed="false">
      <c r="A50" s="159"/>
      <c r="B50" s="161"/>
      <c r="C50" s="161" t="s">
        <v>164</v>
      </c>
      <c r="D50" s="161" t="s">
        <v>164</v>
      </c>
      <c r="E50" s="161" t="s">
        <v>32</v>
      </c>
      <c r="F50" s="145"/>
      <c r="G50" s="145"/>
      <c r="H50" s="145" t="n">
        <v>0</v>
      </c>
      <c r="I50" s="162" t="str">
        <f aca="false">IFERROR(H50/$H$19,"")</f>
        <v/>
      </c>
      <c r="J50" s="162" t="str">
        <f aca="false">IFERROR(H50/G50-1,"-")</f>
        <v>-</v>
      </c>
      <c r="K50" s="145" t="n">
        <f aca="false">H50-G50</f>
        <v>0</v>
      </c>
      <c r="M50" s="145"/>
      <c r="N50" s="162" t="str">
        <f aca="false">IFERROR(H50/M50-1,"-")</f>
        <v>-</v>
      </c>
      <c r="O50" s="145" t="n">
        <f aca="false">H50-M50</f>
        <v>0</v>
      </c>
    </row>
    <row r="51" customFormat="false" ht="14.25" hidden="false" customHeight="true" outlineLevel="0" collapsed="false">
      <c r="A51" s="165"/>
      <c r="B51" s="167"/>
      <c r="C51" s="167" t="s">
        <v>165</v>
      </c>
      <c r="D51" s="167" t="s">
        <v>165</v>
      </c>
      <c r="E51" s="167" t="s">
        <v>166</v>
      </c>
      <c r="F51" s="145"/>
      <c r="G51" s="145"/>
      <c r="H51" s="145" t="n">
        <v>0</v>
      </c>
      <c r="I51" s="162" t="str">
        <f aca="false">IFERROR(H51/$H$19,"")</f>
        <v/>
      </c>
      <c r="J51" s="162" t="str">
        <f aca="false">IFERROR(H51/G51-1,"-")</f>
        <v>-</v>
      </c>
      <c r="K51" s="145" t="n">
        <f aca="false">H51-G51</f>
        <v>0</v>
      </c>
      <c r="M51" s="145"/>
      <c r="N51" s="162" t="str">
        <f aca="false">IFERROR(H51/M51-1,"-")</f>
        <v>-</v>
      </c>
      <c r="O51" s="145" t="n">
        <f aca="false">H51-M51</f>
        <v>0</v>
      </c>
    </row>
    <row r="52" customFormat="false" ht="14.25" hidden="false" customHeight="true" outlineLevel="0" collapsed="false">
      <c r="A52" s="165"/>
      <c r="B52" s="167"/>
      <c r="C52" s="167" t="s">
        <v>167</v>
      </c>
      <c r="D52" s="167" t="s">
        <v>167</v>
      </c>
      <c r="E52" s="167" t="s">
        <v>167</v>
      </c>
      <c r="F52" s="145"/>
      <c r="G52" s="145"/>
      <c r="H52" s="145" t="n">
        <v>0</v>
      </c>
      <c r="I52" s="162" t="str">
        <f aca="false">IFERROR(H52/$H$19,"")</f>
        <v/>
      </c>
      <c r="J52" s="162" t="str">
        <f aca="false">IFERROR(H52/G52-1,"-")</f>
        <v>-</v>
      </c>
      <c r="K52" s="145" t="n">
        <f aca="false">H52-G52</f>
        <v>0</v>
      </c>
      <c r="M52" s="145"/>
      <c r="N52" s="162" t="str">
        <f aca="false">IFERROR(H52/M52-1,"-")</f>
        <v>-</v>
      </c>
      <c r="O52" s="145" t="n">
        <f aca="false">H52-M52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6" activeCellId="0" sqref="M16"/>
    </sheetView>
  </sheetViews>
  <sheetFormatPr defaultColWidth="8.625" defaultRowHeight="14.25" zeroHeight="false" outlineLevelRow="0" outlineLevelCol="0"/>
  <sheetData>
    <row r="1" customFormat="false" ht="15" hidden="false" customHeight="true" outlineLevel="0" collapsed="false">
      <c r="A1" s="95" t="s">
        <v>184</v>
      </c>
      <c r="AN1" s="207" t="s">
        <v>185</v>
      </c>
      <c r="AO1" s="207" t="s">
        <v>186</v>
      </c>
      <c r="AP1" s="207" t="s">
        <v>187</v>
      </c>
      <c r="AQ1" s="207" t="s">
        <v>188</v>
      </c>
      <c r="AR1" s="207" t="s">
        <v>189</v>
      </c>
      <c r="AS1" s="207" t="s">
        <v>190</v>
      </c>
    </row>
    <row r="2" customFormat="false" ht="15" hidden="false" customHeight="true" outlineLevel="0" collapsed="false">
      <c r="A2" s="95" t="s">
        <v>106</v>
      </c>
      <c r="B2" s="95" t="s">
        <v>107</v>
      </c>
      <c r="C2" s="207" t="s">
        <v>191</v>
      </c>
      <c r="D2" s="207" t="s">
        <v>192</v>
      </c>
      <c r="E2" s="207" t="s">
        <v>193</v>
      </c>
      <c r="F2" s="207" t="s">
        <v>194</v>
      </c>
      <c r="G2" s="207" t="s">
        <v>195</v>
      </c>
      <c r="H2" s="207" t="s">
        <v>196</v>
      </c>
      <c r="I2" s="207" t="s">
        <v>197</v>
      </c>
      <c r="J2" s="207" t="s">
        <v>198</v>
      </c>
      <c r="K2" s="207" t="s">
        <v>199</v>
      </c>
      <c r="L2" s="207" t="s">
        <v>200</v>
      </c>
      <c r="M2" s="207" t="s">
        <v>201</v>
      </c>
      <c r="N2" s="207" t="s">
        <v>202</v>
      </c>
      <c r="O2" s="207" t="s">
        <v>203</v>
      </c>
      <c r="P2" s="207" t="s">
        <v>204</v>
      </c>
      <c r="Q2" s="207" t="s">
        <v>205</v>
      </c>
      <c r="R2" s="207" t="s">
        <v>206</v>
      </c>
      <c r="S2" s="207" t="s">
        <v>207</v>
      </c>
      <c r="T2" s="207" t="s">
        <v>208</v>
      </c>
      <c r="U2" s="207" t="s">
        <v>209</v>
      </c>
      <c r="V2" s="207" t="s">
        <v>210</v>
      </c>
      <c r="W2" s="207" t="s">
        <v>211</v>
      </c>
      <c r="X2" s="207" t="s">
        <v>212</v>
      </c>
      <c r="Y2" s="207" t="s">
        <v>213</v>
      </c>
      <c r="Z2" s="207" t="s">
        <v>214</v>
      </c>
      <c r="AA2" s="207" t="s">
        <v>215</v>
      </c>
      <c r="AB2" s="207" t="s">
        <v>216</v>
      </c>
      <c r="AC2" s="207" t="s">
        <v>217</v>
      </c>
      <c r="AD2" s="207" t="s">
        <v>218</v>
      </c>
      <c r="AE2" s="207" t="s">
        <v>219</v>
      </c>
      <c r="AF2" s="207" t="s">
        <v>220</v>
      </c>
      <c r="AG2" s="207" t="s">
        <v>221</v>
      </c>
      <c r="AH2" s="207" t="s">
        <v>222</v>
      </c>
      <c r="AI2" s="207" t="s">
        <v>223</v>
      </c>
      <c r="AJ2" s="207" t="s">
        <v>224</v>
      </c>
      <c r="AK2" s="207" t="s">
        <v>225</v>
      </c>
      <c r="AL2" s="207" t="s">
        <v>226</v>
      </c>
      <c r="AN2" s="94" t="n">
        <v>1</v>
      </c>
      <c r="AO2" s="94" t="s">
        <v>4</v>
      </c>
      <c r="AP2" s="94" t="n">
        <v>19</v>
      </c>
      <c r="AQ2" s="94"/>
      <c r="AR2" s="94" t="n">
        <v>5</v>
      </c>
      <c r="AS2" s="94"/>
    </row>
    <row r="3" customFormat="false" ht="15" hidden="false" customHeight="true" outlineLevel="0" collapsed="false">
      <c r="A3" s="94" t="s">
        <v>227</v>
      </c>
      <c r="C3" s="94" t="n">
        <v>1</v>
      </c>
      <c r="D3" s="94" t="n">
        <v>2</v>
      </c>
      <c r="E3" s="94" t="n">
        <v>3</v>
      </c>
      <c r="F3" s="94" t="n">
        <v>4</v>
      </c>
      <c r="G3" s="94" t="n">
        <v>5</v>
      </c>
      <c r="H3" s="94" t="n">
        <v>6</v>
      </c>
      <c r="I3" s="94" t="n">
        <v>7</v>
      </c>
      <c r="J3" s="94" t="n">
        <v>8</v>
      </c>
      <c r="K3" s="94" t="n">
        <v>9</v>
      </c>
      <c r="L3" s="94" t="n">
        <v>10</v>
      </c>
      <c r="M3" s="94" t="n">
        <v>11</v>
      </c>
      <c r="N3" s="94" t="n">
        <v>12</v>
      </c>
      <c r="O3" s="94" t="n">
        <v>1</v>
      </c>
      <c r="P3" s="94" t="n">
        <v>2</v>
      </c>
      <c r="Q3" s="94" t="n">
        <v>3</v>
      </c>
      <c r="R3" s="94" t="n">
        <v>4</v>
      </c>
      <c r="S3" s="94" t="n">
        <v>5</v>
      </c>
      <c r="T3" s="94" t="n">
        <v>6</v>
      </c>
      <c r="U3" s="94" t="n">
        <v>7</v>
      </c>
      <c r="V3" s="94" t="n">
        <v>8</v>
      </c>
      <c r="W3" s="94" t="n">
        <v>9</v>
      </c>
      <c r="X3" s="94" t="n">
        <v>10</v>
      </c>
      <c r="Y3" s="94" t="n">
        <v>11</v>
      </c>
      <c r="Z3" s="94" t="n">
        <v>12</v>
      </c>
      <c r="AA3" s="94" t="n">
        <v>1</v>
      </c>
      <c r="AB3" s="94" t="n">
        <v>2</v>
      </c>
      <c r="AC3" s="94" t="n">
        <v>3</v>
      </c>
      <c r="AD3" s="94" t="n">
        <v>4</v>
      </c>
      <c r="AE3" s="94" t="n">
        <v>5</v>
      </c>
      <c r="AF3" s="94" t="n">
        <v>6</v>
      </c>
      <c r="AG3" s="94" t="n">
        <v>7</v>
      </c>
      <c r="AH3" s="94" t="n">
        <v>8</v>
      </c>
      <c r="AI3" s="94" t="n">
        <v>9</v>
      </c>
      <c r="AJ3" s="94" t="n">
        <v>10</v>
      </c>
      <c r="AK3" s="94" t="n">
        <v>11</v>
      </c>
      <c r="AL3" s="94" t="n">
        <v>12</v>
      </c>
      <c r="AN3" s="94" t="n">
        <v>2</v>
      </c>
      <c r="AO3" s="94" t="s">
        <v>5</v>
      </c>
      <c r="AP3" s="94" t="n">
        <v>21</v>
      </c>
      <c r="AQ3" s="94"/>
      <c r="AR3" s="94" t="n">
        <v>6</v>
      </c>
      <c r="AS3" s="94"/>
    </row>
    <row r="4" customFormat="false" ht="15" hidden="false" customHeight="true" outlineLevel="0" collapsed="false">
      <c r="A4" s="94" t="s">
        <v>228</v>
      </c>
      <c r="C4" s="94" t="n">
        <v>1</v>
      </c>
      <c r="D4" s="94" t="n">
        <v>1</v>
      </c>
      <c r="E4" s="94" t="n">
        <v>1</v>
      </c>
      <c r="F4" s="94" t="n">
        <v>2</v>
      </c>
      <c r="G4" s="94" t="n">
        <v>2</v>
      </c>
      <c r="H4" s="94" t="n">
        <v>2</v>
      </c>
      <c r="I4" s="94" t="n">
        <v>3</v>
      </c>
      <c r="J4" s="94" t="n">
        <v>3</v>
      </c>
      <c r="K4" s="94" t="n">
        <v>3</v>
      </c>
      <c r="L4" s="94" t="n">
        <v>4</v>
      </c>
      <c r="M4" s="94" t="n">
        <v>4</v>
      </c>
      <c r="N4" s="94" t="n">
        <v>4</v>
      </c>
      <c r="O4" s="94" t="n">
        <v>1</v>
      </c>
      <c r="P4" s="94" t="n">
        <v>1</v>
      </c>
      <c r="Q4" s="94" t="n">
        <v>1</v>
      </c>
      <c r="R4" s="94" t="n">
        <v>2</v>
      </c>
      <c r="S4" s="94" t="n">
        <v>2</v>
      </c>
      <c r="T4" s="94" t="n">
        <v>2</v>
      </c>
      <c r="U4" s="94" t="n">
        <v>3</v>
      </c>
      <c r="V4" s="94" t="n">
        <v>3</v>
      </c>
      <c r="W4" s="94" t="n">
        <v>3</v>
      </c>
      <c r="X4" s="94" t="n">
        <v>4</v>
      </c>
      <c r="Y4" s="94" t="n">
        <v>4</v>
      </c>
      <c r="Z4" s="94" t="n">
        <v>4</v>
      </c>
      <c r="AA4" s="94" t="n">
        <v>1</v>
      </c>
      <c r="AB4" s="94" t="n">
        <v>1</v>
      </c>
      <c r="AC4" s="94" t="n">
        <v>1</v>
      </c>
      <c r="AD4" s="94" t="n">
        <v>2</v>
      </c>
      <c r="AE4" s="94" t="n">
        <v>2</v>
      </c>
      <c r="AF4" s="94" t="n">
        <v>2</v>
      </c>
      <c r="AG4" s="94" t="n">
        <v>3</v>
      </c>
      <c r="AH4" s="94" t="n">
        <v>3</v>
      </c>
      <c r="AI4" s="94" t="n">
        <v>3</v>
      </c>
      <c r="AJ4" s="94" t="n">
        <v>4</v>
      </c>
      <c r="AK4" s="94" t="n">
        <v>4</v>
      </c>
      <c r="AL4" s="94" t="n">
        <v>4</v>
      </c>
      <c r="AN4" s="94" t="n">
        <v>3</v>
      </c>
      <c r="AO4" s="94" t="s">
        <v>6</v>
      </c>
      <c r="AP4" s="94" t="n">
        <v>22</v>
      </c>
      <c r="AQ4" s="94"/>
      <c r="AR4" s="94" t="n">
        <v>7</v>
      </c>
      <c r="AS4" s="94"/>
    </row>
    <row r="5" customFormat="false" ht="15" hidden="false" customHeight="true" outlineLevel="0" collapsed="false">
      <c r="A5" s="94" t="str">
        <f aca="false">'1'!C3</f>
        <v>סופר פארם לייף</v>
      </c>
      <c r="B5" s="94" t="s">
        <v>229</v>
      </c>
      <c r="C5" s="208" t="n">
        <v>-594.08</v>
      </c>
      <c r="D5" s="208" t="n">
        <v>347582.74</v>
      </c>
      <c r="E5" s="208" t="n">
        <v>0</v>
      </c>
      <c r="F5" s="208" t="n">
        <v>263037.5</v>
      </c>
      <c r="G5" s="208" t="n">
        <v>155618.13</v>
      </c>
      <c r="H5" s="208" t="n">
        <v>144633.67</v>
      </c>
      <c r="I5" s="208" t="n">
        <v>214594.9</v>
      </c>
      <c r="J5" s="208" t="n">
        <v>301190.6</v>
      </c>
      <c r="K5" s="208" t="n">
        <v>124776.4</v>
      </c>
      <c r="L5" s="208" t="n">
        <v>0</v>
      </c>
      <c r="M5" s="208" t="n">
        <v>183470.34</v>
      </c>
      <c r="N5" s="208" t="n">
        <v>318421.6</v>
      </c>
      <c r="O5" s="208" t="n">
        <v>58427.8</v>
      </c>
      <c r="P5" s="208" t="n">
        <v>233209.9</v>
      </c>
      <c r="Q5" s="208" t="n">
        <v>66608.1</v>
      </c>
      <c r="R5" s="208" t="n">
        <v>336937.6</v>
      </c>
      <c r="S5" s="208" t="n">
        <v>131634</v>
      </c>
      <c r="T5" s="208" t="n">
        <v>0</v>
      </c>
      <c r="U5" s="208" t="n">
        <v>83088</v>
      </c>
      <c r="V5" s="208" t="n">
        <v>243929.1</v>
      </c>
      <c r="W5" s="208" t="n">
        <v>157587.19</v>
      </c>
      <c r="X5" s="208" t="n">
        <v>33955.2</v>
      </c>
      <c r="Y5" s="208" t="n">
        <v>265660.9</v>
      </c>
      <c r="Z5" s="208" t="n">
        <v>97619.06</v>
      </c>
      <c r="AA5" s="208" t="n">
        <f aca="false">'1'!G3</f>
        <v>63104</v>
      </c>
      <c r="AB5" s="208" t="n">
        <f aca="false">'2'!G3</f>
        <v>364352.2</v>
      </c>
      <c r="AC5" s="208" t="n">
        <f aca="false">'3'!G3</f>
        <v>123280.14</v>
      </c>
      <c r="AD5" s="208" t="n">
        <f aca="false">'4'!G3</f>
        <v>124575.26</v>
      </c>
      <c r="AE5" s="208" t="n">
        <f aca="false">'5'!G3</f>
        <v>0</v>
      </c>
      <c r="AF5" s="208" t="n">
        <f aca="false">'6'!G3</f>
        <v>65131.7</v>
      </c>
      <c r="AG5" s="208" t="n">
        <f aca="false">'7'!H3</f>
        <v>73969</v>
      </c>
      <c r="AH5" s="208" t="n">
        <f aca="false">'8'!H3</f>
        <v>299421.55</v>
      </c>
      <c r="AI5" s="208" t="n">
        <f aca="false">'9'!H3</f>
        <v>193941.5</v>
      </c>
      <c r="AJ5" s="208" t="n">
        <f aca="false">'10'!H3</f>
        <v>0</v>
      </c>
      <c r="AK5" s="208" t="n">
        <f aca="false">'11'!H3</f>
        <v>0</v>
      </c>
      <c r="AL5" s="208" t="n">
        <f aca="false">'12'!H3</f>
        <v>0</v>
      </c>
      <c r="AN5" s="94" t="n">
        <v>4</v>
      </c>
      <c r="AO5" s="94" t="s">
        <v>7</v>
      </c>
      <c r="AP5" s="94" t="n">
        <v>23</v>
      </c>
      <c r="AQ5" s="94"/>
      <c r="AR5" s="94" t="n">
        <v>8</v>
      </c>
      <c r="AS5" s="94"/>
    </row>
    <row r="6" customFormat="false" ht="15" hidden="false" customHeight="true" outlineLevel="0" collapsed="false">
      <c r="A6" s="94" t="str">
        <f aca="false">'1'!C4</f>
        <v>סופרפארם</v>
      </c>
      <c r="B6" s="94" t="s">
        <v>229</v>
      </c>
      <c r="C6" s="208" t="n">
        <v>452441.08</v>
      </c>
      <c r="D6" s="208" t="n">
        <v>422279.312</v>
      </c>
      <c r="E6" s="208" t="n">
        <v>442108.94</v>
      </c>
      <c r="F6" s="208" t="n">
        <v>473814.796</v>
      </c>
      <c r="G6" s="208" t="n">
        <v>560199.913</v>
      </c>
      <c r="H6" s="208" t="n">
        <v>429114.049</v>
      </c>
      <c r="I6" s="208" t="n">
        <v>502006.141</v>
      </c>
      <c r="J6" s="208" t="n">
        <v>429300.053</v>
      </c>
      <c r="K6" s="208" t="n">
        <v>514559.045</v>
      </c>
      <c r="L6" s="208" t="n">
        <v>403387.075</v>
      </c>
      <c r="M6" s="208" t="n">
        <v>399305.088</v>
      </c>
      <c r="N6" s="208" t="n">
        <v>453775.686</v>
      </c>
      <c r="O6" s="208" t="n">
        <v>670882.199700005</v>
      </c>
      <c r="P6" s="208" t="n">
        <v>406825.346200003</v>
      </c>
      <c r="Q6" s="208" t="n">
        <v>437918.572000002</v>
      </c>
      <c r="R6" s="208" t="n">
        <v>549545.830000007</v>
      </c>
      <c r="S6" s="208" t="n">
        <v>729180.694700011</v>
      </c>
      <c r="T6" s="208" t="n">
        <v>452295.980000005</v>
      </c>
      <c r="U6" s="208" t="n">
        <v>486312.520000005</v>
      </c>
      <c r="V6" s="208" t="n">
        <v>495074.58</v>
      </c>
      <c r="W6" s="208" t="n">
        <v>465794.42</v>
      </c>
      <c r="X6" s="208" t="n">
        <v>417469.78</v>
      </c>
      <c r="Y6" s="208" t="n">
        <v>507426.01</v>
      </c>
      <c r="Z6" s="208" t="n">
        <v>453051.69</v>
      </c>
      <c r="AA6" s="208" t="n">
        <f aca="false">'1'!G4</f>
        <v>423956.26</v>
      </c>
      <c r="AB6" s="208" t="n">
        <f aca="false">'2'!G4</f>
        <v>469684.033</v>
      </c>
      <c r="AC6" s="208" t="n">
        <f aca="false">'3'!G4</f>
        <v>418342.47</v>
      </c>
      <c r="AD6" s="208" t="n">
        <f aca="false">'4'!G4</f>
        <v>429718.198</v>
      </c>
      <c r="AE6" s="208" t="n">
        <f aca="false">'5'!G4</f>
        <v>498482.53</v>
      </c>
      <c r="AF6" s="208" t="n">
        <f aca="false">'6'!G4</f>
        <v>534754.402</v>
      </c>
      <c r="AG6" s="208" t="n">
        <f aca="false">'7'!H4</f>
        <v>453851.216</v>
      </c>
      <c r="AH6" s="208" t="n">
        <f aca="false">'8'!H4</f>
        <v>588822.689</v>
      </c>
      <c r="AI6" s="208" t="n">
        <f aca="false">'9'!H4</f>
        <v>507718.575</v>
      </c>
      <c r="AJ6" s="208" t="n">
        <f aca="false">'10'!H4</f>
        <v>57325.268</v>
      </c>
      <c r="AK6" s="208" t="n">
        <f aca="false">'11'!H4</f>
        <v>0</v>
      </c>
      <c r="AL6" s="208" t="n">
        <f aca="false">'12'!H4</f>
        <v>0</v>
      </c>
      <c r="AN6" s="94" t="n">
        <v>5</v>
      </c>
      <c r="AO6" s="94" t="s">
        <v>8</v>
      </c>
      <c r="AP6" s="94" t="n">
        <v>24</v>
      </c>
      <c r="AQ6" s="94"/>
      <c r="AR6" s="94" t="n">
        <v>9</v>
      </c>
      <c r="AS6" s="94"/>
    </row>
    <row r="7" customFormat="false" ht="15" hidden="false" customHeight="true" outlineLevel="0" collapsed="false">
      <c r="A7" s="94" t="str">
        <f aca="false">'1'!C5</f>
        <v>BE</v>
      </c>
      <c r="B7" s="94" t="s">
        <v>229</v>
      </c>
      <c r="C7" s="208" t="n">
        <v>63301.42</v>
      </c>
      <c r="D7" s="208" t="n">
        <v>82457.193</v>
      </c>
      <c r="E7" s="208" t="n">
        <v>98496.489</v>
      </c>
      <c r="F7" s="208" t="n">
        <v>100846.291</v>
      </c>
      <c r="G7" s="208" t="n">
        <v>104005.538</v>
      </c>
      <c r="H7" s="208" t="n">
        <v>94683.953</v>
      </c>
      <c r="I7" s="208" t="n">
        <v>95719.442</v>
      </c>
      <c r="J7" s="208" t="n">
        <v>96254.067</v>
      </c>
      <c r="K7" s="208" t="n">
        <v>104489.476</v>
      </c>
      <c r="L7" s="208" t="n">
        <v>80742.389</v>
      </c>
      <c r="M7" s="208" t="n">
        <v>78931.671</v>
      </c>
      <c r="N7" s="208" t="n">
        <v>89875.877</v>
      </c>
      <c r="O7" s="208" t="n">
        <v>54489.89</v>
      </c>
      <c r="P7" s="208" t="n">
        <v>65962.26</v>
      </c>
      <c r="Q7" s="208" t="n">
        <v>58257.29</v>
      </c>
      <c r="R7" s="208" t="n">
        <v>75168</v>
      </c>
      <c r="S7" s="208" t="n">
        <v>80577.77</v>
      </c>
      <c r="T7" s="208" t="n">
        <v>87191.65</v>
      </c>
      <c r="U7" s="208" t="n">
        <v>59921.68</v>
      </c>
      <c r="V7" s="208" t="n">
        <v>73631.74</v>
      </c>
      <c r="W7" s="208" t="n">
        <v>64918.49</v>
      </c>
      <c r="X7" s="208" t="n">
        <v>61390.42</v>
      </c>
      <c r="Y7" s="208" t="n">
        <v>85930.39</v>
      </c>
      <c r="Z7" s="208" t="n">
        <v>61250.28</v>
      </c>
      <c r="AA7" s="208" t="n">
        <f aca="false">'1'!G5</f>
        <v>67635.75</v>
      </c>
      <c r="AB7" s="208" t="n">
        <f aca="false">'2'!G5</f>
        <v>68397.329</v>
      </c>
      <c r="AC7" s="208" t="n">
        <f aca="false">'3'!G5</f>
        <v>59847.151</v>
      </c>
      <c r="AD7" s="208" t="n">
        <f aca="false">'4'!G5</f>
        <v>83501.964</v>
      </c>
      <c r="AE7" s="208" t="n">
        <f aca="false">'5'!G5</f>
        <v>81328.338</v>
      </c>
      <c r="AF7" s="208" t="n">
        <f aca="false">'6'!G5</f>
        <v>76564.033</v>
      </c>
      <c r="AG7" s="208" t="n">
        <f aca="false">'7'!H5</f>
        <v>72470.216</v>
      </c>
      <c r="AH7" s="208" t="n">
        <f aca="false">'8'!H5</f>
        <v>70518.812</v>
      </c>
      <c r="AI7" s="208" t="n">
        <f aca="false">'9'!H5</f>
        <v>73475.311</v>
      </c>
      <c r="AJ7" s="208" t="n">
        <f aca="false">'10'!H5</f>
        <v>12263.342</v>
      </c>
      <c r="AK7" s="208" t="n">
        <f aca="false">'11'!H5</f>
        <v>0</v>
      </c>
      <c r="AL7" s="208" t="n">
        <f aca="false">'12'!H5</f>
        <v>0</v>
      </c>
      <c r="AN7" s="94" t="n">
        <v>6</v>
      </c>
      <c r="AO7" s="94" t="s">
        <v>9</v>
      </c>
      <c r="AP7" s="94" t="n">
        <v>25</v>
      </c>
      <c r="AQ7" s="94"/>
      <c r="AR7" s="94" t="n">
        <v>10</v>
      </c>
      <c r="AS7" s="94"/>
    </row>
    <row r="8" customFormat="false" ht="15" hidden="false" customHeight="true" outlineLevel="0" collapsed="false">
      <c r="A8" s="94" t="str">
        <f aca="false">'1'!C6</f>
        <v>בתי מרקחת</v>
      </c>
      <c r="B8" s="94" t="s">
        <v>229</v>
      </c>
      <c r="C8" s="208" t="n">
        <v>164714.584</v>
      </c>
      <c r="D8" s="208" t="n">
        <v>163451.946</v>
      </c>
      <c r="E8" s="208" t="n">
        <v>155174.617</v>
      </c>
      <c r="F8" s="208" t="n">
        <v>132554.789</v>
      </c>
      <c r="G8" s="208" t="n">
        <v>211638.805</v>
      </c>
      <c r="H8" s="208" t="n">
        <v>174598.676</v>
      </c>
      <c r="I8" s="208" t="n">
        <v>157377.696</v>
      </c>
      <c r="J8" s="208" t="n">
        <v>112372.337</v>
      </c>
      <c r="K8" s="208" t="n">
        <v>141046.592</v>
      </c>
      <c r="L8" s="208" t="n">
        <v>128887.331</v>
      </c>
      <c r="M8" s="208" t="n">
        <v>144720.944</v>
      </c>
      <c r="N8" s="208" t="n">
        <v>149421.213</v>
      </c>
      <c r="O8" s="208" t="n">
        <v>136160.380299998</v>
      </c>
      <c r="P8" s="208" t="n">
        <v>133409.823800003</v>
      </c>
      <c r="Q8" s="208" t="n">
        <v>153012.03</v>
      </c>
      <c r="R8" s="208" t="n">
        <v>173213.55</v>
      </c>
      <c r="S8" s="208" t="n">
        <v>186515.155300001</v>
      </c>
      <c r="T8" s="208" t="n">
        <v>160476.44</v>
      </c>
      <c r="U8" s="208" t="n">
        <v>221525.16</v>
      </c>
      <c r="V8" s="208" t="n">
        <v>179847.32</v>
      </c>
      <c r="W8" s="208" t="n">
        <v>134403.73</v>
      </c>
      <c r="X8" s="208" t="n">
        <v>150616.42</v>
      </c>
      <c r="Y8" s="208" t="n">
        <v>167763.05</v>
      </c>
      <c r="Z8" s="208" t="n">
        <v>144058.52</v>
      </c>
      <c r="AA8" s="208" t="n">
        <f aca="false">'1'!G6</f>
        <v>192169.79</v>
      </c>
      <c r="AB8" s="208" t="n">
        <f aca="false">'2'!G6</f>
        <v>140722.24</v>
      </c>
      <c r="AC8" s="208" t="n">
        <f aca="false">'3'!G6</f>
        <v>122676.557</v>
      </c>
      <c r="AD8" s="208" t="n">
        <f aca="false">'4'!G6</f>
        <v>125615.726</v>
      </c>
      <c r="AE8" s="208" t="n">
        <f aca="false">'5'!G6</f>
        <v>148972.084</v>
      </c>
      <c r="AF8" s="208" t="n">
        <f aca="false">'6'!G6</f>
        <v>188367.581</v>
      </c>
      <c r="AG8" s="208" t="n">
        <f aca="false">'7'!H6</f>
        <v>152144.318</v>
      </c>
      <c r="AH8" s="208" t="n">
        <f aca="false">'8'!H6</f>
        <v>160218.084</v>
      </c>
      <c r="AI8" s="208" t="n">
        <f aca="false">'9'!H6</f>
        <v>182488.743</v>
      </c>
      <c r="AJ8" s="208" t="n">
        <f aca="false">'10'!H6</f>
        <v>27439.028</v>
      </c>
      <c r="AK8" s="208" t="n">
        <f aca="false">'11'!H6</f>
        <v>0</v>
      </c>
      <c r="AL8" s="208" t="n">
        <f aca="false">'12'!H6</f>
        <v>0</v>
      </c>
      <c r="AN8" s="94" t="n">
        <v>7</v>
      </c>
      <c r="AO8" s="94" t="s">
        <v>10</v>
      </c>
      <c r="AP8" s="94" t="n">
        <v>26</v>
      </c>
      <c r="AQ8" s="94" t="n">
        <v>44</v>
      </c>
      <c r="AR8" s="94" t="n">
        <v>11</v>
      </c>
      <c r="AS8" s="94" t="n">
        <v>35</v>
      </c>
    </row>
    <row r="9" customFormat="false" ht="15" hidden="false" customHeight="true" outlineLevel="0" collapsed="false">
      <c r="A9" s="94" t="str">
        <f aca="false">'1'!C7</f>
        <v>כללית</v>
      </c>
      <c r="B9" s="94" t="s">
        <v>229</v>
      </c>
      <c r="C9" s="208" t="n">
        <v>414961</v>
      </c>
      <c r="D9" s="208" t="n">
        <v>385135</v>
      </c>
      <c r="E9" s="208" t="n">
        <v>389673.5</v>
      </c>
      <c r="F9" s="208" t="n">
        <v>244648</v>
      </c>
      <c r="G9" s="208" t="n">
        <v>327442</v>
      </c>
      <c r="H9" s="208" t="n">
        <v>315729.5</v>
      </c>
      <c r="I9" s="208" t="n">
        <v>326042</v>
      </c>
      <c r="J9" s="208" t="n">
        <v>416484</v>
      </c>
      <c r="K9" s="208" t="n">
        <v>309520.8</v>
      </c>
      <c r="L9" s="208" t="n">
        <v>291076</v>
      </c>
      <c r="M9" s="208" t="n">
        <v>319604.5</v>
      </c>
      <c r="N9" s="208" t="n">
        <v>378149.8</v>
      </c>
      <c r="O9" s="208" t="n">
        <v>326467.5</v>
      </c>
      <c r="P9" s="208" t="n">
        <v>371734.5</v>
      </c>
      <c r="Q9" s="208" t="n">
        <v>376182</v>
      </c>
      <c r="R9" s="208" t="n">
        <v>263457</v>
      </c>
      <c r="S9" s="208" t="n">
        <v>307503</v>
      </c>
      <c r="T9" s="208" t="n">
        <v>363201.5</v>
      </c>
      <c r="U9" s="208" t="n">
        <v>329541.7</v>
      </c>
      <c r="V9" s="208" t="n">
        <v>273604.4</v>
      </c>
      <c r="W9" s="208" t="n">
        <v>337200.15</v>
      </c>
      <c r="X9" s="208" t="n">
        <v>184903.8</v>
      </c>
      <c r="Y9" s="208" t="n">
        <v>308121.37</v>
      </c>
      <c r="Z9" s="208" t="n">
        <v>367699.5</v>
      </c>
      <c r="AA9" s="208" t="n">
        <f aca="false">'1'!G7</f>
        <v>320186.2</v>
      </c>
      <c r="AB9" s="208" t="n">
        <f aca="false">'2'!G7</f>
        <v>299047.35</v>
      </c>
      <c r="AC9" s="208" t="n">
        <f aca="false">'3'!G7</f>
        <v>244180.55</v>
      </c>
      <c r="AD9" s="208" t="n">
        <f aca="false">'4'!G7</f>
        <v>220778.2</v>
      </c>
      <c r="AE9" s="208" t="n">
        <f aca="false">'5'!G7</f>
        <v>318846.8</v>
      </c>
      <c r="AF9" s="208" t="n">
        <f aca="false">'6'!G7</f>
        <v>339371.75</v>
      </c>
      <c r="AG9" s="208" t="n">
        <f aca="false">'7'!H7</f>
        <v>392888.3</v>
      </c>
      <c r="AH9" s="208" t="n">
        <f aca="false">'8'!H7</f>
        <v>295436</v>
      </c>
      <c r="AI9" s="208" t="n">
        <f aca="false">'9'!H7</f>
        <v>296928.1</v>
      </c>
      <c r="AJ9" s="208" t="n">
        <f aca="false">'10'!H7</f>
        <v>65849.9</v>
      </c>
      <c r="AK9" s="208" t="n">
        <f aca="false">'11'!H7</f>
        <v>0</v>
      </c>
      <c r="AL9" s="208" t="n">
        <f aca="false">'12'!H7</f>
        <v>0</v>
      </c>
      <c r="AN9" s="94" t="n">
        <v>8</v>
      </c>
      <c r="AO9" s="94" t="s">
        <v>11</v>
      </c>
      <c r="AP9" s="94" t="n">
        <v>27</v>
      </c>
      <c r="AQ9" s="94" t="n">
        <v>45</v>
      </c>
      <c r="AR9" s="94" t="n">
        <v>12</v>
      </c>
      <c r="AS9" s="94" t="n">
        <v>36</v>
      </c>
    </row>
    <row r="10" customFormat="false" ht="15" hidden="false" customHeight="true" outlineLevel="0" collapsed="false">
      <c r="A10" s="94" t="str">
        <f aca="false">'1'!C8</f>
        <v>מאוחדת</v>
      </c>
      <c r="B10" s="94" t="s">
        <v>229</v>
      </c>
      <c r="C10" s="208" t="n">
        <v>74817.97</v>
      </c>
      <c r="D10" s="208" t="n">
        <v>91523.03</v>
      </c>
      <c r="E10" s="208" t="n">
        <v>77394.37</v>
      </c>
      <c r="F10" s="208" t="n">
        <v>59971.53</v>
      </c>
      <c r="G10" s="208" t="n">
        <v>65998.04</v>
      </c>
      <c r="H10" s="208" t="n">
        <v>43688.56</v>
      </c>
      <c r="I10" s="208" t="n">
        <v>79041.44</v>
      </c>
      <c r="J10" s="208" t="n">
        <v>64245.4</v>
      </c>
      <c r="K10" s="208" t="n">
        <v>65554.73</v>
      </c>
      <c r="L10" s="208" t="n">
        <v>50225.36</v>
      </c>
      <c r="M10" s="208" t="n">
        <v>57000.57</v>
      </c>
      <c r="N10" s="208" t="n">
        <v>68517.25</v>
      </c>
      <c r="O10" s="208" t="n">
        <v>57834.64</v>
      </c>
      <c r="P10" s="208" t="n">
        <v>82146.14</v>
      </c>
      <c r="Q10" s="208" t="n">
        <v>74502.3</v>
      </c>
      <c r="R10" s="208" t="n">
        <v>62433.13</v>
      </c>
      <c r="S10" s="208" t="n">
        <v>88130.8</v>
      </c>
      <c r="T10" s="208" t="n">
        <v>62616.16</v>
      </c>
      <c r="U10" s="208" t="n">
        <v>95914.88</v>
      </c>
      <c r="V10" s="208" t="n">
        <v>81013.09</v>
      </c>
      <c r="W10" s="208" t="n">
        <v>89206.99</v>
      </c>
      <c r="X10" s="208" t="n">
        <v>70789.24</v>
      </c>
      <c r="Y10" s="208" t="n">
        <v>68004.57</v>
      </c>
      <c r="Z10" s="208" t="n">
        <v>60034.25</v>
      </c>
      <c r="AA10" s="208" t="n">
        <f aca="false">'1'!G8</f>
        <v>60425.14</v>
      </c>
      <c r="AB10" s="208" t="n">
        <f aca="false">'2'!G8</f>
        <v>59215.28</v>
      </c>
      <c r="AC10" s="208" t="n">
        <f aca="false">'3'!G8</f>
        <v>55389.04</v>
      </c>
      <c r="AD10" s="208" t="n">
        <f aca="false">'4'!G8</f>
        <v>50971.08</v>
      </c>
      <c r="AE10" s="208" t="n">
        <f aca="false">'5'!G8</f>
        <v>47091.772</v>
      </c>
      <c r="AF10" s="208" t="n">
        <f aca="false">'6'!G8</f>
        <v>70005.299</v>
      </c>
      <c r="AG10" s="208" t="n">
        <f aca="false">'7'!H8</f>
        <v>49165.266</v>
      </c>
      <c r="AH10" s="208" t="n">
        <f aca="false">'8'!H8</f>
        <v>73310.601</v>
      </c>
      <c r="AI10" s="208" t="n">
        <f aca="false">'9'!H8</f>
        <v>55452.215</v>
      </c>
      <c r="AJ10" s="208" t="n">
        <f aca="false">'10'!H8</f>
        <v>8841.378</v>
      </c>
      <c r="AK10" s="208" t="n">
        <f aca="false">'11'!H8</f>
        <v>0</v>
      </c>
      <c r="AL10" s="208" t="n">
        <f aca="false">'12'!H8</f>
        <v>0</v>
      </c>
      <c r="AN10" s="94" t="n">
        <v>9</v>
      </c>
      <c r="AO10" s="94" t="s">
        <v>12</v>
      </c>
      <c r="AP10" s="94" t="n">
        <v>28</v>
      </c>
      <c r="AQ10" s="94" t="n">
        <v>46</v>
      </c>
      <c r="AR10" s="94" t="n">
        <v>13</v>
      </c>
      <c r="AS10" s="94" t="n">
        <v>37</v>
      </c>
    </row>
    <row r="11" customFormat="false" ht="15" hidden="false" customHeight="true" outlineLevel="0" collapsed="false">
      <c r="A11" s="94" t="str">
        <f aca="false">'1'!C50</f>
        <v>מכבי</v>
      </c>
      <c r="B11" s="94" t="s">
        <v>229</v>
      </c>
      <c r="C11" s="208" t="n">
        <v>0</v>
      </c>
      <c r="D11" s="208" t="n">
        <v>0</v>
      </c>
      <c r="E11" s="208" t="n">
        <v>0</v>
      </c>
      <c r="F11" s="208" t="n">
        <v>0</v>
      </c>
      <c r="G11" s="208" t="n">
        <v>0</v>
      </c>
      <c r="H11" s="208" t="n">
        <v>0</v>
      </c>
      <c r="I11" s="208" t="n">
        <v>0</v>
      </c>
      <c r="J11" s="208" t="n">
        <v>0</v>
      </c>
      <c r="K11" s="208" t="n">
        <v>0</v>
      </c>
      <c r="L11" s="208" t="n">
        <v>0</v>
      </c>
      <c r="M11" s="208" t="n">
        <v>0</v>
      </c>
      <c r="N11" s="208" t="n">
        <v>0</v>
      </c>
      <c r="O11" s="208" t="n">
        <v>0</v>
      </c>
      <c r="P11" s="208" t="n">
        <v>0</v>
      </c>
      <c r="Q11" s="208" t="n">
        <v>0</v>
      </c>
      <c r="R11" s="208" t="n">
        <v>0</v>
      </c>
      <c r="S11" s="208" t="n">
        <v>0</v>
      </c>
      <c r="T11" s="208" t="n">
        <v>0</v>
      </c>
      <c r="U11" s="208" t="n">
        <v>0</v>
      </c>
      <c r="V11" s="208" t="n">
        <v>0</v>
      </c>
      <c r="W11" s="208" t="n">
        <v>0</v>
      </c>
      <c r="X11" s="208" t="n">
        <v>0</v>
      </c>
      <c r="Y11" s="208" t="n">
        <v>0</v>
      </c>
      <c r="Z11" s="208" t="n">
        <v>0</v>
      </c>
      <c r="AA11" s="208" t="n">
        <f aca="false">'1'!G50</f>
        <v>0</v>
      </c>
      <c r="AB11" s="208" t="n">
        <f aca="false">'2'!G50</f>
        <v>0</v>
      </c>
      <c r="AC11" s="208" t="n">
        <f aca="false">'3'!G50</f>
        <v>0</v>
      </c>
      <c r="AD11" s="208" t="n">
        <f aca="false">'4'!G50</f>
        <v>0</v>
      </c>
      <c r="AE11" s="208" t="n">
        <f aca="false">'5'!G50</f>
        <v>0</v>
      </c>
      <c r="AF11" s="208" t="n">
        <f aca="false">'6'!G50</f>
        <v>0</v>
      </c>
      <c r="AG11" s="208" t="n">
        <f aca="false">'7'!H50</f>
        <v>0</v>
      </c>
      <c r="AH11" s="208" t="n">
        <f aca="false">'8'!H50</f>
        <v>0</v>
      </c>
      <c r="AI11" s="208" t="n">
        <f aca="false">'9'!H50</f>
        <v>0</v>
      </c>
      <c r="AJ11" s="208" t="n">
        <f aca="false">'10'!H50</f>
        <v>0</v>
      </c>
      <c r="AK11" s="208" t="n">
        <f aca="false">'11'!H50</f>
        <v>0</v>
      </c>
      <c r="AL11" s="208" t="n">
        <f aca="false">'12'!H50</f>
        <v>0</v>
      </c>
      <c r="AN11" s="94" t="n">
        <v>10</v>
      </c>
      <c r="AO11" s="94" t="s">
        <v>13</v>
      </c>
      <c r="AP11" s="94" t="n">
        <v>29</v>
      </c>
      <c r="AQ11" s="94" t="n">
        <v>47</v>
      </c>
      <c r="AR11" s="94" t="n">
        <v>14</v>
      </c>
      <c r="AS11" s="94" t="n">
        <v>38</v>
      </c>
    </row>
    <row r="12" customFormat="false" ht="15" hidden="false" customHeight="true" outlineLevel="0" collapsed="false">
      <c r="A12" s="94" t="str">
        <f aca="false">'1'!C9</f>
        <v>מכוני אורטופדיה</v>
      </c>
      <c r="B12" s="94" t="s">
        <v>229</v>
      </c>
      <c r="C12" s="208" t="n">
        <v>91890.1</v>
      </c>
      <c r="D12" s="208" t="n">
        <v>85829.2</v>
      </c>
      <c r="E12" s="208" t="n">
        <v>87247.96</v>
      </c>
      <c r="F12" s="208" t="n">
        <v>69580.43</v>
      </c>
      <c r="G12" s="208" t="n">
        <v>99310.41</v>
      </c>
      <c r="H12" s="208" t="n">
        <v>77555.62</v>
      </c>
      <c r="I12" s="208" t="n">
        <v>76209.32</v>
      </c>
      <c r="J12" s="208" t="n">
        <v>62739.61</v>
      </c>
      <c r="K12" s="208" t="n">
        <v>65856.52</v>
      </c>
      <c r="L12" s="208" t="n">
        <v>56916.24</v>
      </c>
      <c r="M12" s="208" t="n">
        <v>62213.38</v>
      </c>
      <c r="N12" s="208" t="n">
        <v>65670.46</v>
      </c>
      <c r="O12" s="208" t="n">
        <v>72633.3</v>
      </c>
      <c r="P12" s="208" t="n">
        <v>46378.11</v>
      </c>
      <c r="Q12" s="208" t="n">
        <v>65531.82</v>
      </c>
      <c r="R12" s="208" t="n">
        <v>74555.12</v>
      </c>
      <c r="S12" s="208" t="n">
        <v>94846.85</v>
      </c>
      <c r="T12" s="208" t="n">
        <v>63999.64</v>
      </c>
      <c r="U12" s="208" t="n">
        <v>81305.01</v>
      </c>
      <c r="V12" s="208" t="n">
        <v>61998.83</v>
      </c>
      <c r="W12" s="208" t="n">
        <v>69988.58</v>
      </c>
      <c r="X12" s="208" t="n">
        <v>57765.28</v>
      </c>
      <c r="Y12" s="208" t="n">
        <v>96453.83</v>
      </c>
      <c r="Z12" s="208" t="n">
        <v>69362.57</v>
      </c>
      <c r="AA12" s="208" t="n">
        <f aca="false">'1'!G9</f>
        <v>86618.03</v>
      </c>
      <c r="AB12" s="208" t="n">
        <f aca="false">'2'!G9</f>
        <v>81282.23</v>
      </c>
      <c r="AC12" s="208" t="n">
        <f aca="false">'3'!G9</f>
        <v>48951.14</v>
      </c>
      <c r="AD12" s="208" t="n">
        <f aca="false">'4'!G9</f>
        <v>88526.04</v>
      </c>
      <c r="AE12" s="208" t="n">
        <f aca="false">'5'!G9</f>
        <v>102176.91</v>
      </c>
      <c r="AF12" s="208" t="n">
        <f aca="false">'6'!G9</f>
        <v>67723.22</v>
      </c>
      <c r="AG12" s="208" t="n">
        <f aca="false">'7'!H9</f>
        <v>65635.87</v>
      </c>
      <c r="AH12" s="208" t="n">
        <f aca="false">'8'!H9</f>
        <v>76847.55</v>
      </c>
      <c r="AI12" s="208" t="n">
        <f aca="false">'9'!H9</f>
        <v>60353.17</v>
      </c>
      <c r="AJ12" s="208" t="n">
        <f aca="false">'10'!H9</f>
        <v>12737.86</v>
      </c>
      <c r="AK12" s="208" t="n">
        <f aca="false">'11'!H9</f>
        <v>0</v>
      </c>
      <c r="AL12" s="208" t="n">
        <f aca="false">'12'!H9</f>
        <v>0</v>
      </c>
      <c r="AN12" s="94" t="n">
        <v>11</v>
      </c>
      <c r="AO12" s="94" t="s">
        <v>14</v>
      </c>
      <c r="AP12" s="94" t="n">
        <v>30</v>
      </c>
      <c r="AQ12" s="94" t="n">
        <v>48</v>
      </c>
      <c r="AR12" s="94" t="n">
        <v>15</v>
      </c>
      <c r="AS12" s="94" t="n">
        <v>39</v>
      </c>
    </row>
    <row r="13" customFormat="false" ht="15" hidden="false" customHeight="true" outlineLevel="0" collapsed="false">
      <c r="A13" s="94" t="str">
        <f aca="false">'1'!C10</f>
        <v>לקוחות מפעל</v>
      </c>
      <c r="B13" s="94" t="s">
        <v>229</v>
      </c>
      <c r="C13" s="208" t="n">
        <v>15878.93</v>
      </c>
      <c r="D13" s="208" t="n">
        <v>11131.68</v>
      </c>
      <c r="E13" s="208" t="n">
        <v>21528.06</v>
      </c>
      <c r="F13" s="208" t="n">
        <v>14571.76</v>
      </c>
      <c r="G13" s="208" t="n">
        <v>16034.44</v>
      </c>
      <c r="H13" s="208" t="n">
        <v>13321.91</v>
      </c>
      <c r="I13" s="208" t="n">
        <v>27532.1</v>
      </c>
      <c r="J13" s="208" t="n">
        <v>18126.58</v>
      </c>
      <c r="K13" s="208" t="n">
        <v>10468.76</v>
      </c>
      <c r="L13" s="208" t="n">
        <v>11253.22</v>
      </c>
      <c r="M13" s="208" t="n">
        <v>10956.17</v>
      </c>
      <c r="N13" s="208" t="n">
        <v>16400.06</v>
      </c>
      <c r="O13" s="208" t="n">
        <v>16402.68</v>
      </c>
      <c r="P13" s="208" t="n">
        <v>17589.94</v>
      </c>
      <c r="Q13" s="208" t="n">
        <v>21300.79</v>
      </c>
      <c r="R13" s="208" t="n">
        <v>15201.7</v>
      </c>
      <c r="S13" s="208" t="n">
        <v>15870.65</v>
      </c>
      <c r="T13" s="208" t="n">
        <v>9192.17</v>
      </c>
      <c r="U13" s="208" t="n">
        <v>10971.32</v>
      </c>
      <c r="V13" s="208" t="n">
        <v>12420.51</v>
      </c>
      <c r="W13" s="208" t="n">
        <v>17490.72</v>
      </c>
      <c r="X13" s="208" t="n">
        <v>9579</v>
      </c>
      <c r="Y13" s="208" t="n">
        <v>28016.53</v>
      </c>
      <c r="Z13" s="208" t="n">
        <v>11214.5</v>
      </c>
      <c r="AA13" s="208" t="n">
        <f aca="false">'1'!G10</f>
        <v>18073.66</v>
      </c>
      <c r="AB13" s="208" t="n">
        <f aca="false">'2'!G10</f>
        <v>11368.09</v>
      </c>
      <c r="AC13" s="208" t="n">
        <f aca="false">'3'!G10</f>
        <v>6765.24</v>
      </c>
      <c r="AD13" s="208" t="n">
        <f aca="false">'4'!G10</f>
        <v>11923.54</v>
      </c>
      <c r="AE13" s="208" t="n">
        <f aca="false">'5'!G10</f>
        <v>6343.11</v>
      </c>
      <c r="AF13" s="208" t="n">
        <f aca="false">'6'!G10</f>
        <v>6761.44</v>
      </c>
      <c r="AG13" s="208" t="n">
        <f aca="false">'7'!H10</f>
        <v>5105.8</v>
      </c>
      <c r="AH13" s="208" t="n">
        <f aca="false">'8'!H10</f>
        <v>4321.85</v>
      </c>
      <c r="AI13" s="208" t="n">
        <f aca="false">'9'!H10</f>
        <v>8627.76</v>
      </c>
      <c r="AJ13" s="208" t="n">
        <f aca="false">'10'!H10</f>
        <v>7706.35</v>
      </c>
      <c r="AK13" s="208" t="n">
        <f aca="false">'11'!H10</f>
        <v>0</v>
      </c>
      <c r="AL13" s="208" t="n">
        <f aca="false">'12'!H10</f>
        <v>0</v>
      </c>
      <c r="AN13" s="94" t="n">
        <v>12</v>
      </c>
      <c r="AO13" s="94" t="s">
        <v>15</v>
      </c>
      <c r="AP13" s="94" t="n">
        <v>31</v>
      </c>
      <c r="AQ13" s="94" t="n">
        <v>49</v>
      </c>
      <c r="AR13" s="94" t="n">
        <v>16</v>
      </c>
      <c r="AS13" s="94" t="n">
        <v>40</v>
      </c>
    </row>
    <row r="14" customFormat="false" ht="15" hidden="false" customHeight="true" outlineLevel="0" collapsed="false">
      <c r="A14" s="94" t="str">
        <f aca="false">'1'!C11</f>
        <v>חנויות פרטיות</v>
      </c>
      <c r="B14" s="94" t="s">
        <v>229</v>
      </c>
      <c r="C14" s="208" t="n">
        <v>5667.68</v>
      </c>
      <c r="D14" s="208" t="n">
        <v>0</v>
      </c>
      <c r="E14" s="208" t="n">
        <v>3573.08</v>
      </c>
      <c r="F14" s="208" t="n">
        <v>11309.68</v>
      </c>
      <c r="G14" s="208" t="n">
        <v>1188.66</v>
      </c>
      <c r="H14" s="208" t="n">
        <v>11738.24</v>
      </c>
      <c r="I14" s="208" t="n">
        <v>8417.71</v>
      </c>
      <c r="J14" s="208" t="n">
        <v>8063.63</v>
      </c>
      <c r="K14" s="208" t="n">
        <v>3066.38</v>
      </c>
      <c r="L14" s="208" t="n">
        <v>-1766.36</v>
      </c>
      <c r="M14" s="208" t="n">
        <v>30231.73</v>
      </c>
      <c r="N14" s="208" t="n">
        <v>10713.92</v>
      </c>
      <c r="O14" s="208" t="n">
        <v>6025.5</v>
      </c>
      <c r="P14" s="208" t="n">
        <v>4045.81</v>
      </c>
      <c r="Q14" s="208" t="n">
        <v>11352.51</v>
      </c>
      <c r="R14" s="208" t="n">
        <v>4054.42</v>
      </c>
      <c r="S14" s="208" t="n">
        <v>5871.12</v>
      </c>
      <c r="T14" s="208" t="n">
        <v>4288.26</v>
      </c>
      <c r="U14" s="208" t="n">
        <v>4990.47</v>
      </c>
      <c r="V14" s="208" t="n">
        <v>1459.42</v>
      </c>
      <c r="W14" s="208" t="n">
        <v>4228.87</v>
      </c>
      <c r="X14" s="208" t="n">
        <v>3274.69</v>
      </c>
      <c r="Y14" s="208" t="n">
        <v>1902.07</v>
      </c>
      <c r="Z14" s="208" t="n">
        <v>5866.58</v>
      </c>
      <c r="AA14" s="208" t="n">
        <f aca="false">'1'!G11</f>
        <v>5894.68</v>
      </c>
      <c r="AB14" s="208" t="n">
        <f aca="false">'2'!G11</f>
        <v>3319.04</v>
      </c>
      <c r="AC14" s="208" t="n">
        <f aca="false">'3'!G11</f>
        <v>3196.2</v>
      </c>
      <c r="AD14" s="208" t="n">
        <f aca="false">'4'!G11</f>
        <v>4956.22</v>
      </c>
      <c r="AE14" s="208" t="n">
        <f aca="false">'5'!G11</f>
        <v>7664.69</v>
      </c>
      <c r="AF14" s="208" t="n">
        <f aca="false">'6'!G11</f>
        <v>8984.58</v>
      </c>
      <c r="AG14" s="208" t="n">
        <f aca="false">'7'!H11</f>
        <v>3863.17</v>
      </c>
      <c r="AH14" s="208" t="n">
        <f aca="false">'8'!H11</f>
        <v>2043.68</v>
      </c>
      <c r="AI14" s="208" t="n">
        <f aca="false">'9'!H11</f>
        <v>5091.7</v>
      </c>
      <c r="AJ14" s="208" t="n">
        <f aca="false">'10'!H11</f>
        <v>2342.42</v>
      </c>
      <c r="AK14" s="208" t="n">
        <f aca="false">'11'!H11</f>
        <v>0</v>
      </c>
      <c r="AL14" s="208" t="n">
        <f aca="false">'12'!H11</f>
        <v>0</v>
      </c>
    </row>
    <row r="15" customFormat="false" ht="15" hidden="false" customHeight="true" outlineLevel="0" collapsed="false">
      <c r="A15" s="94" t="str">
        <f aca="false">'1'!C12</f>
        <v>מכוני פדיקור</v>
      </c>
      <c r="B15" s="94" t="s">
        <v>229</v>
      </c>
      <c r="C15" s="208" t="n">
        <v>0</v>
      </c>
      <c r="D15" s="208" t="n">
        <v>0</v>
      </c>
      <c r="E15" s="208" t="n">
        <v>0</v>
      </c>
      <c r="F15" s="208" t="n">
        <v>850.4</v>
      </c>
      <c r="G15" s="208" t="n">
        <v>0</v>
      </c>
      <c r="H15" s="208" t="n">
        <v>0</v>
      </c>
      <c r="I15" s="208" t="n">
        <v>679.3</v>
      </c>
      <c r="J15" s="208" t="n">
        <v>0</v>
      </c>
      <c r="K15" s="208" t="n">
        <v>850.4</v>
      </c>
      <c r="L15" s="208" t="n">
        <v>0</v>
      </c>
      <c r="M15" s="208" t="n">
        <v>0</v>
      </c>
      <c r="N15" s="208" t="n">
        <v>850.4</v>
      </c>
      <c r="O15" s="208" t="n">
        <v>1162.85</v>
      </c>
      <c r="P15" s="208" t="n">
        <v>569.45</v>
      </c>
      <c r="Q15" s="208" t="n">
        <v>0</v>
      </c>
      <c r="R15" s="208" t="n">
        <v>0</v>
      </c>
      <c r="S15" s="208" t="n">
        <v>0</v>
      </c>
      <c r="T15" s="208" t="n">
        <v>1244.84</v>
      </c>
      <c r="U15" s="208" t="n">
        <v>0</v>
      </c>
      <c r="V15" s="208" t="n">
        <v>0</v>
      </c>
      <c r="W15" s="208" t="n">
        <v>0</v>
      </c>
      <c r="X15" s="208" t="n">
        <v>669.74</v>
      </c>
      <c r="Y15" s="208" t="n">
        <v>498.8</v>
      </c>
      <c r="Z15" s="208" t="n">
        <v>0</v>
      </c>
      <c r="AA15" s="208" t="n">
        <f aca="false">'1'!G12</f>
        <v>810.6</v>
      </c>
      <c r="AB15" s="208" t="n">
        <f aca="false">'2'!G12</f>
        <v>0</v>
      </c>
      <c r="AC15" s="208" t="n">
        <f aca="false">'3'!G12</f>
        <v>1106.56</v>
      </c>
      <c r="AD15" s="208" t="n">
        <f aca="false">'4'!G12</f>
        <v>0</v>
      </c>
      <c r="AE15" s="208" t="n">
        <f aca="false">'5'!G12</f>
        <v>0</v>
      </c>
      <c r="AF15" s="208" t="n">
        <f aca="false">'6'!G12</f>
        <v>1658.99</v>
      </c>
      <c r="AG15" s="208" t="n">
        <f aca="false">'7'!H12</f>
        <v>0</v>
      </c>
      <c r="AH15" s="208" t="n">
        <f aca="false">'8'!H12</f>
        <v>728.87</v>
      </c>
      <c r="AI15" s="208" t="n">
        <f aca="false">'9'!H12</f>
        <v>0</v>
      </c>
      <c r="AJ15" s="208" t="n">
        <f aca="false">'10'!H12</f>
        <v>0</v>
      </c>
      <c r="AK15" s="208" t="n">
        <f aca="false">'11'!H12</f>
        <v>0</v>
      </c>
      <c r="AL15" s="208" t="n">
        <f aca="false">'12'!H12</f>
        <v>0</v>
      </c>
      <c r="AN15" s="94" t="s">
        <v>230</v>
      </c>
    </row>
    <row r="16" customFormat="false" ht="15" hidden="false" customHeight="true" outlineLevel="0" collapsed="false">
      <c r="A16" s="94" t="str">
        <f aca="false">'1'!C13</f>
        <v>חנויות נעליים</v>
      </c>
      <c r="B16" s="94" t="s">
        <v>229</v>
      </c>
      <c r="C16" s="208" t="n">
        <v>0</v>
      </c>
      <c r="D16" s="208" t="n">
        <v>0</v>
      </c>
      <c r="E16" s="208" t="n">
        <v>0</v>
      </c>
      <c r="F16" s="208" t="n">
        <v>0</v>
      </c>
      <c r="G16" s="208" t="n">
        <v>1597.46</v>
      </c>
      <c r="H16" s="208" t="n">
        <v>0</v>
      </c>
      <c r="I16" s="208" t="n">
        <v>0</v>
      </c>
      <c r="J16" s="208" t="n">
        <v>0</v>
      </c>
      <c r="K16" s="208" t="n">
        <v>0</v>
      </c>
      <c r="L16" s="208" t="n">
        <v>0</v>
      </c>
      <c r="M16" s="208" t="n">
        <v>0</v>
      </c>
      <c r="N16" s="208" t="n">
        <v>-14.28</v>
      </c>
      <c r="O16" s="208" t="n">
        <v>0</v>
      </c>
      <c r="P16" s="208" t="n">
        <v>0</v>
      </c>
      <c r="Q16" s="208" t="n">
        <v>0</v>
      </c>
      <c r="R16" s="208" t="n">
        <v>0</v>
      </c>
      <c r="S16" s="208" t="n">
        <v>0</v>
      </c>
      <c r="T16" s="208" t="n">
        <v>0</v>
      </c>
      <c r="U16" s="208" t="n">
        <v>0</v>
      </c>
      <c r="V16" s="208" t="n">
        <v>0</v>
      </c>
      <c r="W16" s="208" t="n">
        <v>0</v>
      </c>
      <c r="X16" s="208" t="n">
        <v>514.2</v>
      </c>
      <c r="Y16" s="208" t="n">
        <v>0</v>
      </c>
      <c r="Z16" s="208" t="n">
        <v>0</v>
      </c>
      <c r="AA16" s="208" t="n">
        <f aca="false">'1'!G13</f>
        <v>0</v>
      </c>
      <c r="AB16" s="208" t="n">
        <f aca="false">'2'!G13</f>
        <v>0</v>
      </c>
      <c r="AC16" s="208" t="n">
        <f aca="false">'3'!G13</f>
        <v>0</v>
      </c>
      <c r="AD16" s="208" t="n">
        <f aca="false">'4'!G13</f>
        <v>0</v>
      </c>
      <c r="AE16" s="208" t="n">
        <f aca="false">'5'!G13</f>
        <v>1896.82</v>
      </c>
      <c r="AF16" s="208" t="n">
        <f aca="false">'6'!G13</f>
        <v>0</v>
      </c>
      <c r="AG16" s="208" t="n">
        <f aca="false">'7'!H13</f>
        <v>0</v>
      </c>
      <c r="AH16" s="208" t="n">
        <f aca="false">'8'!H13</f>
        <v>0</v>
      </c>
      <c r="AI16" s="208" t="n">
        <f aca="false">'9'!H13</f>
        <v>0</v>
      </c>
      <c r="AJ16" s="208" t="n">
        <f aca="false">'10'!H13</f>
        <v>0</v>
      </c>
      <c r="AK16" s="208" t="n">
        <f aca="false">'11'!H13</f>
        <v>0</v>
      </c>
      <c r="AL16" s="208" t="n">
        <f aca="false">'12'!H13</f>
        <v>0</v>
      </c>
    </row>
    <row r="17" customFormat="false" ht="15" hidden="false" customHeight="true" outlineLevel="0" collapsed="false">
      <c r="A17" s="94" t="str">
        <f aca="false">'1'!C14</f>
        <v>בתי חולים ושרות</v>
      </c>
      <c r="B17" s="94" t="s">
        <v>229</v>
      </c>
      <c r="C17" s="208" t="n">
        <v>0</v>
      </c>
      <c r="D17" s="208" t="n">
        <v>0</v>
      </c>
      <c r="E17" s="208" t="n">
        <v>1275.21</v>
      </c>
      <c r="F17" s="208" t="n">
        <v>0</v>
      </c>
      <c r="G17" s="208" t="n">
        <v>0</v>
      </c>
      <c r="H17" s="208" t="n">
        <v>4579.64</v>
      </c>
      <c r="I17" s="208" t="n">
        <v>0</v>
      </c>
      <c r="J17" s="208" t="n">
        <v>0</v>
      </c>
      <c r="K17" s="208" t="n">
        <v>0</v>
      </c>
      <c r="L17" s="208" t="n">
        <v>507.08</v>
      </c>
      <c r="M17" s="208" t="n">
        <v>695.57</v>
      </c>
      <c r="N17" s="208" t="n">
        <v>2520</v>
      </c>
      <c r="O17" s="208" t="n">
        <v>0</v>
      </c>
      <c r="P17" s="208" t="n">
        <v>11067.51</v>
      </c>
      <c r="Q17" s="208" t="n">
        <v>0</v>
      </c>
      <c r="R17" s="208" t="n">
        <v>0</v>
      </c>
      <c r="S17" s="208" t="n">
        <v>0</v>
      </c>
      <c r="T17" s="208" t="n">
        <v>0</v>
      </c>
      <c r="U17" s="208" t="n">
        <v>651.15</v>
      </c>
      <c r="V17" s="208" t="n">
        <v>0</v>
      </c>
      <c r="W17" s="208" t="n">
        <v>0</v>
      </c>
      <c r="X17" s="208" t="n">
        <v>0</v>
      </c>
      <c r="Y17" s="208" t="n">
        <v>0</v>
      </c>
      <c r="Z17" s="208" t="n">
        <v>1813.57</v>
      </c>
      <c r="AA17" s="208" t="n">
        <f aca="false">'1'!G14</f>
        <v>2523.6</v>
      </c>
      <c r="AB17" s="208" t="n">
        <f aca="false">'2'!G14</f>
        <v>947.38</v>
      </c>
      <c r="AC17" s="208" t="n">
        <f aca="false">'3'!G14</f>
        <v>0</v>
      </c>
      <c r="AD17" s="208" t="n">
        <f aca="false">'4'!G14</f>
        <v>847.74</v>
      </c>
      <c r="AE17" s="208" t="n">
        <f aca="false">'5'!G14</f>
        <v>3430</v>
      </c>
      <c r="AF17" s="208" t="n">
        <f aca="false">'6'!G14</f>
        <v>0</v>
      </c>
      <c r="AG17" s="208" t="n">
        <f aca="false">'7'!H14</f>
        <v>478.2</v>
      </c>
      <c r="AH17" s="208" t="n">
        <f aca="false">'8'!H14</f>
        <v>0</v>
      </c>
      <c r="AI17" s="208" t="n">
        <f aca="false">'9'!H14</f>
        <v>6726.56</v>
      </c>
      <c r="AJ17" s="208" t="n">
        <f aca="false">'10'!H14</f>
        <v>0.01</v>
      </c>
      <c r="AK17" s="208" t="n">
        <f aca="false">'11'!H14</f>
        <v>0</v>
      </c>
      <c r="AL17" s="208" t="n">
        <f aca="false">'12'!H14</f>
        <v>0</v>
      </c>
    </row>
    <row r="18" customFormat="false" ht="15" hidden="false" customHeight="true" outlineLevel="0" collapsed="false">
      <c r="A18" s="94" t="str">
        <f aca="false">'1'!C15</f>
        <v>מכוני פיזיותרפיה</v>
      </c>
      <c r="B18" s="94" t="s">
        <v>229</v>
      </c>
      <c r="C18" s="208" t="n">
        <v>4135.49</v>
      </c>
      <c r="D18" s="208" t="n">
        <v>8592.99</v>
      </c>
      <c r="E18" s="208" t="n">
        <v>7451.5</v>
      </c>
      <c r="F18" s="208" t="n">
        <v>3314.43</v>
      </c>
      <c r="G18" s="208" t="n">
        <v>3187.34</v>
      </c>
      <c r="H18" s="208" t="n">
        <v>5235.63</v>
      </c>
      <c r="I18" s="208" t="n">
        <v>16671.18</v>
      </c>
      <c r="J18" s="208" t="n">
        <v>6797.75</v>
      </c>
      <c r="K18" s="208" t="n">
        <v>5902.85</v>
      </c>
      <c r="L18" s="208" t="n">
        <v>2059.32</v>
      </c>
      <c r="M18" s="208" t="n">
        <v>5017.43</v>
      </c>
      <c r="N18" s="208" t="n">
        <v>4549.9</v>
      </c>
      <c r="O18" s="208" t="n">
        <v>15213.91</v>
      </c>
      <c r="P18" s="208" t="n">
        <v>12501.56</v>
      </c>
      <c r="Q18" s="208" t="n">
        <v>2138.43</v>
      </c>
      <c r="R18" s="208" t="n">
        <v>5898.37</v>
      </c>
      <c r="S18" s="208" t="n">
        <v>707.660000000001</v>
      </c>
      <c r="T18" s="208" t="n">
        <v>17697.58</v>
      </c>
      <c r="U18" s="208" t="n">
        <v>7828.72</v>
      </c>
      <c r="V18" s="208" t="n">
        <v>5704.97</v>
      </c>
      <c r="W18" s="208" t="n">
        <v>9679.47</v>
      </c>
      <c r="X18" s="208" t="n">
        <v>4038.81</v>
      </c>
      <c r="Y18" s="208" t="n">
        <v>12930.62</v>
      </c>
      <c r="Z18" s="208" t="n">
        <v>361.5</v>
      </c>
      <c r="AA18" s="208" t="n">
        <f aca="false">'1'!G15</f>
        <v>11467.92</v>
      </c>
      <c r="AB18" s="208" t="n">
        <f aca="false">'2'!G15</f>
        <v>15269.72</v>
      </c>
      <c r="AC18" s="208" t="n">
        <f aca="false">'3'!G15</f>
        <v>6672.87</v>
      </c>
      <c r="AD18" s="208" t="n">
        <f aca="false">'4'!G15</f>
        <v>33906.96</v>
      </c>
      <c r="AE18" s="208" t="n">
        <f aca="false">'5'!G15</f>
        <v>6150.22</v>
      </c>
      <c r="AF18" s="208" t="n">
        <f aca="false">'6'!G15</f>
        <v>15643.41</v>
      </c>
      <c r="AG18" s="208" t="n">
        <f aca="false">'7'!H15</f>
        <v>10025.73</v>
      </c>
      <c r="AH18" s="208" t="n">
        <f aca="false">'8'!H15</f>
        <v>10118.69</v>
      </c>
      <c r="AI18" s="208" t="n">
        <f aca="false">'9'!H15</f>
        <v>9421.74</v>
      </c>
      <c r="AJ18" s="208" t="n">
        <f aca="false">'10'!H15</f>
        <v>0</v>
      </c>
      <c r="AK18" s="208" t="n">
        <f aca="false">'11'!H15</f>
        <v>0</v>
      </c>
      <c r="AL18" s="208" t="n">
        <f aca="false">'12'!H15</f>
        <v>0</v>
      </c>
    </row>
    <row r="19" customFormat="false" ht="15" hidden="false" customHeight="true" outlineLevel="0" collapsed="false">
      <c r="A19" s="94" t="str">
        <f aca="false">'1'!C17</f>
        <v>לקוחות אינטרנט</v>
      </c>
      <c r="B19" s="94" t="s">
        <v>229</v>
      </c>
      <c r="C19" s="208" t="n">
        <v>42663.04</v>
      </c>
      <c r="D19" s="208" t="n">
        <v>40630.42</v>
      </c>
      <c r="E19" s="208" t="n">
        <v>45122.89</v>
      </c>
      <c r="F19" s="208" t="n">
        <v>43476.43</v>
      </c>
      <c r="G19" s="208" t="n">
        <v>49304.7</v>
      </c>
      <c r="H19" s="208" t="n">
        <v>52569.54</v>
      </c>
      <c r="I19" s="208" t="n">
        <v>56033.8100000001</v>
      </c>
      <c r="J19" s="208" t="n">
        <v>43626.89</v>
      </c>
      <c r="K19" s="208" t="n">
        <v>56193.1900000001</v>
      </c>
      <c r="L19" s="208" t="n">
        <v>71675.5700000002</v>
      </c>
      <c r="M19" s="208" t="n">
        <v>87038.7499999997</v>
      </c>
      <c r="N19" s="208" t="n">
        <v>95223.2699999995</v>
      </c>
      <c r="O19" s="208" t="n">
        <v>92988.1699999996</v>
      </c>
      <c r="P19" s="208" t="n">
        <v>97231.1799999998</v>
      </c>
      <c r="Q19" s="208" t="n">
        <v>98819.24</v>
      </c>
      <c r="R19" s="208" t="n">
        <v>96447.3100000002</v>
      </c>
      <c r="S19" s="208" t="n">
        <v>99302.9500000002</v>
      </c>
      <c r="T19" s="208" t="n">
        <v>128892.76</v>
      </c>
      <c r="U19" s="208" t="n">
        <v>163496.619999998</v>
      </c>
      <c r="V19" s="208" t="n">
        <v>136844.33</v>
      </c>
      <c r="W19" s="208" t="n">
        <v>143120.649999998</v>
      </c>
      <c r="X19" s="208" t="n">
        <v>136200.54</v>
      </c>
      <c r="Y19" s="208" t="n">
        <v>249690.080000002</v>
      </c>
      <c r="Z19" s="208" t="n">
        <v>213224.459999998</v>
      </c>
      <c r="AA19" s="208" t="n">
        <f aca="false">'1'!G17</f>
        <v>212354.119999999</v>
      </c>
      <c r="AB19" s="208" t="n">
        <f aca="false">'2'!G17</f>
        <v>236431.199999999</v>
      </c>
      <c r="AC19" s="208" t="n">
        <f aca="false">'3'!G17</f>
        <v>409497.070000013</v>
      </c>
      <c r="AD19" s="208" t="n">
        <f aca="false">'4'!G17</f>
        <v>544858.410000022</v>
      </c>
      <c r="AE19" s="208" t="n">
        <f aca="false">'5'!G17</f>
        <v>404699.340000001</v>
      </c>
      <c r="AF19" s="208" t="n">
        <f aca="false">'6'!G17</f>
        <v>423398.059999998</v>
      </c>
      <c r="AG19" s="208" t="n">
        <f aca="false">'7'!H17</f>
        <v>398018.329999997</v>
      </c>
      <c r="AH19" s="208" t="n">
        <f aca="false">'8'!H17</f>
        <v>391167.74</v>
      </c>
      <c r="AI19" s="208" t="n">
        <f aca="false">'9'!H17</f>
        <v>347579.04</v>
      </c>
      <c r="AJ19" s="208" t="n">
        <f aca="false">'10'!H17</f>
        <v>60416.76</v>
      </c>
      <c r="AK19" s="208" t="n">
        <f aca="false">'11'!H17</f>
        <v>0</v>
      </c>
      <c r="AL19" s="208" t="n">
        <f aca="false">'12'!H17</f>
        <v>0</v>
      </c>
    </row>
    <row r="20" customFormat="false" ht="15" hidden="false" customHeight="true" outlineLevel="0" collapsed="false">
      <c r="A20" s="94" t="str">
        <f aca="false">'1'!C18</f>
        <v>סופר פארם מרקט פלייס</v>
      </c>
      <c r="B20" s="94" t="s">
        <v>229</v>
      </c>
      <c r="C20" s="208" t="n">
        <v>1654.88</v>
      </c>
      <c r="D20" s="208" t="n">
        <v>2455.66</v>
      </c>
      <c r="E20" s="208" t="n">
        <v>2233.52</v>
      </c>
      <c r="F20" s="208" t="n">
        <v>2046.43</v>
      </c>
      <c r="G20" s="208" t="n">
        <v>2364.29</v>
      </c>
      <c r="H20" s="208" t="n">
        <v>5374.81</v>
      </c>
      <c r="I20" s="208" t="n">
        <v>1788.03</v>
      </c>
      <c r="J20" s="208" t="n">
        <v>4027.72</v>
      </c>
      <c r="K20" s="208" t="n">
        <v>3358.59</v>
      </c>
      <c r="L20" s="208" t="n">
        <v>3795.33</v>
      </c>
      <c r="M20" s="208" t="n">
        <v>3533.44</v>
      </c>
      <c r="N20" s="208" t="n">
        <v>3126.19</v>
      </c>
      <c r="O20" s="208" t="n">
        <v>2032.3</v>
      </c>
      <c r="P20" s="208" t="n">
        <v>3188.82</v>
      </c>
      <c r="Q20" s="208" t="n">
        <v>3577.56</v>
      </c>
      <c r="R20" s="208" t="n">
        <v>2606.4</v>
      </c>
      <c r="S20" s="208" t="n">
        <v>1491.14</v>
      </c>
      <c r="T20" s="208" t="n">
        <v>4432.93</v>
      </c>
      <c r="U20" s="208" t="n">
        <v>1318.12</v>
      </c>
      <c r="V20" s="208" t="n">
        <v>2497.52</v>
      </c>
      <c r="W20" s="208" t="n">
        <v>1798.35</v>
      </c>
      <c r="X20" s="208" t="n">
        <v>1762.26</v>
      </c>
      <c r="Y20" s="208" t="n">
        <v>1058.88</v>
      </c>
      <c r="Z20" s="208" t="n">
        <v>1561.46</v>
      </c>
      <c r="AA20" s="208" t="n">
        <f aca="false">'1'!G18</f>
        <v>1274.4</v>
      </c>
      <c r="AB20" s="208" t="n">
        <f aca="false">'2'!G18</f>
        <v>1747</v>
      </c>
      <c r="AC20" s="208" t="n">
        <f aca="false">'3'!G18</f>
        <v>2065.63</v>
      </c>
      <c r="AD20" s="208" t="n">
        <f aca="false">'4'!G18</f>
        <v>1302.94</v>
      </c>
      <c r="AE20" s="208" t="n">
        <f aca="false">'5'!G18</f>
        <v>2347.76</v>
      </c>
      <c r="AF20" s="208" t="n">
        <f aca="false">'6'!G18</f>
        <v>1069.29</v>
      </c>
      <c r="AG20" s="208" t="n">
        <f aca="false">'7'!H18</f>
        <v>1741.74</v>
      </c>
      <c r="AH20" s="208" t="n">
        <f aca="false">'8'!H18</f>
        <v>1484.7</v>
      </c>
      <c r="AI20" s="208" t="n">
        <f aca="false">'9'!H18</f>
        <v>547.02</v>
      </c>
      <c r="AJ20" s="208" t="n">
        <f aca="false">'10'!H18</f>
        <v>342.2</v>
      </c>
      <c r="AK20" s="208" t="n">
        <f aca="false">'11'!H18</f>
        <v>0</v>
      </c>
      <c r="AL20" s="208" t="n">
        <f aca="false">'12'!H18</f>
        <v>0</v>
      </c>
    </row>
    <row r="21" customFormat="false" ht="15" hidden="false" customHeight="true" outlineLevel="0" collapsed="false">
      <c r="A21" s="94" t="str">
        <f aca="false">'1'!C20</f>
        <v>AMAZON</v>
      </c>
      <c r="B21" s="94" t="s">
        <v>231</v>
      </c>
      <c r="C21" s="208" t="n">
        <v>391520.95</v>
      </c>
      <c r="D21" s="208" t="n">
        <v>377981.61</v>
      </c>
      <c r="E21" s="208" t="n">
        <v>334336.04</v>
      </c>
      <c r="F21" s="208" t="n">
        <v>264520.55</v>
      </c>
      <c r="G21" s="208" t="n">
        <v>318316.8</v>
      </c>
      <c r="H21" s="208" t="n">
        <v>371311.12</v>
      </c>
      <c r="I21" s="208" t="n">
        <v>316462.25</v>
      </c>
      <c r="J21" s="208" t="n">
        <v>273201.5</v>
      </c>
      <c r="K21" s="208" t="n">
        <v>258929.86</v>
      </c>
      <c r="L21" s="208" t="n">
        <v>234970.3</v>
      </c>
      <c r="M21" s="208" t="n">
        <v>169336.07</v>
      </c>
      <c r="N21" s="208" t="n">
        <v>190607.48</v>
      </c>
      <c r="O21" s="208" t="n">
        <v>187395.64</v>
      </c>
      <c r="P21" s="208" t="n">
        <v>188313.47</v>
      </c>
      <c r="Q21" s="208" t="n">
        <v>239973.2</v>
      </c>
      <c r="R21" s="208" t="n">
        <v>238431.78</v>
      </c>
      <c r="S21" s="208" t="n">
        <v>252540.02</v>
      </c>
      <c r="T21" s="208" t="n">
        <v>68328.76</v>
      </c>
      <c r="U21" s="208" t="n">
        <v>353503.85</v>
      </c>
      <c r="V21" s="208" t="n">
        <v>252496.44</v>
      </c>
      <c r="W21" s="208" t="n">
        <v>247434.35</v>
      </c>
      <c r="X21" s="208" t="n">
        <v>223589.21</v>
      </c>
      <c r="Y21" s="208" t="n">
        <v>271266.06</v>
      </c>
      <c r="Z21" s="208" t="n">
        <v>182118.44</v>
      </c>
      <c r="AA21" s="208" t="n">
        <f aca="false">'1'!G20</f>
        <v>178026.69</v>
      </c>
      <c r="AB21" s="208" t="n">
        <f aca="false">'2'!G20</f>
        <v>194189.2</v>
      </c>
      <c r="AC21" s="208" t="n">
        <f aca="false">'3'!G20</f>
        <v>213959.66</v>
      </c>
      <c r="AD21" s="208" t="n">
        <f aca="false">'4'!G20</f>
        <v>214988.69</v>
      </c>
      <c r="AE21" s="208" t="n">
        <f aca="false">'5'!G20</f>
        <v>224163.96</v>
      </c>
      <c r="AF21" s="208" t="n">
        <f aca="false">'6'!G20</f>
        <v>229029.21</v>
      </c>
      <c r="AG21" s="208" t="n">
        <f aca="false">'7'!H20</f>
        <v>223994.55</v>
      </c>
      <c r="AH21" s="208" t="n">
        <f aca="false">'8'!H20</f>
        <v>202592.25</v>
      </c>
      <c r="AI21" s="208" t="n">
        <f aca="false">'9'!H20</f>
        <v>198718.53</v>
      </c>
      <c r="AJ21" s="208" t="n">
        <f aca="false">'10'!H20</f>
        <v>45504.03</v>
      </c>
      <c r="AK21" s="208" t="n">
        <f aca="false">'11'!H20</f>
        <v>0</v>
      </c>
      <c r="AL21" s="208" t="n">
        <f aca="false">'12'!H20</f>
        <v>0</v>
      </c>
    </row>
    <row r="22" customFormat="false" ht="15" hidden="false" customHeight="true" outlineLevel="0" collapsed="false">
      <c r="A22" s="94" t="str">
        <f aca="false">'1'!C21</f>
        <v>SUPER PHARM POLAND</v>
      </c>
      <c r="B22" s="94" t="s">
        <v>231</v>
      </c>
      <c r="C22" s="208" t="n">
        <v>203.73</v>
      </c>
      <c r="D22" s="208" t="n">
        <v>255841.44</v>
      </c>
      <c r="E22" s="208" t="n">
        <v>0</v>
      </c>
      <c r="F22" s="208" t="n">
        <v>184350.47</v>
      </c>
      <c r="G22" s="208" t="n">
        <v>0</v>
      </c>
      <c r="H22" s="208" t="n">
        <v>0</v>
      </c>
      <c r="I22" s="208" t="n">
        <v>143527.77</v>
      </c>
      <c r="J22" s="208" t="n">
        <v>-2422.68</v>
      </c>
      <c r="K22" s="208" t="n">
        <v>159908.54</v>
      </c>
      <c r="L22" s="208" t="n">
        <v>0</v>
      </c>
      <c r="M22" s="208" t="n">
        <v>0</v>
      </c>
      <c r="N22" s="208" t="n">
        <v>137974.18</v>
      </c>
      <c r="O22" s="208" t="n">
        <v>0</v>
      </c>
      <c r="P22" s="208" t="n">
        <v>213082.56</v>
      </c>
      <c r="Q22" s="208" t="n">
        <v>0</v>
      </c>
      <c r="R22" s="208" t="n">
        <v>217182.24</v>
      </c>
      <c r="S22" s="208" t="n">
        <v>0</v>
      </c>
      <c r="T22" s="208" t="n">
        <v>0</v>
      </c>
      <c r="U22" s="208" t="n">
        <v>187405.66</v>
      </c>
      <c r="V22" s="208" t="n">
        <v>0</v>
      </c>
      <c r="W22" s="208" t="n">
        <v>0</v>
      </c>
      <c r="X22" s="208" t="n">
        <v>140125.45</v>
      </c>
      <c r="Y22" s="208" t="n">
        <v>0</v>
      </c>
      <c r="Z22" s="208" t="n">
        <v>144741.73</v>
      </c>
      <c r="AA22" s="208" t="n">
        <f aca="false">'1'!G21</f>
        <v>0</v>
      </c>
      <c r="AB22" s="208" t="n">
        <f aca="false">'2'!G21</f>
        <v>137198.2</v>
      </c>
      <c r="AC22" s="208" t="n">
        <f aca="false">'3'!G21</f>
        <v>0</v>
      </c>
      <c r="AD22" s="208" t="n">
        <f aca="false">'4'!G21</f>
        <v>0</v>
      </c>
      <c r="AE22" s="208" t="n">
        <f aca="false">'5'!G21</f>
        <v>204882.82</v>
      </c>
      <c r="AF22" s="208" t="n">
        <f aca="false">'6'!G21</f>
        <v>0</v>
      </c>
      <c r="AG22" s="208" t="n">
        <f aca="false">'7'!H21</f>
        <v>0</v>
      </c>
      <c r="AH22" s="208" t="n">
        <f aca="false">'8'!H21</f>
        <v>132101.57</v>
      </c>
      <c r="AI22" s="208" t="n">
        <f aca="false">'9'!H21</f>
        <v>0</v>
      </c>
      <c r="AJ22" s="208" t="n">
        <f aca="false">'10'!H21</f>
        <v>0</v>
      </c>
      <c r="AK22" s="208" t="n">
        <f aca="false">'11'!H21</f>
        <v>0</v>
      </c>
      <c r="AL22" s="208" t="n">
        <f aca="false">'12'!H21</f>
        <v>0</v>
      </c>
    </row>
    <row r="23" customFormat="false" ht="15" hidden="false" customHeight="true" outlineLevel="0" collapsed="false">
      <c r="A23" s="94" t="str">
        <f aca="false">'1'!C22</f>
        <v>ORTHO- PARTNER AG.</v>
      </c>
      <c r="B23" s="94" t="s">
        <v>231</v>
      </c>
      <c r="C23" s="208" t="n">
        <v>49158.59</v>
      </c>
      <c r="D23" s="208" t="n">
        <v>73976.74</v>
      </c>
      <c r="E23" s="208" t="n">
        <v>11470.17</v>
      </c>
      <c r="F23" s="208" t="n">
        <v>0</v>
      </c>
      <c r="G23" s="208" t="n">
        <v>169505.88</v>
      </c>
      <c r="H23" s="208" t="n">
        <v>14810.7</v>
      </c>
      <c r="I23" s="208" t="n">
        <v>61466.82</v>
      </c>
      <c r="J23" s="208" t="n">
        <v>16110.54</v>
      </c>
      <c r="K23" s="208" t="n">
        <v>16422.81</v>
      </c>
      <c r="L23" s="208" t="n">
        <v>92018.45</v>
      </c>
      <c r="M23" s="208" t="n">
        <v>127411.06</v>
      </c>
      <c r="N23" s="208" t="n">
        <v>1400.99</v>
      </c>
      <c r="O23" s="208" t="n">
        <v>18517.61</v>
      </c>
      <c r="P23" s="208" t="n">
        <v>35605.91</v>
      </c>
      <c r="Q23" s="208" t="n">
        <v>26449.51</v>
      </c>
      <c r="R23" s="208" t="n">
        <v>0</v>
      </c>
      <c r="S23" s="208" t="n">
        <v>1513.3</v>
      </c>
      <c r="T23" s="208" t="n">
        <v>0</v>
      </c>
      <c r="U23" s="208" t="n">
        <v>194396.85</v>
      </c>
      <c r="V23" s="208" t="n">
        <v>64506.58</v>
      </c>
      <c r="W23" s="208" t="n">
        <v>10281.02</v>
      </c>
      <c r="X23" s="208" t="n">
        <v>596.73</v>
      </c>
      <c r="Y23" s="208" t="n">
        <v>53932.22</v>
      </c>
      <c r="Z23" s="208" t="n">
        <v>121.12</v>
      </c>
      <c r="AA23" s="208" t="n">
        <f aca="false">'1'!G22</f>
        <v>124895.37</v>
      </c>
      <c r="AB23" s="208" t="n">
        <f aca="false">'2'!G22</f>
        <v>17835.42</v>
      </c>
      <c r="AC23" s="208" t="n">
        <f aca="false">'3'!G22</f>
        <v>6418.64</v>
      </c>
      <c r="AD23" s="208" t="n">
        <f aca="false">'4'!G22</f>
        <v>123835.02</v>
      </c>
      <c r="AE23" s="208" t="n">
        <f aca="false">'5'!G22</f>
        <v>5036.8</v>
      </c>
      <c r="AF23" s="208" t="n">
        <f aca="false">'6'!G22</f>
        <v>55255.27</v>
      </c>
      <c r="AG23" s="208" t="n">
        <f aca="false">'7'!H22</f>
        <v>0</v>
      </c>
      <c r="AH23" s="208" t="n">
        <f aca="false">'8'!H22</f>
        <v>10986.57</v>
      </c>
      <c r="AI23" s="208" t="n">
        <f aca="false">'9'!H22</f>
        <v>0</v>
      </c>
      <c r="AJ23" s="208" t="n">
        <f aca="false">'10'!H22</f>
        <v>0</v>
      </c>
      <c r="AK23" s="208" t="n">
        <f aca="false">'11'!H22</f>
        <v>0</v>
      </c>
      <c r="AL23" s="208" t="n">
        <f aca="false">'12'!H22</f>
        <v>0</v>
      </c>
    </row>
    <row r="24" customFormat="false" ht="15" hidden="false" customHeight="true" outlineLevel="0" collapsed="false">
      <c r="A24" s="94" t="str">
        <f aca="false">'1'!C23</f>
        <v>SANAFLEX ANATOMIC</v>
      </c>
      <c r="B24" s="94" t="s">
        <v>231</v>
      </c>
      <c r="C24" s="208" t="n">
        <v>68604.55</v>
      </c>
      <c r="D24" s="208" t="n">
        <v>0</v>
      </c>
      <c r="E24" s="208" t="n">
        <v>84607.51</v>
      </c>
      <c r="F24" s="208" t="n">
        <v>0</v>
      </c>
      <c r="G24" s="208" t="n">
        <v>0</v>
      </c>
      <c r="H24" s="208" t="n">
        <v>83128.56</v>
      </c>
      <c r="I24" s="208" t="n">
        <v>90587.54</v>
      </c>
      <c r="J24" s="208" t="n">
        <v>0</v>
      </c>
      <c r="K24" s="208" t="n">
        <v>-4343.69</v>
      </c>
      <c r="L24" s="208" t="n">
        <v>86858.25</v>
      </c>
      <c r="M24" s="208" t="n">
        <v>0</v>
      </c>
      <c r="N24" s="208" t="n">
        <v>80366.28</v>
      </c>
      <c r="O24" s="208" t="n">
        <v>0</v>
      </c>
      <c r="P24" s="208" t="n">
        <v>85563.25</v>
      </c>
      <c r="Q24" s="208" t="n">
        <v>0</v>
      </c>
      <c r="R24" s="208" t="n">
        <v>88706.82</v>
      </c>
      <c r="S24" s="208" t="n">
        <v>0</v>
      </c>
      <c r="T24" s="208" t="n">
        <v>0</v>
      </c>
      <c r="U24" s="208" t="n">
        <v>87907.48</v>
      </c>
      <c r="V24" s="208" t="n">
        <v>68497.3</v>
      </c>
      <c r="W24" s="208" t="n">
        <v>0</v>
      </c>
      <c r="X24" s="208" t="n">
        <v>0</v>
      </c>
      <c r="Y24" s="208" t="n">
        <v>83397.79</v>
      </c>
      <c r="Z24" s="208" t="n">
        <v>0</v>
      </c>
      <c r="AA24" s="208" t="n">
        <f aca="false">'1'!G23</f>
        <v>67158.97</v>
      </c>
      <c r="AB24" s="208" t="n">
        <f aca="false">'2'!G23</f>
        <v>0</v>
      </c>
      <c r="AC24" s="208" t="n">
        <f aca="false">'3'!G23</f>
        <v>0</v>
      </c>
      <c r="AD24" s="208" t="n">
        <f aca="false">'4'!G23</f>
        <v>92404.96</v>
      </c>
      <c r="AE24" s="208" t="n">
        <f aca="false">'5'!G23</f>
        <v>0</v>
      </c>
      <c r="AF24" s="208" t="n">
        <f aca="false">'6'!G23</f>
        <v>147489.2</v>
      </c>
      <c r="AG24" s="208" t="n">
        <f aca="false">'7'!H23</f>
        <v>0</v>
      </c>
      <c r="AH24" s="208" t="n">
        <f aca="false">'8'!H23</f>
        <v>0</v>
      </c>
      <c r="AI24" s="208" t="n">
        <f aca="false">'9'!H23</f>
        <v>51223.23</v>
      </c>
      <c r="AJ24" s="208" t="n">
        <f aca="false">'10'!H23</f>
        <v>0</v>
      </c>
      <c r="AK24" s="208" t="n">
        <f aca="false">'11'!H23</f>
        <v>0</v>
      </c>
      <c r="AL24" s="208" t="n">
        <f aca="false">'12'!H23</f>
        <v>0</v>
      </c>
    </row>
    <row r="25" customFormat="false" ht="15" hidden="false" customHeight="true" outlineLevel="0" collapsed="false">
      <c r="A25" s="94" t="str">
        <f aca="false">'1'!C24</f>
        <v>HEALTH CARE PROD. GMBH</v>
      </c>
      <c r="B25" s="94" t="s">
        <v>231</v>
      </c>
      <c r="C25" s="208" t="n">
        <v>15923.68</v>
      </c>
      <c r="D25" s="208" t="n">
        <v>0</v>
      </c>
      <c r="E25" s="208" t="n">
        <v>16377.13</v>
      </c>
      <c r="F25" s="208" t="n">
        <v>17556.44</v>
      </c>
      <c r="G25" s="208" t="n">
        <v>0</v>
      </c>
      <c r="H25" s="208" t="n">
        <v>14559.92</v>
      </c>
      <c r="I25" s="208" t="n">
        <v>16222.13</v>
      </c>
      <c r="J25" s="208" t="n">
        <v>19066.6</v>
      </c>
      <c r="K25" s="208" t="n">
        <v>11239.03</v>
      </c>
      <c r="L25" s="208" t="n">
        <v>0</v>
      </c>
      <c r="M25" s="208" t="n">
        <v>17813.97</v>
      </c>
      <c r="N25" s="208" t="n">
        <v>0</v>
      </c>
      <c r="O25" s="208" t="n">
        <v>0</v>
      </c>
      <c r="P25" s="208" t="n">
        <v>16335.18</v>
      </c>
      <c r="Q25" s="208" t="n">
        <v>13664.6</v>
      </c>
      <c r="R25" s="208" t="n">
        <v>11888.32</v>
      </c>
      <c r="S25" s="208" t="n">
        <v>0</v>
      </c>
      <c r="T25" s="208" t="n">
        <v>0</v>
      </c>
      <c r="U25" s="208" t="n">
        <v>30796.16</v>
      </c>
      <c r="V25" s="208" t="n">
        <v>18496.39</v>
      </c>
      <c r="W25" s="208" t="n">
        <v>0</v>
      </c>
      <c r="X25" s="208" t="n">
        <v>15474.02</v>
      </c>
      <c r="Y25" s="208" t="n">
        <v>15684.33</v>
      </c>
      <c r="Z25" s="208" t="n">
        <v>0</v>
      </c>
      <c r="AA25" s="208" t="n">
        <f aca="false">'1'!G24</f>
        <v>15774.92</v>
      </c>
      <c r="AB25" s="208" t="n">
        <f aca="false">'2'!G24</f>
        <v>0</v>
      </c>
      <c r="AC25" s="208" t="n">
        <f aca="false">'3'!G24</f>
        <v>29021.19</v>
      </c>
      <c r="AD25" s="208" t="n">
        <f aca="false">'4'!G24</f>
        <v>0</v>
      </c>
      <c r="AE25" s="208" t="n">
        <f aca="false">'5'!G24</f>
        <v>16087.48</v>
      </c>
      <c r="AF25" s="208" t="n">
        <f aca="false">'6'!G24</f>
        <v>15795</v>
      </c>
      <c r="AG25" s="208" t="n">
        <f aca="false">'7'!H24</f>
        <v>19451.36</v>
      </c>
      <c r="AH25" s="208" t="n">
        <f aca="false">'8'!H24</f>
        <v>0</v>
      </c>
      <c r="AI25" s="208" t="n">
        <f aca="false">'9'!H24</f>
        <v>15160.58</v>
      </c>
      <c r="AJ25" s="208" t="n">
        <f aca="false">'10'!H24</f>
        <v>0</v>
      </c>
      <c r="AK25" s="208" t="n">
        <f aca="false">'11'!H24</f>
        <v>0</v>
      </c>
      <c r="AL25" s="208" t="n">
        <f aca="false">'12'!H24</f>
        <v>0</v>
      </c>
    </row>
    <row r="26" customFormat="false" ht="15" hidden="false" customHeight="true" outlineLevel="0" collapsed="false">
      <c r="A26" s="94" t="str">
        <f aca="false">'1'!C25</f>
        <v>ORTHOMED  LTD</v>
      </c>
      <c r="B26" s="94" t="s">
        <v>231</v>
      </c>
      <c r="C26" s="208" t="n">
        <v>50777.76</v>
      </c>
      <c r="D26" s="208" t="n">
        <v>0</v>
      </c>
      <c r="E26" s="208" t="n">
        <v>0</v>
      </c>
      <c r="F26" s="208" t="n">
        <v>0</v>
      </c>
      <c r="G26" s="208" t="n">
        <v>0</v>
      </c>
      <c r="H26" s="208" t="n">
        <v>65362.29</v>
      </c>
      <c r="I26" s="208" t="n">
        <v>0</v>
      </c>
      <c r="J26" s="208" t="n">
        <v>0</v>
      </c>
      <c r="K26" s="208" t="n">
        <v>0</v>
      </c>
      <c r="L26" s="208" t="n">
        <v>0</v>
      </c>
      <c r="M26" s="208" t="n">
        <v>44572.45</v>
      </c>
      <c r="N26" s="208" t="n">
        <v>0</v>
      </c>
      <c r="O26" s="208" t="n">
        <v>0</v>
      </c>
      <c r="P26" s="208" t="n">
        <v>0</v>
      </c>
      <c r="Q26" s="208" t="n">
        <v>42132.93</v>
      </c>
      <c r="R26" s="208" t="n">
        <v>0</v>
      </c>
      <c r="S26" s="208" t="n">
        <v>10766.89</v>
      </c>
      <c r="T26" s="208" t="n">
        <v>0</v>
      </c>
      <c r="U26" s="208" t="n">
        <v>0</v>
      </c>
      <c r="V26" s="208" t="n">
        <v>0</v>
      </c>
      <c r="W26" s="208" t="n">
        <v>0</v>
      </c>
      <c r="X26" s="208" t="n">
        <v>0</v>
      </c>
      <c r="Y26" s="208" t="n">
        <v>0</v>
      </c>
      <c r="Z26" s="208" t="n">
        <v>0</v>
      </c>
      <c r="AA26" s="208" t="n">
        <f aca="false">'1'!G25</f>
        <v>0</v>
      </c>
      <c r="AB26" s="208" t="n">
        <f aca="false">'2'!G25</f>
        <v>0</v>
      </c>
      <c r="AC26" s="208" t="n">
        <f aca="false">'3'!G25</f>
        <v>0</v>
      </c>
      <c r="AD26" s="208" t="n">
        <f aca="false">'4'!G25</f>
        <v>0</v>
      </c>
      <c r="AE26" s="208" t="n">
        <f aca="false">'5'!G25</f>
        <v>0</v>
      </c>
      <c r="AF26" s="208" t="n">
        <f aca="false">'6'!G25</f>
        <v>0</v>
      </c>
      <c r="AG26" s="208" t="n">
        <f aca="false">'7'!H25</f>
        <v>0</v>
      </c>
      <c r="AH26" s="208" t="n">
        <f aca="false">'8'!H25</f>
        <v>0</v>
      </c>
      <c r="AI26" s="208" t="n">
        <f aca="false">'9'!H25</f>
        <v>0</v>
      </c>
      <c r="AJ26" s="208" t="n">
        <f aca="false">'10'!H25</f>
        <v>0</v>
      </c>
      <c r="AK26" s="208" t="n">
        <f aca="false">'11'!H25</f>
        <v>0</v>
      </c>
      <c r="AL26" s="208" t="n">
        <f aca="false">'12'!H25</f>
        <v>0</v>
      </c>
    </row>
    <row r="27" customFormat="false" ht="15" hidden="false" customHeight="true" outlineLevel="0" collapsed="false">
      <c r="A27" s="94" t="str">
        <f aca="false">'1'!C26</f>
        <v>SALUS</v>
      </c>
      <c r="B27" s="94" t="s">
        <v>231</v>
      </c>
      <c r="C27" s="208" t="n">
        <v>249206.12</v>
      </c>
      <c r="D27" s="208" t="n">
        <v>0</v>
      </c>
      <c r="E27" s="208" t="n">
        <v>0</v>
      </c>
      <c r="F27" s="208" t="n">
        <v>0</v>
      </c>
      <c r="G27" s="208" t="n">
        <v>0</v>
      </c>
      <c r="H27" s="208" t="n">
        <v>0</v>
      </c>
      <c r="I27" s="208" t="n">
        <v>0</v>
      </c>
      <c r="J27" s="208" t="n">
        <v>0</v>
      </c>
      <c r="K27" s="208" t="n">
        <v>0</v>
      </c>
      <c r="L27" s="208" t="n">
        <v>0</v>
      </c>
      <c r="M27" s="208" t="n">
        <v>0</v>
      </c>
      <c r="N27" s="208" t="n">
        <v>222074.04</v>
      </c>
      <c r="O27" s="208" t="n">
        <v>0</v>
      </c>
      <c r="P27" s="208" t="n">
        <v>0</v>
      </c>
      <c r="Q27" s="208" t="n">
        <v>0</v>
      </c>
      <c r="R27" s="208" t="n">
        <v>0</v>
      </c>
      <c r="S27" s="208" t="n">
        <v>172805.6</v>
      </c>
      <c r="T27" s="208" t="n">
        <v>0.33</v>
      </c>
      <c r="U27" s="208" t="n">
        <v>0</v>
      </c>
      <c r="V27" s="208" t="n">
        <v>0</v>
      </c>
      <c r="W27" s="208" t="n">
        <v>0</v>
      </c>
      <c r="X27" s="208" t="n">
        <v>0</v>
      </c>
      <c r="Y27" s="208" t="n">
        <v>0</v>
      </c>
      <c r="Z27" s="208" t="n">
        <v>146752.62</v>
      </c>
      <c r="AA27" s="208" t="n">
        <f aca="false">'1'!G26</f>
        <v>-1269.06</v>
      </c>
      <c r="AB27" s="208" t="n">
        <f aca="false">'2'!G26</f>
        <v>0</v>
      </c>
      <c r="AC27" s="208" t="n">
        <f aca="false">'3'!G26</f>
        <v>0</v>
      </c>
      <c r="AD27" s="208" t="n">
        <f aca="false">'4'!G26</f>
        <v>165356.86</v>
      </c>
      <c r="AE27" s="208" t="n">
        <f aca="false">'5'!G26</f>
        <v>-19940.33</v>
      </c>
      <c r="AF27" s="208" t="n">
        <f aca="false">'6'!G26</f>
        <v>0</v>
      </c>
      <c r="AG27" s="208" t="n">
        <f aca="false">'7'!H26</f>
        <v>221407.78</v>
      </c>
      <c r="AH27" s="208" t="n">
        <f aca="false">'8'!H26</f>
        <v>0</v>
      </c>
      <c r="AI27" s="208" t="n">
        <f aca="false">'9'!H26</f>
        <v>0</v>
      </c>
      <c r="AJ27" s="208" t="n">
        <f aca="false">'10'!H26</f>
        <v>0</v>
      </c>
      <c r="AK27" s="208" t="n">
        <f aca="false">'11'!H26</f>
        <v>0</v>
      </c>
      <c r="AL27" s="208" t="n">
        <f aca="false">'12'!H26</f>
        <v>0</v>
      </c>
    </row>
    <row r="28" customFormat="false" ht="15" hidden="false" customHeight="true" outlineLevel="0" collapsed="false">
      <c r="A28" s="94" t="str">
        <f aca="false">'1'!C27</f>
        <v>MAX KONNARIS LTD</v>
      </c>
      <c r="B28" s="94" t="s">
        <v>231</v>
      </c>
      <c r="C28" s="208" t="n">
        <v>0</v>
      </c>
      <c r="D28" s="208" t="n">
        <v>23907.35</v>
      </c>
      <c r="E28" s="208" t="n">
        <v>38588.13</v>
      </c>
      <c r="F28" s="208" t="n">
        <v>0</v>
      </c>
      <c r="G28" s="208" t="n">
        <v>-0.48</v>
      </c>
      <c r="H28" s="208" t="n">
        <v>37671.79</v>
      </c>
      <c r="I28" s="208" t="n">
        <v>609.99</v>
      </c>
      <c r="J28" s="208" t="n">
        <v>41467.05</v>
      </c>
      <c r="K28" s="208" t="n">
        <v>0</v>
      </c>
      <c r="L28" s="208" t="n">
        <v>20724.08</v>
      </c>
      <c r="M28" s="208" t="n">
        <v>0</v>
      </c>
      <c r="N28" s="208" t="n">
        <v>0</v>
      </c>
      <c r="O28" s="208" t="n">
        <v>0</v>
      </c>
      <c r="P28" s="208" t="n">
        <v>0</v>
      </c>
      <c r="Q28" s="208" t="n">
        <v>0</v>
      </c>
      <c r="R28" s="208" t="n">
        <v>35240.62</v>
      </c>
      <c r="S28" s="208" t="n">
        <v>0</v>
      </c>
      <c r="T28" s="208" t="n">
        <v>0</v>
      </c>
      <c r="U28" s="208" t="n">
        <v>31010.8</v>
      </c>
      <c r="V28" s="208" t="n">
        <v>0</v>
      </c>
      <c r="W28" s="208" t="n">
        <v>0</v>
      </c>
      <c r="X28" s="208" t="n">
        <v>20604.23</v>
      </c>
      <c r="Y28" s="208" t="n">
        <v>0</v>
      </c>
      <c r="Z28" s="208" t="n">
        <v>0</v>
      </c>
      <c r="AA28" s="208" t="n">
        <f aca="false">'1'!G27</f>
        <v>0</v>
      </c>
      <c r="AB28" s="208" t="n">
        <f aca="false">'2'!G27</f>
        <v>42152.31</v>
      </c>
      <c r="AC28" s="208" t="n">
        <f aca="false">'3'!G27</f>
        <v>0</v>
      </c>
      <c r="AD28" s="208" t="n">
        <f aca="false">'4'!G27</f>
        <v>0</v>
      </c>
      <c r="AE28" s="208" t="n">
        <f aca="false">'5'!G27</f>
        <v>18541.7</v>
      </c>
      <c r="AF28" s="208" t="n">
        <f aca="false">'6'!G27</f>
        <v>0</v>
      </c>
      <c r="AG28" s="208" t="n">
        <f aca="false">'7'!H27</f>
        <v>0</v>
      </c>
      <c r="AH28" s="208" t="n">
        <f aca="false">'8'!H27</f>
        <v>0</v>
      </c>
      <c r="AI28" s="208" t="n">
        <f aca="false">'9'!H27</f>
        <v>0</v>
      </c>
      <c r="AJ28" s="208" t="n">
        <f aca="false">'10'!H27</f>
        <v>23809.14</v>
      </c>
      <c r="AK28" s="208" t="n">
        <f aca="false">'11'!H27</f>
        <v>0</v>
      </c>
      <c r="AL28" s="208" t="n">
        <f aca="false">'12'!H27</f>
        <v>0</v>
      </c>
    </row>
    <row r="29" customFormat="false" ht="15" hidden="false" customHeight="true" outlineLevel="0" collapsed="false">
      <c r="A29" s="94" t="str">
        <f aca="false">'1'!C28</f>
        <v>MEDIPAL COMPANY</v>
      </c>
      <c r="B29" s="94" t="s">
        <v>231</v>
      </c>
      <c r="C29" s="208" t="n">
        <v>0</v>
      </c>
      <c r="D29" s="208" t="n">
        <v>0</v>
      </c>
      <c r="E29" s="208" t="n">
        <v>171813.81</v>
      </c>
      <c r="F29" s="208" t="n">
        <v>0</v>
      </c>
      <c r="G29" s="208" t="n">
        <v>0</v>
      </c>
      <c r="H29" s="208" t="n">
        <v>0</v>
      </c>
      <c r="I29" s="208" t="n">
        <v>0</v>
      </c>
      <c r="J29" s="208" t="n">
        <v>0</v>
      </c>
      <c r="K29" s="208" t="n">
        <v>0</v>
      </c>
      <c r="L29" s="208" t="n">
        <v>0</v>
      </c>
      <c r="M29" s="208" t="n">
        <v>115405.87</v>
      </c>
      <c r="N29" s="208" t="n">
        <v>83394.96</v>
      </c>
      <c r="O29" s="208" t="n">
        <v>0</v>
      </c>
      <c r="P29" s="208" t="n">
        <v>0</v>
      </c>
      <c r="Q29" s="208" t="n">
        <v>0.22</v>
      </c>
      <c r="R29" s="208" t="n">
        <v>0</v>
      </c>
      <c r="S29" s="208" t="n">
        <v>0</v>
      </c>
      <c r="T29" s="208" t="n">
        <v>0</v>
      </c>
      <c r="U29" s="208" t="n">
        <v>0</v>
      </c>
      <c r="V29" s="208" t="n">
        <v>0</v>
      </c>
      <c r="W29" s="208" t="n">
        <v>0</v>
      </c>
      <c r="X29" s="208" t="n">
        <v>0</v>
      </c>
      <c r="Y29" s="208" t="n">
        <v>256771.88</v>
      </c>
      <c r="Z29" s="208" t="n">
        <v>0</v>
      </c>
      <c r="AA29" s="208" t="n">
        <f aca="false">'1'!G28</f>
        <v>0</v>
      </c>
      <c r="AB29" s="208" t="n">
        <f aca="false">'2'!G28</f>
        <v>0</v>
      </c>
      <c r="AC29" s="208" t="n">
        <f aca="false">'3'!G28</f>
        <v>0</v>
      </c>
      <c r="AD29" s="208" t="n">
        <f aca="false">'4'!G28</f>
        <v>0</v>
      </c>
      <c r="AE29" s="208" t="n">
        <f aca="false">'5'!G28</f>
        <v>0</v>
      </c>
      <c r="AF29" s="208" t="n">
        <f aca="false">'6'!G28</f>
        <v>0</v>
      </c>
      <c r="AG29" s="208" t="n">
        <f aca="false">'7'!H28</f>
        <v>0</v>
      </c>
      <c r="AH29" s="208" t="n">
        <f aca="false">'8'!H28</f>
        <v>0</v>
      </c>
      <c r="AI29" s="208" t="n">
        <f aca="false">'9'!H28</f>
        <v>0</v>
      </c>
      <c r="AJ29" s="208" t="n">
        <f aca="false">'10'!H28</f>
        <v>0</v>
      </c>
      <c r="AK29" s="208" t="n">
        <f aca="false">'11'!H28</f>
        <v>0</v>
      </c>
      <c r="AL29" s="208" t="n">
        <f aca="false">'12'!H28</f>
        <v>0</v>
      </c>
    </row>
    <row r="30" customFormat="false" ht="15" hidden="false" customHeight="true" outlineLevel="0" collapsed="false">
      <c r="A30" s="94" t="str">
        <f aca="false">'1'!C29</f>
        <v>ORTOPROFIL PROD. ROMANIA</v>
      </c>
      <c r="B30" s="94" t="s">
        <v>231</v>
      </c>
      <c r="C30" s="208" t="n">
        <v>0</v>
      </c>
      <c r="D30" s="208" t="n">
        <v>49906.61</v>
      </c>
      <c r="E30" s="208" t="n">
        <v>25514.68</v>
      </c>
      <c r="F30" s="208" t="n">
        <v>27828.48</v>
      </c>
      <c r="G30" s="208" t="n">
        <v>31259.76</v>
      </c>
      <c r="H30" s="208" t="n">
        <v>37331.12</v>
      </c>
      <c r="I30" s="208" t="n">
        <v>27604.14</v>
      </c>
      <c r="J30" s="208" t="n">
        <v>21966.81</v>
      </c>
      <c r="K30" s="208" t="n">
        <v>64828.58</v>
      </c>
      <c r="L30" s="208" t="n">
        <v>0</v>
      </c>
      <c r="M30" s="208" t="n">
        <v>62633.86</v>
      </c>
      <c r="N30" s="208" t="n">
        <v>0</v>
      </c>
      <c r="O30" s="208" t="n">
        <v>0</v>
      </c>
      <c r="P30" s="208" t="n">
        <v>49474.45</v>
      </c>
      <c r="Q30" s="208" t="n">
        <v>43871.72</v>
      </c>
      <c r="R30" s="208" t="n">
        <v>38170.88</v>
      </c>
      <c r="S30" s="208" t="n">
        <v>56732.32</v>
      </c>
      <c r="T30" s="208" t="n">
        <v>53.7</v>
      </c>
      <c r="U30" s="208" t="n">
        <v>56344.52</v>
      </c>
      <c r="V30" s="208" t="n">
        <v>26937.54</v>
      </c>
      <c r="W30" s="208" t="n">
        <v>27485.96</v>
      </c>
      <c r="X30" s="208" t="n">
        <v>36333.04</v>
      </c>
      <c r="Y30" s="208" t="n">
        <v>29107.59</v>
      </c>
      <c r="Z30" s="208" t="n">
        <v>41441.91</v>
      </c>
      <c r="AA30" s="208" t="n">
        <f aca="false">'1'!G29</f>
        <v>27429.74</v>
      </c>
      <c r="AB30" s="208" t="n">
        <f aca="false">'2'!G29</f>
        <v>24695.01</v>
      </c>
      <c r="AC30" s="208" t="n">
        <f aca="false">'3'!G29</f>
        <v>0</v>
      </c>
      <c r="AD30" s="208" t="n">
        <f aca="false">'4'!G29</f>
        <v>60931.15</v>
      </c>
      <c r="AE30" s="208" t="n">
        <f aca="false">'5'!G29</f>
        <v>33066.23</v>
      </c>
      <c r="AF30" s="208" t="n">
        <f aca="false">'6'!G29</f>
        <v>57084.96</v>
      </c>
      <c r="AG30" s="208" t="n">
        <f aca="false">'7'!H29</f>
        <v>41960.14</v>
      </c>
      <c r="AH30" s="208" t="n">
        <f aca="false">'8'!H29</f>
        <v>30237.69</v>
      </c>
      <c r="AI30" s="208" t="n">
        <f aca="false">'9'!H29</f>
        <v>25430.19</v>
      </c>
      <c r="AJ30" s="208" t="n">
        <f aca="false">'10'!H29</f>
        <v>0</v>
      </c>
      <c r="AK30" s="208" t="n">
        <f aca="false">'11'!H29</f>
        <v>0</v>
      </c>
      <c r="AL30" s="208" t="n">
        <f aca="false">'12'!H29</f>
        <v>0</v>
      </c>
    </row>
    <row r="31" customFormat="false" ht="15" hidden="false" customHeight="true" outlineLevel="0" collapsed="false">
      <c r="A31" s="94" t="str">
        <f aca="false">'1'!C30</f>
        <v>OY. EA. AB.</v>
      </c>
      <c r="B31" s="94" t="s">
        <v>231</v>
      </c>
      <c r="C31" s="208" t="n">
        <v>0</v>
      </c>
      <c r="D31" s="208" t="n">
        <v>0</v>
      </c>
      <c r="E31" s="208" t="n">
        <v>0</v>
      </c>
      <c r="F31" s="208" t="n">
        <v>49617.59</v>
      </c>
      <c r="G31" s="208" t="n">
        <v>0</v>
      </c>
      <c r="H31" s="208" t="n">
        <v>0</v>
      </c>
      <c r="I31" s="208" t="n">
        <v>0</v>
      </c>
      <c r="J31" s="208" t="n">
        <v>0</v>
      </c>
      <c r="K31" s="208" t="n">
        <v>54153.1</v>
      </c>
      <c r="L31" s="208" t="n">
        <v>3920.16</v>
      </c>
      <c r="M31" s="208" t="n">
        <v>0</v>
      </c>
      <c r="N31" s="208" t="n">
        <v>0</v>
      </c>
      <c r="O31" s="208" t="n">
        <v>0</v>
      </c>
      <c r="P31" s="208" t="n">
        <v>0</v>
      </c>
      <c r="Q31" s="208" t="n">
        <v>32010.18</v>
      </c>
      <c r="R31" s="208" t="n">
        <v>0</v>
      </c>
      <c r="S31" s="208" t="n">
        <v>0</v>
      </c>
      <c r="T31" s="208" t="n">
        <v>0</v>
      </c>
      <c r="U31" s="208" t="n">
        <v>0</v>
      </c>
      <c r="V31" s="208" t="n">
        <v>0</v>
      </c>
      <c r="W31" s="208" t="n">
        <v>0</v>
      </c>
      <c r="X31" s="208" t="n">
        <v>0</v>
      </c>
      <c r="Y31" s="208" t="n">
        <v>32544.41</v>
      </c>
      <c r="Z31" s="208" t="n">
        <v>0</v>
      </c>
      <c r="AA31" s="208" t="n">
        <f aca="false">'1'!G30</f>
        <v>0</v>
      </c>
      <c r="AB31" s="208" t="n">
        <f aca="false">'2'!G30</f>
        <v>0</v>
      </c>
      <c r="AC31" s="208" t="n">
        <f aca="false">'3'!G30</f>
        <v>0</v>
      </c>
      <c r="AD31" s="208" t="n">
        <f aca="false">'4'!G30</f>
        <v>0</v>
      </c>
      <c r="AE31" s="208" t="n">
        <f aca="false">'5'!G30</f>
        <v>43116.44</v>
      </c>
      <c r="AF31" s="208" t="n">
        <f aca="false">'6'!G30</f>
        <v>0</v>
      </c>
      <c r="AG31" s="208" t="n">
        <f aca="false">'7'!H30</f>
        <v>0</v>
      </c>
      <c r="AH31" s="208" t="n">
        <f aca="false">'8'!H30</f>
        <v>0</v>
      </c>
      <c r="AI31" s="208" t="n">
        <f aca="false">'9'!H30</f>
        <v>0</v>
      </c>
      <c r="AJ31" s="208" t="n">
        <f aca="false">'10'!H30</f>
        <v>0</v>
      </c>
      <c r="AK31" s="208" t="n">
        <f aca="false">'11'!H30</f>
        <v>0</v>
      </c>
      <c r="AL31" s="208" t="n">
        <f aca="false">'12'!H30</f>
        <v>0</v>
      </c>
    </row>
    <row r="32" customFormat="false" ht="15" hidden="false" customHeight="true" outlineLevel="0" collapsed="false">
      <c r="A32" s="94" t="str">
        <f aca="false">'1'!C31</f>
        <v>SEVEN GEAR</v>
      </c>
      <c r="B32" s="94" t="s">
        <v>231</v>
      </c>
      <c r="C32" s="208" t="n">
        <v>0</v>
      </c>
      <c r="D32" s="208" t="n">
        <v>0</v>
      </c>
      <c r="E32" s="208" t="n">
        <v>0</v>
      </c>
      <c r="F32" s="208" t="n">
        <v>20354.79</v>
      </c>
      <c r="G32" s="208" t="n">
        <v>0</v>
      </c>
      <c r="H32" s="208" t="n">
        <v>0</v>
      </c>
      <c r="I32" s="208" t="n">
        <v>0</v>
      </c>
      <c r="J32" s="208" t="n">
        <v>0</v>
      </c>
      <c r="K32" s="208" t="n">
        <v>20673.57</v>
      </c>
      <c r="L32" s="208" t="n">
        <v>0</v>
      </c>
      <c r="M32" s="208" t="n">
        <v>0</v>
      </c>
      <c r="N32" s="208" t="n">
        <v>0</v>
      </c>
      <c r="O32" s="208" t="n">
        <v>19897.57</v>
      </c>
      <c r="P32" s="208" t="n">
        <v>0</v>
      </c>
      <c r="Q32" s="208" t="n">
        <v>0</v>
      </c>
      <c r="R32" s="208" t="n">
        <v>0</v>
      </c>
      <c r="S32" s="208" t="n">
        <v>18835.73</v>
      </c>
      <c r="T32" s="208" t="n">
        <v>0</v>
      </c>
      <c r="U32" s="208" t="n">
        <v>0</v>
      </c>
      <c r="V32" s="208" t="n">
        <v>0</v>
      </c>
      <c r="W32" s="208" t="n">
        <v>0</v>
      </c>
      <c r="X32" s="208" t="n">
        <v>22174.82</v>
      </c>
      <c r="Y32" s="208" t="n">
        <v>0.08</v>
      </c>
      <c r="Z32" s="208" t="n">
        <v>0</v>
      </c>
      <c r="AA32" s="208" t="n">
        <f aca="false">'1'!G31</f>
        <v>0</v>
      </c>
      <c r="AB32" s="208" t="n">
        <f aca="false">'2'!G31</f>
        <v>0</v>
      </c>
      <c r="AC32" s="208" t="n">
        <f aca="false">'3'!G31</f>
        <v>0</v>
      </c>
      <c r="AD32" s="208" t="n">
        <f aca="false">'4'!G31</f>
        <v>17809.5</v>
      </c>
      <c r="AE32" s="208" t="n">
        <f aca="false">'5'!G31</f>
        <v>0</v>
      </c>
      <c r="AF32" s="208" t="n">
        <f aca="false">'6'!G31</f>
        <v>0</v>
      </c>
      <c r="AG32" s="208" t="n">
        <f aca="false">'7'!H31</f>
        <v>0</v>
      </c>
      <c r="AH32" s="208" t="n">
        <f aca="false">'8'!H31</f>
        <v>0</v>
      </c>
      <c r="AI32" s="208" t="n">
        <f aca="false">'9'!H31</f>
        <v>21590.63</v>
      </c>
      <c r="AJ32" s="208" t="n">
        <f aca="false">'10'!H31</f>
        <v>0</v>
      </c>
      <c r="AK32" s="208" t="n">
        <f aca="false">'11'!H31</f>
        <v>0</v>
      </c>
      <c r="AL32" s="208" t="n">
        <f aca="false">'12'!H31</f>
        <v>0</v>
      </c>
    </row>
    <row r="33" customFormat="false" ht="15" hidden="false" customHeight="true" outlineLevel="0" collapsed="false">
      <c r="A33" s="94" t="str">
        <f aca="false">'1'!C32</f>
        <v>PHARMAG LACHMAIR GES. MBH</v>
      </c>
      <c r="B33" s="94" t="s">
        <v>231</v>
      </c>
      <c r="C33" s="208" t="n">
        <v>0</v>
      </c>
      <c r="D33" s="208" t="n">
        <v>0</v>
      </c>
      <c r="E33" s="208" t="n">
        <v>0</v>
      </c>
      <c r="F33" s="208" t="n">
        <v>0</v>
      </c>
      <c r="G33" s="208" t="n">
        <v>0</v>
      </c>
      <c r="H33" s="208" t="n">
        <v>0</v>
      </c>
      <c r="I33" s="208" t="n">
        <v>0</v>
      </c>
      <c r="J33" s="208" t="n">
        <v>0</v>
      </c>
      <c r="K33" s="208" t="n">
        <v>31722.98</v>
      </c>
      <c r="L33" s="208" t="n">
        <v>0</v>
      </c>
      <c r="M33" s="208" t="n">
        <v>0</v>
      </c>
      <c r="N33" s="208" t="n">
        <v>0</v>
      </c>
      <c r="O33" s="208" t="n">
        <v>0</v>
      </c>
      <c r="P33" s="208" t="n">
        <v>0</v>
      </c>
      <c r="Q33" s="208" t="n">
        <v>16024.5</v>
      </c>
      <c r="R33" s="208" t="n">
        <v>0</v>
      </c>
      <c r="S33" s="208" t="n">
        <v>0</v>
      </c>
      <c r="T33" s="208" t="n">
        <v>0</v>
      </c>
      <c r="U33" s="208" t="n">
        <v>15559.58</v>
      </c>
      <c r="V33" s="208" t="n">
        <v>0</v>
      </c>
      <c r="W33" s="208" t="n">
        <v>50202.49</v>
      </c>
      <c r="X33" s="208" t="n">
        <v>0</v>
      </c>
      <c r="Y33" s="208" t="n">
        <v>0</v>
      </c>
      <c r="Z33" s="208" t="n">
        <v>0</v>
      </c>
      <c r="AA33" s="208" t="n">
        <f aca="false">'1'!G32</f>
        <v>0</v>
      </c>
      <c r="AB33" s="208" t="n">
        <f aca="false">'2'!G32</f>
        <v>0</v>
      </c>
      <c r="AC33" s="208" t="n">
        <f aca="false">'3'!G32</f>
        <v>0</v>
      </c>
      <c r="AD33" s="208" t="n">
        <f aca="false">'4'!G32</f>
        <v>0</v>
      </c>
      <c r="AE33" s="208" t="n">
        <f aca="false">'5'!G32</f>
        <v>0</v>
      </c>
      <c r="AF33" s="208" t="n">
        <f aca="false">'6'!G32</f>
        <v>0</v>
      </c>
      <c r="AG33" s="208" t="n">
        <f aca="false">'7'!H32</f>
        <v>0</v>
      </c>
      <c r="AH33" s="208" t="n">
        <f aca="false">'8'!H32</f>
        <v>10037.15</v>
      </c>
      <c r="AI33" s="208" t="n">
        <f aca="false">'9'!H32</f>
        <v>0</v>
      </c>
      <c r="AJ33" s="208" t="n">
        <f aca="false">'10'!H32</f>
        <v>0</v>
      </c>
      <c r="AK33" s="208" t="n">
        <f aca="false">'11'!H32</f>
        <v>0</v>
      </c>
      <c r="AL33" s="208" t="n">
        <f aca="false">'12'!H32</f>
        <v>0</v>
      </c>
    </row>
    <row r="34" customFormat="false" ht="15" hidden="false" customHeight="true" outlineLevel="0" collapsed="false">
      <c r="A34" s="94" t="str">
        <f aca="false">'1'!C33</f>
        <v>REMEDICARE B.V.</v>
      </c>
      <c r="B34" s="94" t="s">
        <v>231</v>
      </c>
      <c r="C34" s="208" t="n">
        <v>0</v>
      </c>
      <c r="D34" s="208" t="n">
        <v>0</v>
      </c>
      <c r="E34" s="208" t="n">
        <v>0</v>
      </c>
      <c r="F34" s="208" t="n">
        <v>0</v>
      </c>
      <c r="G34" s="208" t="n">
        <v>0</v>
      </c>
      <c r="H34" s="208" t="n">
        <v>0</v>
      </c>
      <c r="I34" s="208" t="n">
        <v>0</v>
      </c>
      <c r="J34" s="208" t="n">
        <v>0</v>
      </c>
      <c r="K34" s="208" t="n">
        <v>0</v>
      </c>
      <c r="L34" s="208" t="n">
        <v>0</v>
      </c>
      <c r="M34" s="208" t="n">
        <v>0</v>
      </c>
      <c r="N34" s="208" t="n">
        <v>0</v>
      </c>
      <c r="O34" s="208" t="n">
        <v>0</v>
      </c>
      <c r="P34" s="208" t="n">
        <v>0</v>
      </c>
      <c r="Q34" s="208" t="n">
        <v>0</v>
      </c>
      <c r="R34" s="208" t="n">
        <v>0</v>
      </c>
      <c r="S34" s="208" t="n">
        <v>0</v>
      </c>
      <c r="T34" s="208" t="n">
        <v>0</v>
      </c>
      <c r="U34" s="208" t="n">
        <v>0</v>
      </c>
      <c r="V34" s="208" t="n">
        <v>0</v>
      </c>
      <c r="W34" s="208" t="n">
        <v>0</v>
      </c>
      <c r="X34" s="208" t="n">
        <v>0</v>
      </c>
      <c r="Y34" s="208" t="n">
        <v>0</v>
      </c>
      <c r="Z34" s="208" t="n">
        <v>0</v>
      </c>
      <c r="AA34" s="208" t="n">
        <f aca="false">'1'!G33</f>
        <v>0</v>
      </c>
      <c r="AB34" s="208" t="n">
        <f aca="false">'2'!G33</f>
        <v>0</v>
      </c>
      <c r="AC34" s="208" t="n">
        <f aca="false">'3'!G33</f>
        <v>0</v>
      </c>
      <c r="AD34" s="208" t="n">
        <f aca="false">'4'!G33</f>
        <v>0</v>
      </c>
      <c r="AE34" s="208" t="n">
        <f aca="false">'5'!G33</f>
        <v>0</v>
      </c>
      <c r="AF34" s="208" t="n">
        <f aca="false">'6'!G33</f>
        <v>0</v>
      </c>
      <c r="AG34" s="208" t="n">
        <f aca="false">'7'!H33</f>
        <v>0</v>
      </c>
      <c r="AH34" s="208" t="n">
        <f aca="false">'8'!H33</f>
        <v>0</v>
      </c>
      <c r="AI34" s="208" t="n">
        <f aca="false">'9'!H33</f>
        <v>0</v>
      </c>
      <c r="AJ34" s="208" t="n">
        <f aca="false">'10'!H33</f>
        <v>0</v>
      </c>
      <c r="AK34" s="208" t="n">
        <f aca="false">'11'!H33</f>
        <v>0</v>
      </c>
      <c r="AL34" s="208" t="n">
        <f aca="false">'12'!H33</f>
        <v>0</v>
      </c>
    </row>
    <row r="35" customFormat="false" ht="15" hidden="false" customHeight="true" outlineLevel="0" collapsed="false">
      <c r="A35" s="94" t="str">
        <f aca="false">'1'!C34</f>
        <v>E.F.M.O.</v>
      </c>
      <c r="B35" s="94" t="s">
        <v>231</v>
      </c>
      <c r="C35" s="208" t="n">
        <v>20732.48</v>
      </c>
      <c r="D35" s="208" t="n">
        <v>19941.82</v>
      </c>
      <c r="E35" s="208" t="n">
        <v>-20732.48</v>
      </c>
      <c r="F35" s="208" t="n">
        <v>0</v>
      </c>
      <c r="G35" s="208" t="n">
        <v>0</v>
      </c>
      <c r="H35" s="208" t="n">
        <v>0</v>
      </c>
      <c r="I35" s="208" t="n">
        <v>13897.42</v>
      </c>
      <c r="J35" s="208" t="n">
        <v>0</v>
      </c>
      <c r="K35" s="208" t="n">
        <v>1987.54</v>
      </c>
      <c r="L35" s="208" t="n">
        <v>0</v>
      </c>
      <c r="M35" s="208" t="n">
        <v>0</v>
      </c>
      <c r="N35" s="208" t="n">
        <v>0</v>
      </c>
      <c r="O35" s="208" t="n">
        <v>19111.37</v>
      </c>
      <c r="P35" s="208" t="n">
        <v>1584.32</v>
      </c>
      <c r="Q35" s="208" t="n">
        <v>0</v>
      </c>
      <c r="R35" s="208" t="n">
        <v>0</v>
      </c>
      <c r="S35" s="208" t="n">
        <v>19017.88</v>
      </c>
      <c r="T35" s="208" t="n">
        <v>0</v>
      </c>
      <c r="U35" s="208" t="n">
        <v>0</v>
      </c>
      <c r="V35" s="208" t="n">
        <v>0</v>
      </c>
      <c r="W35" s="208" t="n">
        <v>0</v>
      </c>
      <c r="X35" s="208" t="n">
        <v>0</v>
      </c>
      <c r="Y35" s="208" t="n">
        <v>0</v>
      </c>
      <c r="Z35" s="208" t="n">
        <v>0</v>
      </c>
      <c r="AA35" s="208" t="n">
        <f aca="false">'1'!G34</f>
        <v>18792.66</v>
      </c>
      <c r="AB35" s="208" t="n">
        <f aca="false">'2'!G34</f>
        <v>0</v>
      </c>
      <c r="AC35" s="208" t="n">
        <f aca="false">'3'!G34</f>
        <v>0</v>
      </c>
      <c r="AD35" s="208" t="n">
        <f aca="false">'4'!G34</f>
        <v>0</v>
      </c>
      <c r="AE35" s="208" t="n">
        <f aca="false">'5'!G34</f>
        <v>0</v>
      </c>
      <c r="AF35" s="208" t="n">
        <f aca="false">'6'!G34</f>
        <v>0</v>
      </c>
      <c r="AG35" s="208" t="n">
        <f aca="false">'7'!H34</f>
        <v>0</v>
      </c>
      <c r="AH35" s="208" t="n">
        <f aca="false">'8'!H34</f>
        <v>18350.05</v>
      </c>
      <c r="AI35" s="208" t="n">
        <f aca="false">'9'!H34</f>
        <v>0</v>
      </c>
      <c r="AJ35" s="208" t="n">
        <f aca="false">'10'!H34</f>
        <v>0</v>
      </c>
      <c r="AK35" s="208" t="n">
        <f aca="false">'11'!H34</f>
        <v>0</v>
      </c>
      <c r="AL35" s="208" t="n">
        <f aca="false">'12'!H34</f>
        <v>0</v>
      </c>
    </row>
    <row r="36" customFormat="false" ht="15" hidden="false" customHeight="true" outlineLevel="0" collapsed="false">
      <c r="A36" s="94" t="str">
        <f aca="false">'1'!C35</f>
        <v>ALFRED GERA</v>
      </c>
      <c r="B36" s="94" t="s">
        <v>231</v>
      </c>
      <c r="C36" s="208" t="n">
        <v>0</v>
      </c>
      <c r="D36" s="208" t="n">
        <v>34034.18</v>
      </c>
      <c r="E36" s="208" t="n">
        <v>0</v>
      </c>
      <c r="F36" s="208" t="n">
        <v>0</v>
      </c>
      <c r="G36" s="208" t="n">
        <v>0</v>
      </c>
      <c r="H36" s="208" t="n">
        <v>0</v>
      </c>
      <c r="I36" s="208" t="n">
        <v>0</v>
      </c>
      <c r="J36" s="208" t="n">
        <v>25140.85</v>
      </c>
      <c r="K36" s="208" t="n">
        <v>0</v>
      </c>
      <c r="L36" s="208" t="n">
        <v>0</v>
      </c>
      <c r="M36" s="208" t="n">
        <v>0</v>
      </c>
      <c r="N36" s="208" t="n">
        <v>0</v>
      </c>
      <c r="O36" s="208" t="n">
        <v>0</v>
      </c>
      <c r="P36" s="208" t="n">
        <v>0</v>
      </c>
      <c r="Q36" s="208" t="n">
        <v>0</v>
      </c>
      <c r="R36" s="208" t="n">
        <v>0</v>
      </c>
      <c r="S36" s="208" t="n">
        <v>30531.53</v>
      </c>
      <c r="T36" s="208" t="n">
        <v>0</v>
      </c>
      <c r="U36" s="208" t="n">
        <v>0</v>
      </c>
      <c r="V36" s="208" t="n">
        <v>0</v>
      </c>
      <c r="W36" s="208" t="n">
        <v>0</v>
      </c>
      <c r="X36" s="208" t="n">
        <v>0</v>
      </c>
      <c r="Y36" s="208" t="n">
        <v>23331.65</v>
      </c>
      <c r="Z36" s="208" t="n">
        <v>0</v>
      </c>
      <c r="AA36" s="208" t="n">
        <f aca="false">'1'!G35</f>
        <v>0</v>
      </c>
      <c r="AB36" s="208" t="n">
        <f aca="false">'2'!G35</f>
        <v>0</v>
      </c>
      <c r="AC36" s="208" t="n">
        <f aca="false">'3'!G35</f>
        <v>0</v>
      </c>
      <c r="AD36" s="208" t="n">
        <f aca="false">'4'!G35</f>
        <v>0</v>
      </c>
      <c r="AE36" s="208" t="n">
        <f aca="false">'5'!G35</f>
        <v>0</v>
      </c>
      <c r="AF36" s="208" t="n">
        <f aca="false">'6'!G35</f>
        <v>0</v>
      </c>
      <c r="AG36" s="208" t="n">
        <f aca="false">'7'!H35</f>
        <v>0</v>
      </c>
      <c r="AH36" s="208" t="n">
        <f aca="false">'8'!H35</f>
        <v>26105.72</v>
      </c>
      <c r="AI36" s="208" t="n">
        <f aca="false">'9'!H35</f>
        <v>0</v>
      </c>
      <c r="AJ36" s="208" t="n">
        <f aca="false">'10'!H35</f>
        <v>0</v>
      </c>
      <c r="AK36" s="208" t="n">
        <f aca="false">'11'!H35</f>
        <v>0</v>
      </c>
      <c r="AL36" s="208" t="n">
        <f aca="false">'12'!H35</f>
        <v>0</v>
      </c>
    </row>
    <row r="37" customFormat="false" ht="15" hidden="false" customHeight="true" outlineLevel="0" collapsed="false">
      <c r="A37" s="94" t="str">
        <f aca="false">'1'!C36</f>
        <v>QUADRIFOGLIO MEDICAL</v>
      </c>
      <c r="B37" s="94" t="s">
        <v>231</v>
      </c>
      <c r="C37" s="208" t="n">
        <v>0</v>
      </c>
      <c r="D37" s="208" t="n">
        <v>0</v>
      </c>
      <c r="E37" s="208" t="n">
        <v>0</v>
      </c>
      <c r="F37" s="208" t="n">
        <v>41531.96</v>
      </c>
      <c r="G37" s="208" t="n">
        <v>0</v>
      </c>
      <c r="H37" s="208" t="n">
        <v>0</v>
      </c>
      <c r="I37" s="208" t="n">
        <v>0</v>
      </c>
      <c r="J37" s="208" t="n">
        <v>0</v>
      </c>
      <c r="K37" s="208" t="n">
        <v>0</v>
      </c>
      <c r="L37" s="208" t="n">
        <v>0</v>
      </c>
      <c r="M37" s="208" t="n">
        <v>0</v>
      </c>
      <c r="N37" s="208" t="n">
        <v>0</v>
      </c>
      <c r="O37" s="208" t="n">
        <v>0</v>
      </c>
      <c r="P37" s="208" t="n">
        <v>0</v>
      </c>
      <c r="Q37" s="208" t="n">
        <v>0</v>
      </c>
      <c r="R37" s="208" t="n">
        <v>0</v>
      </c>
      <c r="S37" s="208" t="n">
        <v>0</v>
      </c>
      <c r="T37" s="208" t="n">
        <v>0</v>
      </c>
      <c r="U37" s="208" t="n">
        <v>0</v>
      </c>
      <c r="V37" s="208" t="n">
        <v>0</v>
      </c>
      <c r="W37" s="208" t="n">
        <v>0</v>
      </c>
      <c r="X37" s="208" t="n">
        <v>0</v>
      </c>
      <c r="Y37" s="208" t="n">
        <v>0</v>
      </c>
      <c r="Z37" s="208" t="n">
        <v>0</v>
      </c>
      <c r="AA37" s="208" t="n">
        <f aca="false">'1'!G36</f>
        <v>0</v>
      </c>
      <c r="AB37" s="208" t="n">
        <f aca="false">'2'!G36</f>
        <v>0</v>
      </c>
      <c r="AC37" s="208" t="n">
        <f aca="false">'3'!G36</f>
        <v>0</v>
      </c>
      <c r="AD37" s="208" t="n">
        <f aca="false">'4'!G36</f>
        <v>0</v>
      </c>
      <c r="AE37" s="208" t="n">
        <f aca="false">'5'!G36</f>
        <v>0</v>
      </c>
      <c r="AF37" s="208" t="n">
        <f aca="false">'6'!G36</f>
        <v>0</v>
      </c>
      <c r="AG37" s="208" t="n">
        <f aca="false">'7'!H36</f>
        <v>0</v>
      </c>
      <c r="AH37" s="208" t="n">
        <f aca="false">'8'!H36</f>
        <v>0</v>
      </c>
      <c r="AI37" s="208" t="n">
        <f aca="false">'9'!H36</f>
        <v>0</v>
      </c>
      <c r="AJ37" s="208" t="n">
        <f aca="false">'10'!H36</f>
        <v>0</v>
      </c>
      <c r="AK37" s="208" t="n">
        <f aca="false">'11'!H36</f>
        <v>0</v>
      </c>
      <c r="AL37" s="208" t="n">
        <f aca="false">'12'!H36</f>
        <v>0</v>
      </c>
    </row>
    <row r="38" customFormat="false" ht="15" hidden="false" customHeight="true" outlineLevel="0" collapsed="false">
      <c r="A38" s="94" t="str">
        <f aca="false">'1'!C37</f>
        <v>YOUNG IN HEALTHCARE CO.,</v>
      </c>
      <c r="B38" s="94" t="s">
        <v>231</v>
      </c>
      <c r="C38" s="208" t="n">
        <v>0</v>
      </c>
      <c r="D38" s="208" t="n">
        <v>0</v>
      </c>
      <c r="E38" s="208" t="n">
        <v>0</v>
      </c>
      <c r="F38" s="208" t="n">
        <v>0</v>
      </c>
      <c r="G38" s="208" t="n">
        <v>0</v>
      </c>
      <c r="H38" s="208" t="n">
        <v>22310.96</v>
      </c>
      <c r="I38" s="208" t="n">
        <v>0</v>
      </c>
      <c r="J38" s="208" t="n">
        <v>0</v>
      </c>
      <c r="K38" s="208" t="n">
        <v>0</v>
      </c>
      <c r="L38" s="208" t="n">
        <v>0</v>
      </c>
      <c r="M38" s="208" t="n">
        <v>0</v>
      </c>
      <c r="N38" s="208" t="n">
        <v>0</v>
      </c>
      <c r="O38" s="208" t="n">
        <v>0</v>
      </c>
      <c r="P38" s="208" t="n">
        <v>0</v>
      </c>
      <c r="Q38" s="208" t="n">
        <v>0</v>
      </c>
      <c r="R38" s="208" t="n">
        <v>0</v>
      </c>
      <c r="S38" s="208" t="n">
        <v>0</v>
      </c>
      <c r="T38" s="208" t="n">
        <v>0</v>
      </c>
      <c r="U38" s="208" t="n">
        <v>0</v>
      </c>
      <c r="V38" s="208" t="n">
        <v>0</v>
      </c>
      <c r="W38" s="208" t="n">
        <v>0</v>
      </c>
      <c r="X38" s="208" t="n">
        <v>0</v>
      </c>
      <c r="Y38" s="208" t="n">
        <v>0</v>
      </c>
      <c r="Z38" s="208" t="n">
        <v>0</v>
      </c>
      <c r="AA38" s="208" t="n">
        <f aca="false">'1'!G37</f>
        <v>0</v>
      </c>
      <c r="AB38" s="208" t="n">
        <f aca="false">'2'!G37</f>
        <v>0</v>
      </c>
      <c r="AC38" s="208" t="n">
        <f aca="false">'3'!G37</f>
        <v>0</v>
      </c>
      <c r="AD38" s="208" t="n">
        <f aca="false">'4'!G37</f>
        <v>0</v>
      </c>
      <c r="AE38" s="208" t="n">
        <f aca="false">'5'!G37</f>
        <v>0</v>
      </c>
      <c r="AF38" s="208" t="n">
        <f aca="false">'6'!G37</f>
        <v>0</v>
      </c>
      <c r="AG38" s="208" t="n">
        <f aca="false">'7'!H37</f>
        <v>0</v>
      </c>
      <c r="AH38" s="208" t="n">
        <f aca="false">'8'!H37</f>
        <v>0</v>
      </c>
      <c r="AI38" s="208" t="n">
        <f aca="false">'9'!H37</f>
        <v>0</v>
      </c>
      <c r="AJ38" s="208" t="n">
        <f aca="false">'10'!H37</f>
        <v>0</v>
      </c>
      <c r="AK38" s="208" t="n">
        <f aca="false">'11'!H37</f>
        <v>0</v>
      </c>
      <c r="AL38" s="208" t="n">
        <f aca="false">'12'!H37</f>
        <v>0</v>
      </c>
    </row>
    <row r="39" customFormat="false" ht="15" hidden="false" customHeight="true" outlineLevel="0" collapsed="false">
      <c r="A39" s="94" t="str">
        <f aca="false">'1'!C38</f>
        <v>HANS</v>
      </c>
      <c r="B39" s="94" t="s">
        <v>231</v>
      </c>
      <c r="C39" s="208" t="n">
        <v>0</v>
      </c>
      <c r="D39" s="208" t="n">
        <v>0</v>
      </c>
      <c r="E39" s="208" t="n">
        <v>0</v>
      </c>
      <c r="F39" s="208" t="n">
        <v>0</v>
      </c>
      <c r="G39" s="208" t="n">
        <v>0</v>
      </c>
      <c r="H39" s="208" t="n">
        <v>0</v>
      </c>
      <c r="I39" s="208" t="n">
        <v>0</v>
      </c>
      <c r="J39" s="208" t="n">
        <v>0</v>
      </c>
      <c r="K39" s="208" t="n">
        <v>-1.37</v>
      </c>
      <c r="L39" s="208" t="n">
        <v>0</v>
      </c>
      <c r="M39" s="208" t="n">
        <v>0</v>
      </c>
      <c r="N39" s="208" t="n">
        <v>161576.19</v>
      </c>
      <c r="O39" s="208" t="n">
        <v>0</v>
      </c>
      <c r="P39" s="208" t="n">
        <v>0</v>
      </c>
      <c r="Q39" s="208" t="n">
        <v>0</v>
      </c>
      <c r="R39" s="208" t="n">
        <v>0</v>
      </c>
      <c r="S39" s="208" t="n">
        <v>248.59</v>
      </c>
      <c r="T39" s="208" t="n">
        <v>0</v>
      </c>
      <c r="U39" s="208" t="n">
        <v>0</v>
      </c>
      <c r="V39" s="208" t="n">
        <v>0</v>
      </c>
      <c r="W39" s="208" t="n">
        <v>0</v>
      </c>
      <c r="X39" s="208" t="n">
        <v>0</v>
      </c>
      <c r="Y39" s="208" t="n">
        <v>0</v>
      </c>
      <c r="Z39" s="208" t="n">
        <v>0</v>
      </c>
      <c r="AA39" s="208" t="n">
        <f aca="false">'1'!G38</f>
        <v>0</v>
      </c>
      <c r="AB39" s="208" t="n">
        <f aca="false">'2'!G38</f>
        <v>0</v>
      </c>
      <c r="AC39" s="208" t="n">
        <f aca="false">'3'!G38</f>
        <v>0</v>
      </c>
      <c r="AD39" s="208" t="n">
        <f aca="false">'4'!G38</f>
        <v>0</v>
      </c>
      <c r="AE39" s="208" t="n">
        <f aca="false">'5'!G38</f>
        <v>0</v>
      </c>
      <c r="AF39" s="208" t="n">
        <f aca="false">'6'!G38</f>
        <v>0</v>
      </c>
      <c r="AG39" s="208" t="n">
        <f aca="false">'7'!H38</f>
        <v>0</v>
      </c>
      <c r="AH39" s="208" t="n">
        <f aca="false">'8'!H38</f>
        <v>0</v>
      </c>
      <c r="AI39" s="208" t="n">
        <f aca="false">'9'!H38</f>
        <v>0</v>
      </c>
      <c r="AJ39" s="208" t="n">
        <f aca="false">'10'!H38</f>
        <v>0</v>
      </c>
      <c r="AK39" s="208" t="n">
        <f aca="false">'11'!H38</f>
        <v>0</v>
      </c>
      <c r="AL39" s="208" t="n">
        <f aca="false">'12'!H38</f>
        <v>0</v>
      </c>
    </row>
    <row r="40" customFormat="false" ht="15" hidden="false" customHeight="true" outlineLevel="0" collapsed="false">
      <c r="A40" s="94" t="str">
        <f aca="false">'1'!C39</f>
        <v>NEW DISTRIBUTORS</v>
      </c>
      <c r="B40" s="94" t="s">
        <v>231</v>
      </c>
      <c r="C40" s="208" t="n">
        <v>0</v>
      </c>
      <c r="D40" s="208" t="n">
        <v>0</v>
      </c>
      <c r="E40" s="208" t="n">
        <v>0</v>
      </c>
      <c r="F40" s="208" t="n">
        <v>0</v>
      </c>
      <c r="G40" s="208" t="n">
        <v>0</v>
      </c>
      <c r="H40" s="208" t="n">
        <v>0</v>
      </c>
      <c r="I40" s="208" t="n">
        <v>0</v>
      </c>
      <c r="J40" s="208" t="n">
        <v>0</v>
      </c>
      <c r="K40" s="208" t="n">
        <v>0</v>
      </c>
      <c r="L40" s="208" t="n">
        <v>0</v>
      </c>
      <c r="M40" s="208" t="n">
        <v>0</v>
      </c>
      <c r="N40" s="208" t="n">
        <v>0</v>
      </c>
      <c r="O40" s="208" t="n">
        <v>0</v>
      </c>
      <c r="P40" s="208" t="n">
        <v>0</v>
      </c>
      <c r="Q40" s="208" t="n">
        <v>0</v>
      </c>
      <c r="R40" s="208" t="n">
        <v>0</v>
      </c>
      <c r="S40" s="208" t="n">
        <v>0</v>
      </c>
      <c r="T40" s="208" t="n">
        <v>0</v>
      </c>
      <c r="U40" s="208" t="n">
        <v>0</v>
      </c>
      <c r="V40" s="208" t="n">
        <v>0</v>
      </c>
      <c r="W40" s="208" t="n">
        <v>0</v>
      </c>
      <c r="X40" s="208" t="n">
        <v>0</v>
      </c>
      <c r="Y40" s="208" t="n">
        <v>0</v>
      </c>
      <c r="Z40" s="208" t="n">
        <v>0</v>
      </c>
      <c r="AA40" s="208" t="n">
        <f aca="false">'1'!G39</f>
        <v>0</v>
      </c>
      <c r="AB40" s="208" t="n">
        <f aca="false">'2'!G39</f>
        <v>0</v>
      </c>
      <c r="AC40" s="208" t="n">
        <f aca="false">'3'!G39</f>
        <v>0</v>
      </c>
      <c r="AD40" s="208" t="n">
        <f aca="false">'4'!G39</f>
        <v>0</v>
      </c>
      <c r="AE40" s="208" t="n">
        <f aca="false">'5'!G39</f>
        <v>0</v>
      </c>
      <c r="AF40" s="208" t="n">
        <f aca="false">'6'!G39</f>
        <v>0</v>
      </c>
      <c r="AG40" s="208" t="n">
        <f aca="false">'7'!H39</f>
        <v>0</v>
      </c>
      <c r="AH40" s="208" t="n">
        <f aca="false">'8'!H39</f>
        <v>0</v>
      </c>
      <c r="AI40" s="208" t="n">
        <f aca="false">'9'!H39</f>
        <v>0</v>
      </c>
      <c r="AJ40" s="208" t="n">
        <f aca="false">'10'!H39</f>
        <v>0</v>
      </c>
      <c r="AK40" s="208" t="n">
        <f aca="false">'11'!H39</f>
        <v>0</v>
      </c>
      <c r="AL40" s="208" t="n">
        <f aca="false">'12'!H39</f>
        <v>0</v>
      </c>
    </row>
    <row r="41" customFormat="false" ht="15" hidden="false" customHeight="true" outlineLevel="0" collapsed="false">
      <c r="A41" s="94" t="str">
        <f aca="false">'1'!C51</f>
        <v>BAKU</v>
      </c>
      <c r="B41" s="94" t="s">
        <v>231</v>
      </c>
      <c r="C41" s="208" t="n">
        <v>0</v>
      </c>
      <c r="D41" s="208" t="n">
        <v>0</v>
      </c>
      <c r="E41" s="208" t="n">
        <v>0</v>
      </c>
      <c r="F41" s="208" t="n">
        <v>0</v>
      </c>
      <c r="G41" s="208" t="n">
        <v>0</v>
      </c>
      <c r="H41" s="208" t="n">
        <v>0</v>
      </c>
      <c r="I41" s="208" t="n">
        <v>0</v>
      </c>
      <c r="J41" s="208" t="n">
        <v>0</v>
      </c>
      <c r="K41" s="208" t="n">
        <v>0</v>
      </c>
      <c r="L41" s="208" t="n">
        <v>0</v>
      </c>
      <c r="M41" s="208" t="n">
        <v>0</v>
      </c>
      <c r="N41" s="208" t="n">
        <v>0</v>
      </c>
      <c r="O41" s="208" t="n">
        <v>0</v>
      </c>
      <c r="P41" s="208" t="n">
        <v>0</v>
      </c>
      <c r="Q41" s="208" t="n">
        <v>0</v>
      </c>
      <c r="R41" s="208" t="n">
        <v>0</v>
      </c>
      <c r="S41" s="208" t="n">
        <v>0</v>
      </c>
      <c r="T41" s="208" t="n">
        <v>0</v>
      </c>
      <c r="U41" s="208" t="n">
        <v>0</v>
      </c>
      <c r="V41" s="208" t="n">
        <v>0</v>
      </c>
      <c r="W41" s="208" t="n">
        <v>0</v>
      </c>
      <c r="X41" s="208" t="n">
        <v>0</v>
      </c>
      <c r="Y41" s="208" t="n">
        <v>0</v>
      </c>
      <c r="Z41" s="208" t="n">
        <v>0</v>
      </c>
      <c r="AA41" s="208" t="n">
        <f aca="false">'1'!G51</f>
        <v>0</v>
      </c>
      <c r="AB41" s="208" t="n">
        <f aca="false">'2'!G51</f>
        <v>0</v>
      </c>
      <c r="AC41" s="208" t="n">
        <f aca="false">'3'!G51</f>
        <v>0</v>
      </c>
      <c r="AD41" s="208" t="n">
        <f aca="false">'4'!G51</f>
        <v>0</v>
      </c>
      <c r="AE41" s="208" t="n">
        <f aca="false">'5'!G51</f>
        <v>0</v>
      </c>
      <c r="AF41" s="208" t="n">
        <f aca="false">'6'!G51</f>
        <v>0</v>
      </c>
      <c r="AG41" s="208" t="n">
        <f aca="false">'7'!H51</f>
        <v>0</v>
      </c>
      <c r="AH41" s="208" t="n">
        <f aca="false">'8'!H51</f>
        <v>0</v>
      </c>
      <c r="AI41" s="208" t="n">
        <f aca="false">'9'!H51</f>
        <v>0</v>
      </c>
      <c r="AJ41" s="208" t="n">
        <f aca="false">'10'!H51</f>
        <v>0</v>
      </c>
      <c r="AK41" s="208" t="n">
        <f aca="false">'11'!H51</f>
        <v>0</v>
      </c>
      <c r="AL41" s="208" t="n">
        <f aca="false">'12'!H51</f>
        <v>0</v>
      </c>
    </row>
    <row r="42" customFormat="false" ht="15" hidden="false" customHeight="true" outlineLevel="0" collapsed="false">
      <c r="A42" s="94" t="str">
        <f aca="false">'1'!C52</f>
        <v>MEXICO</v>
      </c>
      <c r="B42" s="94" t="s">
        <v>231</v>
      </c>
      <c r="C42" s="208" t="n">
        <v>0</v>
      </c>
      <c r="D42" s="208" t="n">
        <v>0</v>
      </c>
      <c r="E42" s="208" t="n">
        <v>0</v>
      </c>
      <c r="F42" s="208" t="n">
        <v>0</v>
      </c>
      <c r="G42" s="208" t="n">
        <v>0</v>
      </c>
      <c r="H42" s="208" t="n">
        <v>0</v>
      </c>
      <c r="I42" s="208" t="n">
        <v>0</v>
      </c>
      <c r="J42" s="208" t="n">
        <v>0</v>
      </c>
      <c r="K42" s="208" t="n">
        <v>0</v>
      </c>
      <c r="L42" s="208" t="n">
        <v>0</v>
      </c>
      <c r="M42" s="208" t="n">
        <v>0</v>
      </c>
      <c r="N42" s="208" t="n">
        <v>0</v>
      </c>
      <c r="O42" s="208" t="n">
        <v>0</v>
      </c>
      <c r="P42" s="208" t="n">
        <v>0</v>
      </c>
      <c r="Q42" s="208" t="n">
        <v>0</v>
      </c>
      <c r="R42" s="208" t="n">
        <v>0</v>
      </c>
      <c r="S42" s="208" t="n">
        <v>0</v>
      </c>
      <c r="T42" s="208" t="n">
        <v>0</v>
      </c>
      <c r="U42" s="208" t="n">
        <v>0</v>
      </c>
      <c r="V42" s="208" t="n">
        <v>0</v>
      </c>
      <c r="W42" s="208" t="n">
        <v>0</v>
      </c>
      <c r="X42" s="208" t="n">
        <v>0</v>
      </c>
      <c r="Y42" s="208" t="n">
        <v>0</v>
      </c>
      <c r="Z42" s="208" t="n">
        <v>0</v>
      </c>
      <c r="AA42" s="208" t="n">
        <f aca="false">'1'!G52</f>
        <v>0</v>
      </c>
      <c r="AB42" s="208" t="n">
        <f aca="false">'2'!G52</f>
        <v>0</v>
      </c>
      <c r="AC42" s="208" t="n">
        <f aca="false">'3'!G52</f>
        <v>0</v>
      </c>
      <c r="AD42" s="208" t="n">
        <f aca="false">'4'!G52</f>
        <v>0</v>
      </c>
      <c r="AE42" s="208" t="n">
        <f aca="false">'5'!G52</f>
        <v>0</v>
      </c>
      <c r="AF42" s="208" t="n">
        <f aca="false">'6'!G52</f>
        <v>0</v>
      </c>
      <c r="AG42" s="208" t="n">
        <f aca="false">'7'!H52</f>
        <v>0</v>
      </c>
      <c r="AH42" s="208" t="n">
        <f aca="false">'8'!H52</f>
        <v>0</v>
      </c>
      <c r="AI42" s="208" t="n">
        <f aca="false">'9'!H52</f>
        <v>0</v>
      </c>
      <c r="AJ42" s="208" t="n">
        <f aca="false">'10'!H52</f>
        <v>0</v>
      </c>
      <c r="AK42" s="208" t="n">
        <f aca="false">'11'!H52</f>
        <v>0</v>
      </c>
      <c r="AL42" s="208" t="n">
        <f aca="false">'12'!H52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2022-03-30T16:49:06Z</dcterms:created>
  <dc:creator>Isa</dc:creator>
  <dc:description/>
  <dc:language>en-US</dc:language>
  <cp:lastModifiedBy>Eyal Sadot</cp:lastModifiedBy>
  <cp:lastPrinted>2024-01-31T11:32:33Z</cp:lastPrinted>
  <dcterms:modified xsi:type="dcterms:W3CDTF">2026-10-07T05:50:58Z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