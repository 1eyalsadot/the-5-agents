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Catalog" sheetId="1" state="visible" r:id="rId3"/>
    <sheet name="Price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<sst xmlns="http://schemas.openxmlformats.org/spreadsheetml/2006/main" count="50" uniqueCount="43">
  <si>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URIEL — Selected Commercial Products (6-item catalog)</t>
  </si>
  <si>
    <t xml:space="preserve">6 products  |  5 categories  |  Prepared: 18/10/26</t>
  </si>
  <si>
    <t xml:space="preserve">Image</t>
  </si>
  <si>
    <t xml:space="preserve">SKU</t>
  </si>
  <si>
    <t xml:space="preserve">Product Name</t>
  </si>
  <si>
    <t xml:space="preserve">Price</t>
  </si>
  <si>
    <t xml:space="preserve">Meta</t>
  </si>
  <si>
    <t xml:space="preserve">fin</t>
  </si>
  <si>
    <t xml:space="preserve">NZ</t>
  </si>
  <si>
    <t xml:space="preserve">הערת מקור</t>
  </si>
  <si>
    <t xml:space="preserve">Neck and shoulder  —  2 items</t>
  </si>
  <si>
    <t xml:space="preserve">61</t>
  </si>
  <si>
    <t xml:space="preserve">Cervicallo Soft Soft Cervical collar</t>
  </si>
  <si>
    <t xml:space="preserve">4 sizes · All Market</t>
  </si>
  <si>
    <t xml:space="preserve">שם+קטגוריה+Meta: קיימים ומאומתים ב-3 מקורות עצמאיים — (1) 2026-09-15-catalog-finland-SAMPLE-2items.xlsx, גיליון 'SELECTED Catalog' שורה 6 (קטגוריה 'Neck and shoulder', Price=5.05, Meta='4 sizes · All Market'); (2) kirill/reference/uriel-catalog-official-names.xlsx, שורה 2 (שם זהה, קטגוריה זהה); (3) kirill/outputs/2026-09-03-order-מחירים-מולא-מ-mail-v2.xlsx, גיליון 'Order' — שם אנגלי אלטרנטיבי 'SOFT CERVICAL COLLAR', ו-4 מידות בפועל (L/M/S/XL) התואמות את '4 sizes'. מחיר 5.05 מאומת גם ב-'Price Reference' (NZ=5.05, FIN=ריק).</t>
  </si>
  <si>
    <t xml:space="preserve">85K</t>
  </si>
  <si>
    <t xml:space="preserve">ARM SLING POUCH -  KIDS</t>
  </si>
  <si>
    <t xml:space="preserve">1 size · All Market</t>
  </si>
  <si>
    <t xml:space="preserve">שם+קטגוריה+Meta: קיימים ומאומתים ב-3 מקורות עצמאיים — (1) 2026-09-15-catalog-finland-SAMPLE-2items.xlsx, גיליון 'SELECTED Catalog' שורה 10 (קטגוריה 'Neck and shoulder', Price=7.9, Meta='1 size · All Market'); (2) kirill/reference/uriel-catalog-official-names.xlsx, שורה 9 (שם זהה, קטגוריה זהה); (3) kirill/outputs/2026-09-03-order-מחירים-מולא-מ-mail-v2.xlsx, גיליון 'Order' — שם אנגלי אלטרנטיבי 'KIDS ARM SLING POUCH', מידה 'one size' התואמת את '1 size'. מחיר 7.9 מאומת גם ב-'Price Reference' (NZ=7.9, FIN=ריק).</t>
  </si>
  <si>
    <t xml:space="preserve">Elbow  —  1 item</t>
  </si>
  <si>
    <t xml:space="preserve">91B</t>
  </si>
  <si>
    <t xml:space="preserve">TENNIS ELBOW STRAP</t>
  </si>
  <si>
    <t xml:space="preserve">1 size · All Market (שוק אינו מתועד במפורש — ראו הערה)</t>
  </si>
  <si>
    <t xml:space="preserve">שם+קטגוריה: kirill/reference/uriel-catalog-official-names.xlsx, שורה 11 — SKU 91B מתועד תחת קטגוריית 'Elbow' עם השם הרשמי 'TENNIS ELBOW STRAP' (מקור השם האמין ביותר שנמצא; שים לב ששם חלופי ב-2026-09-03-order-...xlsx גיליון 'Order' הוא 'TENNIS BANDAGE', ושם זה תואם גם לשם של שני פריטים קרובים-אך-נפרדים ST91/AC91 'TENNIS BANDAGE/ONE SIZE' באותה קבוצת איברים 'מרפק' לפי kirill/outputs/2026-09-03-קופח-מכרזים-מולא-מטבלאות-אביזרים.xlsx, גיליון 'נספח יא' שורה 13, שם 91B/ST91/AC91 מופיעים שלושתם כ-3 פריטי-אוריאל מתחרים/מקבילים לאותה התוויה רפואית). מחיר: kirill/reference/..., גיליון 'Price Reference' — 91B=12 ב-FIN וגם ב-NZ (Dif=0), כלומר מחיר אחיד בין השווקים; זה שונה מ-ST91 (4.45₪/יורו) ו-AC91 (5.45) שהם קודים נפרדים עם מחירים נפרדים, לא אותו המחיר. Meta '1 size' מאומת מול גיליון 'Order' ('91B 0' / 'one size'). תווית 'All Market' אינה מתועדת במפורש לSKU הזה בשום מקור — הוסקה בלבד מדמיון שם-קוד למשפחת קודים ללא קידומת (85/95/45/35 וכו') שמסומנים 'All Market' בקטלוג, ומהעובדה שה-FIN וה-NZ שווים (מחיר גלובלי אחיד). מומלץ לאמת עם המשתמש לפני פרסום.</t>
  </si>
  <si>
    <t xml:space="preserve">Uncategorized  —  1 item</t>
  </si>
  <si>
    <t xml:space="preserve">SPD28</t>
  </si>
  <si>
    <t xml:space="preserve">THUMB SUPPORT (שם משוער — לא מאומת עצמאית)</t>
  </si>
  <si>
    <t xml:space="preserve">1 size (משוער — לא מאומת עצמאית)</t>
  </si>
  <si>
    <t xml:space="preserve">SPD28 אינו מופיע בשום קטלוג רשמי שנבדק (לא ב-SELECTED Catalog, לא ב-INNOVATION Catalog, לא ב-uriel-catalog-official-names.xlsx). המקור היחיד שמזכיר אותו: kirill/outputs/2026-09-03-קופח-מכרזים-מולא-מטבלאות-אביזרים.xlsx, גיליון 'נספח יא' שורה 9 — שם מופיע כ'פריט אוריאל 2' תחת ההתוויה הרפואית 'מייצב אגודל ללא שורש כף יד', לצד 'פריט אוריאל 1'=ST28 ו-'פריט אוריאל 3'=AC28 (שניהם בשם הרשמי 'THUMB SUPPORT /ONE SIZE/' לפי kirill/reference/uriel-catalog-official-names.xlsx שורות 104,119). כיוון ש-ST28/AC28 עצמם מסווגים בקטלוג הרשמי תחת קטגוריות 'ST range'/'Active range' (לא 'Wrist'), אין בסיס לשייך את SPD28 לקטגוריה אנטומית מסוימת — סווג כ-Uncategorized בהתאם להנחיה המפורשת 'אם אין קטגוריה ודאית, אל תנחש'. שם המוצר 'THUMB SUPPORT' ומידה '1 size' הם היקש ממוצרי-האח ST28/AC28 בלבד, לא מקור עצמאי עבור SPD28 — יש לאמת עם המשתמש. מחיר 10.8: kirill/reference/..., גיליון 'Price Reference' — SPD28 NZ=10.8, FIN=ריק.</t>
  </si>
  <si>
    <t xml:space="preserve">Back  —  1 item</t>
  </si>
  <si>
    <t xml:space="preserve">SH776</t>
  </si>
  <si>
    <t xml:space="preserve">SpinaShield — Posture Corrector Belt</t>
  </si>
  <si>
    <t xml:space="preserve">5 sizes · Orthopedic stores</t>
  </si>
  <si>
    <t xml:space="preserve">שם+Meta: kirill/outputs/2026-09-15-catalog-finland-SAMPLE-2items.xlsx, גיליון 'INNOVATION Catalog' שורה 6 (סדרת 'Shield Series', Price=42, Meta='5 sizes · Orthopedic stores'). קטגוריה אנטומית 'Back': kirill/reference/uriel-catalog-official-names.xlsx שורה 32 (שם כתוב שם עם שגיאת כתיב 'Poster' במקום 'Posture' — תוקן כאן לפי הניסוח התקין מ-INNOVATION Catalog; שני המקורות מתארים בבירור את אותו המוצר: 'SpinaShield' + 'Posture/Poster Corrector Belt'). מחיר 42 מאומת גם ב-'Price Reference' (NZ=42, FIN=ריק). הבהרה חשובה — פער מחירים מול מקור שלישי: kirill/outputs/2026-10-17-new-products-AGENT.xlsx, גיליון 'Plan vs Actual (סוכן)' שורה 14 מציג לאותו SKU 'מחיר ליח' (₪)'=350, 'מחיר מטרה'=300, 'הנחה'=240 — אלה אינם סותרים את ה-42: העמודה שם מתויגת במפורש בכותרת (שורה 10 של אותו גיליון) כ-₪ (שקלים, מחיר קמעונאי ישראלי ליחידה/מחיר מטרה/מחיר מבצע), בעוד שה-42 בקטלוג הנוכחי הוא מחיר סיטונאי/יצוא ביורו (פורמט התא ב-SELECTED Catalog המקורי הוא במפורש '[$€-2]' — יורו). כלומר ההבדל נובע ממטבע שונה (יורו סיטונאי-יצוא מול ₪ קמעונאי-ישראל) וממדרגת ערוץ-הפצה שונה (מחיר ליבואן/מפיץ מול מחיר קצה לצרכן בישראל), לא משגיאה. לא נמצא שער חליפין מאומת בקבצים לחישוב התאמה מדויקת בין השניים — מדווח כעובדה שנמצאה בקבצים, לא כהמרה מחושבת.</t>
  </si>
  <si>
    <t xml:space="preserve">Knee  —  1 item</t>
  </si>
  <si>
    <t xml:space="preserve">SH423</t>
  </si>
  <si>
    <t xml:space="preserve">GenuShield Pro Hinged Knee Stabilizer</t>
  </si>
  <si>
    <t xml:space="preserve">6 sizes · Insurance subsidy / health care system</t>
  </si>
  <si>
    <t xml:space="preserve">שם+Meta: kirill/outputs/2026-09-15-catalog-finland-SAMPLE-2items.xlsx, גיליון 'INNOVATION Catalog' שורה 8 (סדרת 'Shield Series', Price=38.65, Meta='6 sizes · Insurance subsidy / health care system'). קטגוריה אנטומית 'Knee': kirill/reference/uriel-catalog-official-names.xlsx שורה 48, אך שם השורה שם הוא 'GenuShield Pro Hinged Knee Stabilizer Right' (עם סיומת 'Right') — לא נמצאה שורה מקבילה בשם 'Left' לצידו באותו קובץ, בעוד שהתיאור העברי שצוין במשימה ('גנו פרו מייצב ברך עם צירים- שמאל/ימין') מרמז שה-SKU אמור לכלול/לשרת גם שמאל וגם ימין. יש כאן חוסר-עקביות קל בין המקורות לגבי האם SH423 הוא דגם 'ימין' בלבד או דגם משמש לשני הצדדים — לא הוכרע, מודגש לאימות מול המשתמש. השם שנבחר לתא זה (ללא 'Right') הוא מה-INNOVATION Catalog הנקי יותר מבחינת ניסוח. מחיר 38.65 מאומת גם ב-'Price Reference' (NZ=38.65, FIN=ריק). הבהרה חשובה — פער מחירים מול מקור שלישי: kirill/outputs/2026-10-17-new-products-AGENT.xlsx, גיליון 'Plan vs Actual (סוכן)' שורה 17 מציג לאותו SKU 'מחיר ליח' (₪)'=260, 'מחיר מטרה'=260, 'הנחה'=208 — כנ"ל אצל SH776: אלה ₪ (מחיר קמעונאי ישראלי, לפי כותרת העמודה בשורה 10 של אותו גיליון), בעוד ש-38.65 הוא מחיר סיטונאי/יצוא ביורו (לפי פורמט התא '[$€-2]' בקטלוג המקורי). ההבדל = מטבע שונה + ערוץ הפצה שונה (סיטונאי-יצוא מול קמעונאי-ישראל), לא שגיאה. לא נמצא שער חליפין מאומת בקבצים.</t>
  </si>
  <si>
    <t xml:space="preserve">code </t>
  </si>
  <si>
    <t xml:space="preserve">FIN</t>
  </si>
  <si>
    <t xml:space="preserve">Dif </t>
  </si>
  <si>
    <t xml:space="preserve">Source: kirill/outputs/2026-09-15-catalog-finland-SAMPLE-2items.xlsx, sheet 'Price Reference' (rows for 61, 85K, 91B, SPD28, SH776, SH423 copied as-is). Blank FIN/NZ = no price defined for that market in the source file (not zero).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</si>
</sst>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[$€-2]\ * #,##0.00_ ;_ [$€-2]\ * \-#,##0.00_ ;_ [$€-2]\ * \-??_ ;_ @_ 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D500"/>
      <name val="Arial"/>
      <family val="0"/>
      <charset val="1"/>
    </font>
    <font>
      <sz val="11"/>
      <color rgb="FF140D41"/>
      <name val="Arial"/>
      <family val="0"/>
      <charset val="1"/>
    </font>
    <font>
      <b val="true"/>
      <sz val="12"/>
      <color rgb="FFFFD500"/>
      <name val="Arial"/>
      <family val="0"/>
      <charset val="1"/>
    </font>
    <font>
      <b val="true"/>
      <sz val="12"/>
      <color rgb="FF140D41"/>
      <name val="Arial"/>
      <family val="0"/>
      <charset val="1"/>
    </font>
    <font>
      <b val="true"/>
      <sz val="11"/>
      <color rgb="FF6B5900"/>
      <name val="Arial"/>
      <family val="0"/>
      <charset val="1"/>
    </font>
    <font>
      <sz val="11"/>
      <color rgb="FF514C78"/>
      <name val="Arial"/>
      <family val="0"/>
      <charset val="1"/>
    </font>
    <font>
      <sz val="11"/>
      <name val="Arial"/>
      <family val="0"/>
      <charset val="1"/>
    </font>
    <font>
      <sz val="10"/>
      <color rgb="FF140D4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0D41"/>
        <bgColor rgb="FF000080"/>
      </patternFill>
    </fill>
    <fill>
      <patternFill patternType="solid">
        <fgColor rgb="FFE4E8F0"/>
        <bgColor rgb="FFDADFEC"/>
      </patternFill>
    </fill>
    <fill>
      <patternFill patternType="solid">
        <fgColor rgb="FFFFFFFF"/>
        <bgColor rgb="FFFFFFCC"/>
      </patternFill>
    </fill>
    <fill>
      <patternFill patternType="solid">
        <fgColor rgb="FFFFD5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FEC"/>
      </left>
      <right style="thin">
        <color rgb="FFDADFEC"/>
      </right>
      <top style="thin">
        <color rgb="FFDADFEC"/>
      </top>
      <bottom style="thin">
        <color rgb="FFDA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D41"/>
      <rgbColor rgb="FF6B5900"/>
      <rgbColor rgb="FF800080"/>
      <rgbColor rgb="FF008080"/>
      <rgbColor rgb="FFC0C0C0"/>
      <rgbColor rgb="FF808080"/>
      <rgbColor rgb="FF9999FF"/>
      <rgbColor rgb="FF993366"/>
      <rgbColor rgb="FFFFFFCC"/>
      <rgbColor rgb="FFE4E8F0"/>
      <rgbColor rgb="FF660066"/>
      <rgbColor rgb="FFFF8080"/>
      <rgbColor rgb="FF0066CC"/>
      <rgbColor rgb="FFDA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00"/>
      <rgbColor rgb="FFFF9900"/>
      <rgbColor rgb="FFFF6600"/>
      <rgbColor rgb="FF514C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"/>
    <col collapsed="false" customWidth="true" hidden="false" outlineLevel="0" max="8" min="7" style="0" width="10"/>
    <col collapsed="false" customWidth="true" hidden="false" outlineLevel="0" max="9" min="9" style="0" width="7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G4" s="3" t="s">
        <v>7</v>
      </c>
      <c r="H4" s="3" t="s">
        <v>8</v>
      </c>
      <c r="I4" s="3" t="s">
        <v>9</v>
      </c>
    </row>
    <row r="5" customFormat="false" ht="19.5" hidden="false" customHeight="true" outlineLevel="0" collapsed="false">
      <c r="A5" s="4" t="s">
        <v>10</v>
      </c>
      <c r="B5" s="4"/>
      <c r="C5" s="4"/>
      <c r="D5" s="4"/>
      <c r="E5" s="4"/>
      <c r="I5" s="5"/>
    </row>
    <row r="6" customFormat="false" ht="103.5" hidden="false" customHeight="true" outlineLevel="0" collapsed="false">
      <c r="A6" s="6"/>
      <c r="B6" s="7" t="s">
        <v>11</v>
      </c>
      <c r="C6" s="8" t="s">
        <v>12</v>
      </c>
      <c r="D6" s="9" t="n">
        <v>5.05</v>
      </c>
      <c r="E6" s="10" t="s">
        <v>13</v>
      </c>
      <c r="G6" s="11" t="str">
        <f aca="false">IFERROR(IF(VLOOKUP($B6,'Price Reference'!$A:$D,2,0)="","",VLOOKUP($B6,'Price Reference'!$A:$D,2,0)),"")</f>
        <v/>
      </c>
      <c r="H6" s="11" t="n">
        <f aca="false">IFERROR(IF(VLOOKUP($B6,'Price Reference'!$A:$D,3,0)="","",VLOOKUP($B6,'Price Reference'!$A:$D,3,0)),"")</f>
        <v>5.05</v>
      </c>
      <c r="I6" s="12" t="s">
        <v>14</v>
      </c>
    </row>
    <row r="7" customFormat="false" ht="103.5" hidden="false" customHeight="true" outlineLevel="0" collapsed="false">
      <c r="A7" s="6"/>
      <c r="B7" s="7" t="s">
        <v>15</v>
      </c>
      <c r="C7" s="8" t="s">
        <v>16</v>
      </c>
      <c r="D7" s="9" t="n">
        <v>7.9</v>
      </c>
      <c r="E7" s="10" t="s">
        <v>17</v>
      </c>
      <c r="G7" s="11" t="str">
        <f aca="false">IFERROR(IF(VLOOKUP($B7,'Price Reference'!$A:$D,2,0)="","",VLOOKUP($B7,'Price Reference'!$A:$D,2,0)),"")</f>
        <v/>
      </c>
      <c r="H7" s="11" t="n">
        <f aca="false">IFERROR(IF(VLOOKUP($B7,'Price Reference'!$A:$D,3,0)="","",VLOOKUP($B7,'Price Reference'!$A:$D,3,0)),"")</f>
        <v>7.9</v>
      </c>
      <c r="I7" s="12" t="s">
        <v>18</v>
      </c>
    </row>
    <row r="8" customFormat="false" ht="19.5" hidden="false" customHeight="true" outlineLevel="0" collapsed="false">
      <c r="A8" s="4" t="s">
        <v>19</v>
      </c>
      <c r="B8" s="4"/>
      <c r="C8" s="4"/>
      <c r="D8" s="4"/>
      <c r="E8" s="4"/>
      <c r="I8" s="5"/>
    </row>
    <row r="9" customFormat="false" ht="103.5" hidden="false" customHeight="true" outlineLevel="0" collapsed="false">
      <c r="A9" s="6"/>
      <c r="B9" s="7" t="s">
        <v>20</v>
      </c>
      <c r="C9" s="8" t="s">
        <v>21</v>
      </c>
      <c r="D9" s="9" t="n">
        <v>12</v>
      </c>
      <c r="E9" s="10" t="s">
        <v>22</v>
      </c>
      <c r="G9" s="11" t="n">
        <f aca="false">IFERROR(IF(VLOOKUP($B9,'Price Reference'!$A:$D,2,0)="","",VLOOKUP($B9,'Price Reference'!$A:$D,2,0)),"")</f>
        <v>12</v>
      </c>
      <c r="H9" s="11" t="n">
        <f aca="false">IFERROR(IF(VLOOKUP($B9,'Price Reference'!$A:$D,3,0)="","",VLOOKUP($B9,'Price Reference'!$A:$D,3,0)),"")</f>
        <v>12</v>
      </c>
      <c r="I9" s="12" t="s">
        <v>23</v>
      </c>
    </row>
    <row r="10" customFormat="false" ht="19.5" hidden="false" customHeight="true" outlineLevel="0" collapsed="false">
      <c r="A10" s="4" t="s">
        <v>24</v>
      </c>
      <c r="B10" s="4"/>
      <c r="C10" s="4"/>
      <c r="D10" s="4"/>
      <c r="E10" s="4"/>
      <c r="I10" s="5"/>
    </row>
    <row r="11" customFormat="false" ht="103.5" hidden="false" customHeight="true" outlineLevel="0" collapsed="false">
      <c r="A11" s="6"/>
      <c r="B11" s="7" t="s">
        <v>25</v>
      </c>
      <c r="C11" s="8" t="s">
        <v>26</v>
      </c>
      <c r="D11" s="9" t="n">
        <v>10.8</v>
      </c>
      <c r="E11" s="10" t="s">
        <v>27</v>
      </c>
      <c r="G11" s="11" t="str">
        <f aca="false">IFERROR(IF(VLOOKUP($B11,'Price Reference'!$A:$D,2,0)="","",VLOOKUP($B11,'Price Reference'!$A:$D,2,0)),"")</f>
        <v/>
      </c>
      <c r="H11" s="11" t="n">
        <f aca="false">IFERROR(IF(VLOOKUP($B11,'Price Reference'!$A:$D,3,0)="","",VLOOKUP($B11,'Price Reference'!$A:$D,3,0)),"")</f>
        <v>10.8</v>
      </c>
      <c r="I11" s="12" t="s">
        <v>28</v>
      </c>
    </row>
    <row r="12" customFormat="false" ht="19.5" hidden="false" customHeight="true" outlineLevel="0" collapsed="false">
      <c r="A12" s="4" t="s">
        <v>29</v>
      </c>
      <c r="B12" s="4"/>
      <c r="C12" s="4"/>
      <c r="D12" s="4"/>
      <c r="E12" s="4"/>
      <c r="I12" s="5"/>
    </row>
    <row r="13" customFormat="false" ht="103.5" hidden="false" customHeight="true" outlineLevel="0" collapsed="false">
      <c r="A13" s="6"/>
      <c r="B13" s="7" t="s">
        <v>30</v>
      </c>
      <c r="C13" s="8" t="s">
        <v>31</v>
      </c>
      <c r="D13" s="9" t="n">
        <v>42</v>
      </c>
      <c r="E13" s="10" t="s">
        <v>32</v>
      </c>
      <c r="G13" s="11" t="str">
        <f aca="false">IFERROR(IF(VLOOKUP($B13,'Price Reference'!$A:$D,2,0)="","",VLOOKUP($B13,'Price Reference'!$A:$D,2,0)),"")</f>
        <v/>
      </c>
      <c r="H13" s="11" t="n">
        <f aca="false">IFERROR(IF(VLOOKUP($B13,'Price Reference'!$A:$D,3,0)="","",VLOOKUP($B13,'Price Reference'!$A:$D,3,0)),"")</f>
        <v>42</v>
      </c>
      <c r="I13" s="12" t="s">
        <v>33</v>
      </c>
    </row>
    <row r="14" customFormat="false" ht="19.5" hidden="false" customHeight="true" outlineLevel="0" collapsed="false">
      <c r="A14" s="4" t="s">
        <v>34</v>
      </c>
      <c r="B14" s="4"/>
      <c r="C14" s="4"/>
      <c r="D14" s="4"/>
      <c r="E14" s="4"/>
      <c r="I14" s="5"/>
    </row>
    <row r="15" customFormat="false" ht="103.5" hidden="false" customHeight="true" outlineLevel="0" collapsed="false">
      <c r="A15" s="6"/>
      <c r="B15" s="7" t="s">
        <v>35</v>
      </c>
      <c r="C15" s="8" t="s">
        <v>36</v>
      </c>
      <c r="D15" s="9" t="n">
        <v>38.65</v>
      </c>
      <c r="E15" s="10" t="s">
        <v>37</v>
      </c>
      <c r="G15" s="11" t="str">
        <f aca="false">IFERROR(IF(VLOOKUP($B15,'Price Reference'!$A:$D,2,0)="","",VLOOKUP($B15,'Price Reference'!$A:$D,2,0)),"")</f>
        <v/>
      </c>
      <c r="H15" s="11" t="n">
        <f aca="false">IFERROR(IF(VLOOKUP($B15,'Price Reference'!$A:$D,3,0)="","",VLOOKUP($B15,'Price Reference'!$A:$D,3,0)),"")</f>
        <v>38.65</v>
      </c>
      <c r="I15" s="12" t="s">
        <v>38</v>
      </c>
    </row>
  </sheetData>
  <mergeCells count="7">
    <mergeCell ref="A1:I1"/>
    <mergeCell ref="A2:I2"/>
    <mergeCell ref="A5:E5"/>
    <mergeCell ref="A8:E8"/>
    <mergeCell ref="A10:E10"/>
    <mergeCell ref="A12:E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6" style="0" width="100"/>
  </cols>
  <sheetData>
    <row r="1" customFormat="false" ht="15" hidden="false" customHeight="false" outlineLevel="0" collapsed="false">
      <c r="A1" s="13" t="s">
        <v>39</v>
      </c>
      <c r="B1" s="13" t="s">
        <v>40</v>
      </c>
      <c r="C1" s="13" t="s">
        <v>8</v>
      </c>
      <c r="D1" s="13" t="s">
        <v>41</v>
      </c>
      <c r="F1" s="14" t="s">
        <v>42</v>
      </c>
    </row>
    <row r="2" customFormat="false" ht="15" hidden="false" customHeight="false" outlineLevel="0" collapsed="false">
      <c r="A2" s="0" t="s">
        <v>11</v>
      </c>
      <c r="C2" s="0" t="n">
        <v>5.05</v>
      </c>
      <c r="D2" s="0" t="n">
        <v>5.05</v>
      </c>
    </row>
    <row r="3" customFormat="false" ht="15" hidden="false" customHeight="false" outlineLevel="0" collapsed="false">
      <c r="A3" s="0" t="s">
        <v>15</v>
      </c>
      <c r="C3" s="0" t="n">
        <v>7.9</v>
      </c>
      <c r="D3" s="0" t="n">
        <v>7.9</v>
      </c>
    </row>
    <row r="4" customFormat="false" ht="15" hidden="false" customHeight="false" outlineLevel="0" collapsed="false">
      <c r="A4" s="0" t="s">
        <v>20</v>
      </c>
      <c r="B4" s="0" t="n">
        <v>12</v>
      </c>
      <c r="C4" s="0" t="n">
        <v>12</v>
      </c>
      <c r="D4" s="0" t="n">
        <v>0</v>
      </c>
    </row>
    <row r="5" customFormat="false" ht="15" hidden="false" customHeight="false" outlineLevel="0" collapsed="false">
      <c r="A5" s="0" t="s">
        <v>25</v>
      </c>
      <c r="C5" s="0" t="n">
        <v>10.8</v>
      </c>
      <c r="D5" s="0" t="n">
        <v>10.8</v>
      </c>
    </row>
    <row r="6" customFormat="false" ht="15" hidden="false" customHeight="false" outlineLevel="0" collapsed="false">
      <c r="A6" s="0" t="s">
        <v>30</v>
      </c>
      <c r="C6" s="0" t="n">
        <v>42</v>
      </c>
      <c r="D6" s="0" t="n">
        <v>42</v>
      </c>
    </row>
    <row r="7" customFormat="false" ht="15" hidden="false" customHeight="false" outlineLevel="0" collapsed="false">
      <c r="A7" s="0" t="s">
        <v>35</v>
      </c>
      <c r="C7" s="0" t="n">
        <v>38.65</v>
      </c>
      <c r="D7" s="0" t="n">
        <v>38.65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2026-10-18T13:42:11Z</dcterms:created>
  <dc:creator>openpyxl</dc:creator>
  <dc:description/>
  <dc:language>en-US</dc:language>
  <cp:lastModifiedBy/>
  <dcterms:modified xsi:type="dcterms:W3CDTF">2026-10-18T13:42:11Z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